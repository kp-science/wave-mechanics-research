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0" yWindow="2000" windowWidth="32320" windowHeight="21780" tabRatio="500" firstSheet="1" activeTab="10" autoFilterDateGrouping="1"/>
  </bookViews>
  <sheets>
    <sheet xmlns:r="http://schemas.openxmlformats.org/officeDocument/2006/relationships" name="📋 คำแนะนำ" sheetId="1" state="visible" r:id="rId1"/>
    <sheet xmlns:r="http://schemas.openxmlformats.org/officeDocument/2006/relationships" name="📥 วาง Raw FT" sheetId="2" state="visible" r:id="rId2"/>
    <sheet xmlns:r="http://schemas.openxmlformats.org/officeDocument/2006/relationships" name="📥 ข้อมูลนักเรียน" sheetId="3" state="visible" r:id="rId3"/>
    <sheet xmlns:r="http://schemas.openxmlformats.org/officeDocument/2006/relationships" name="🔬 POE บันทึก" sheetId="4" state="visible" r:id="rId4"/>
    <sheet xmlns:r="http://schemas.openxmlformats.org/officeDocument/2006/relationships" name="📋 Formative รายคาบ" sheetId="5" state="visible" r:id="rId5"/>
    <sheet xmlns:r="http://schemas.openxmlformats.org/officeDocument/2006/relationships" name="📝 Four-tier กรอก" sheetId="6" state="visible" r:id="rId6"/>
    <sheet xmlns:r="http://schemas.openxmlformats.org/officeDocument/2006/relationships" name="🤖 Four-tier วิเคราะห์" sheetId="7" state="visible" r:id="rId7"/>
    <sheet xmlns:r="http://schemas.openxmlformats.org/officeDocument/2006/relationships" name="📊 สรุป Misconception" sheetId="8" state="visible" r:id="rId8"/>
    <sheet xmlns:r="http://schemas.openxmlformats.org/officeDocument/2006/relationships" name="🎯 บันทึกการสอน Dashboard" sheetId="9" state="visible" r:id="rId9"/>
    <sheet xmlns:r="http://schemas.openxmlformats.org/officeDocument/2006/relationships" name="📈 Dashboard" sheetId="10" state="visible" r:id="rId10"/>
    <sheet xmlns:r="http://schemas.openxmlformats.org/officeDocument/2006/relationships" name="🔗 POE-Fourtier เทียบ" sheetId="11" state="visible" r:id="rId11"/>
    <sheet xmlns:r="http://schemas.openxmlformats.org/officeDocument/2006/relationships" name="📓 บันทึกหลังแผน" sheetId="12" state="visible" r:id="rId12"/>
    <sheet xmlns:r="http://schemas.openxmlformats.org/officeDocument/2006/relationships" name="📊 สรุปวิจัย 10 แผน" sheetId="13" state="visible" r:id="rId13"/>
  </sheets>
  <definedNames>
    <definedName name="_xlnm.Print_Area" localSheetId="8">'🎯 บันทึกการสอน Dashboard'!$A$1:$R$50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5">
    <font>
      <name val="Calibri"/>
      <charset val="1"/>
      <family val="2"/>
      <color theme="1"/>
      <sz val="11"/>
    </font>
    <font>
      <name val="TH SarabunPSK"/>
      <family val="2"/>
      <b val="1"/>
      <color rgb="FFFFFFFF"/>
      <sz val="18"/>
    </font>
    <font>
      <name val="TH SarabunPSK"/>
      <family val="2"/>
      <color rgb="FF1F4E79"/>
      <sz val="13"/>
    </font>
    <font>
      <name val="TH SarabunPSK"/>
      <family val="2"/>
      <b val="1"/>
      <color rgb="FFFFFFFF"/>
      <sz val="12"/>
    </font>
    <font>
      <name val="TH SarabunPSK"/>
      <family val="2"/>
      <color rgb="FF000000"/>
      <sz val="12"/>
    </font>
    <font>
      <name val="TH SarabunPSK"/>
      <family val="2"/>
      <b val="1"/>
      <color rgb="FF000000"/>
      <sz val="12"/>
    </font>
    <font>
      <name val="TH SarabunPSK"/>
      <family val="2"/>
      <color rgb="FF000000"/>
      <sz val="11"/>
    </font>
    <font>
      <name val="TH SarabunPSK"/>
      <family val="2"/>
      <b val="1"/>
      <color rgb="FFFFFFFF"/>
      <sz val="13"/>
    </font>
    <font>
      <name val="TH SarabunPSK"/>
      <family val="2"/>
      <b val="1"/>
      <color rgb="FFFFFFFF"/>
      <sz val="11"/>
    </font>
    <font>
      <name val="TH SarabunPSK"/>
      <family val="2"/>
      <b val="1"/>
      <color rgb="FFFFFFFF"/>
      <sz val="15"/>
    </font>
    <font>
      <name val="TH SarabunPSK"/>
      <family val="2"/>
      <color rgb="FF843C0C"/>
      <sz val="12"/>
    </font>
    <font>
      <name val="TH SarabunPSK"/>
      <family val="2"/>
      <b val="1"/>
      <color rgb="FFFFFFFF"/>
      <sz val="14"/>
    </font>
    <font>
      <name val="TH SarabunPSK"/>
      <family val="2"/>
      <b val="1"/>
      <color rgb="FFFFFFFF"/>
      <sz val="10"/>
    </font>
    <font>
      <name val="TH SarabunPSK"/>
      <family val="2"/>
      <b val="1"/>
      <color rgb="FFFFFFFF"/>
      <sz val="9"/>
    </font>
    <font>
      <name val="TH SarabunPSK"/>
      <family val="2"/>
      <b val="1"/>
      <color rgb="FF000000"/>
      <sz val="11"/>
    </font>
    <font>
      <name val="TH SarabunPSK"/>
      <family val="2"/>
      <color rgb="FF1F4E79"/>
      <sz val="10"/>
    </font>
    <font>
      <name val="TH SarabunPSK"/>
      <family val="2"/>
      <i val="1"/>
      <color rgb="FF2E75B6"/>
      <sz val="10"/>
    </font>
    <font>
      <name val="TH SarabunPSK"/>
      <family val="2"/>
      <color rgb="FFFFFFFF"/>
      <sz val="9"/>
    </font>
    <font>
      <name val="TH SarabunPSK"/>
      <family val="2"/>
      <b val="1"/>
      <color rgb="FFFFFFFF"/>
      <sz val="8"/>
    </font>
    <font>
      <name val="TH SarabunPSK"/>
      <family val="2"/>
      <color rgb="FFC00000"/>
      <sz val="9"/>
    </font>
    <font>
      <name val="TH SarabunPSK"/>
      <family val="2"/>
      <color rgb="FF000000"/>
      <sz val="10"/>
    </font>
    <font>
      <name val="TH SarabunPSK"/>
      <family val="2"/>
      <b val="1"/>
      <color rgb="FF1A6B2E"/>
      <sz val="11"/>
    </font>
    <font>
      <name val="TH SarabunPSK"/>
      <family val="2"/>
      <b val="1"/>
      <color rgb="FFC00000"/>
      <sz val="11"/>
    </font>
    <font>
      <name val="TH SarabunPSK"/>
      <family val="2"/>
      <b val="1"/>
      <color rgb="FFC00000"/>
      <sz val="13"/>
    </font>
    <font>
      <name val="TH SarabunPSK"/>
      <family val="2"/>
      <i val="1"/>
      <color rgb="FF1A6B2E"/>
      <sz val="10"/>
    </font>
    <font>
      <name val="TH SarabunPSK"/>
      <family val="2"/>
      <i val="1"/>
      <color rgb="FFC55A11"/>
      <sz val="10"/>
    </font>
    <font>
      <name val="TH SarabunPSK"/>
      <family val="2"/>
      <i val="1"/>
      <color rgb="FFED7D31"/>
      <sz val="10"/>
    </font>
    <font>
      <name val="TH SarabunPSK"/>
      <family val="2"/>
      <i val="1"/>
      <color rgb="FF7030A0"/>
      <sz val="10"/>
    </font>
    <font>
      <name val="TH SarabunPSK"/>
      <family val="2"/>
      <i val="1"/>
      <color rgb="FF1F4E79"/>
      <sz val="10"/>
    </font>
    <font>
      <name val="TH SarabunPSK"/>
      <family val="2"/>
      <color rgb="FF000000"/>
      <sz val="9"/>
    </font>
    <font>
      <name val="TH SarabunPSK"/>
      <family val="2"/>
      <i val="1"/>
      <color rgb="FF843C0C"/>
      <sz val="11"/>
    </font>
    <font>
      <name val="TH SarabunPSK"/>
      <family val="2"/>
      <i val="1"/>
      <color rgb="FF843C0C"/>
      <sz val="10"/>
    </font>
    <font>
      <name val="TH SarabunPSK"/>
      <family val="2"/>
      <b val="1"/>
      <color rgb="FF2E75B6"/>
      <sz val="11"/>
    </font>
    <font>
      <name val="TH SarabunPSK"/>
      <family val="2"/>
      <i val="1"/>
      <color rgb="FF595959"/>
      <sz val="10"/>
    </font>
    <font>
      <name val="TH SarabunPSK"/>
      <family val="2"/>
      <b val="1"/>
      <color rgb="FF843C0C"/>
      <sz val="12"/>
    </font>
    <font>
      <name val="TH SarabunPSK"/>
      <family val="2"/>
      <b val="1"/>
      <color rgb="FF1A6B2E"/>
      <sz val="12"/>
    </font>
    <font>
      <name val="TH SarabunPSK"/>
      <family val="2"/>
      <b val="1"/>
      <color rgb="FFC55A11"/>
      <sz val="11"/>
    </font>
    <font>
      <name val="TH SarabunPSK"/>
      <family val="2"/>
      <b val="1"/>
      <color rgb="FFED7D31"/>
      <sz val="11"/>
    </font>
    <font>
      <name val="TH SarabunPSK"/>
      <family val="2"/>
      <b val="1"/>
      <color rgb="FF7030A0"/>
      <sz val="11"/>
    </font>
    <font>
      <name val="TH SarabunPSK"/>
      <family val="2"/>
      <b val="1"/>
      <color rgb="FF1F4E79"/>
      <sz val="11"/>
    </font>
    <font>
      <name val="TH SarabunPSK"/>
      <family val="2"/>
      <i val="1"/>
      <color rgb="FF000000"/>
      <sz val="11"/>
    </font>
    <font>
      <name val="TH SarabunPSK"/>
      <family val="2"/>
      <b val="1"/>
      <color rgb="FF1F4E79"/>
      <sz val="12"/>
    </font>
    <font>
      <name val="TH SarabunPSK"/>
      <family val="2"/>
      <b val="1"/>
      <color rgb="FFFFFFFF"/>
      <sz val="20"/>
    </font>
    <font>
      <name val="TH SarabunPSK"/>
      <family val="2"/>
      <color rgb="FFDEEAF1"/>
      <sz val="12"/>
    </font>
    <font>
      <name val="TH SarabunPSK"/>
      <family val="2"/>
      <b val="1"/>
      <color rgb="FF1F4E79"/>
      <sz val="22"/>
    </font>
    <font>
      <name val="TH SarabunPSK"/>
      <family val="2"/>
      <b val="1"/>
      <color rgb="FF1A6B2E"/>
      <sz val="22"/>
    </font>
    <font>
      <name val="TH SarabunPSK"/>
      <family val="2"/>
      <b val="1"/>
      <color rgb="FFC55A11"/>
      <sz val="22"/>
    </font>
    <font>
      <name val="TH SarabunPSK"/>
      <family val="2"/>
      <b val="1"/>
      <color rgb="FF7030A0"/>
      <sz val="22"/>
    </font>
    <font>
      <name val="TH SarabunPSK"/>
      <family val="2"/>
      <b val="1"/>
      <color rgb="FFC00000"/>
      <sz val="22"/>
    </font>
    <font>
      <name val="TH SarabunPSK"/>
      <family val="2"/>
      <b val="1"/>
      <color rgb="FF843C0C"/>
      <sz val="22"/>
    </font>
    <font>
      <name val="TH SarabunPSK"/>
      <family val="2"/>
      <color rgb="FF1A6B2E"/>
      <sz val="10"/>
    </font>
    <font>
      <name val="TH SarabunPSK"/>
      <family val="2"/>
      <color rgb="FFC55A11"/>
      <sz val="10"/>
    </font>
    <font>
      <name val="TH SarabunPSK"/>
      <family val="2"/>
      <color rgb="FF7030A0"/>
      <sz val="10"/>
    </font>
    <font>
      <name val="TH SarabunPSK"/>
      <family val="2"/>
      <color rgb="FFC00000"/>
      <sz val="10"/>
    </font>
    <font>
      <name val="TH SarabunPSK"/>
      <family val="2"/>
      <color rgb="FF843C0C"/>
      <sz val="10"/>
    </font>
    <font>
      <name val="TH SarabunPSK"/>
      <family val="2"/>
      <b val="1"/>
      <color rgb="FF1A6B2E"/>
      <sz val="14"/>
    </font>
    <font>
      <name val="TH SarabunPSK"/>
      <family val="2"/>
      <i val="1"/>
      <color rgb="FF1F4E79"/>
      <sz val="11"/>
    </font>
    <font>
      <name val="TH SarabunPSK"/>
      <family val="2"/>
      <b val="1"/>
      <color rgb="FFFFFFFF"/>
      <sz val="16"/>
    </font>
    <font>
      <name val="TH SarabunPSK"/>
      <family val="2"/>
      <b val="1"/>
      <color rgb="FF1F4E79"/>
      <sz val="24"/>
    </font>
    <font>
      <name val="TH SarabunPSK"/>
      <family val="2"/>
      <b val="1"/>
      <color rgb="FF2E75B6"/>
      <sz val="24"/>
    </font>
    <font>
      <name val="TH SarabunPSK"/>
      <family val="2"/>
      <b val="1"/>
      <color rgb="FF1A6B2E"/>
      <sz val="24"/>
    </font>
    <font>
      <name val="TH SarabunPSK"/>
      <family val="2"/>
      <b val="1"/>
      <color rgb="FFC55A11"/>
      <sz val="24"/>
    </font>
    <font>
      <name val="TH SarabunPSK"/>
      <family val="2"/>
      <color rgb="FFA6A6A6"/>
      <sz val="11"/>
    </font>
    <font>
      <name val="TH SarabunPSK"/>
      <family val="2"/>
      <b val="1"/>
      <color rgb="FF000000"/>
      <sz val="10"/>
    </font>
    <font>
      <name val="TH SarabunPSK"/>
      <family val="2"/>
      <i val="1"/>
      <color rgb="FF4A235A"/>
      <sz val="11"/>
    </font>
    <font>
      <name val="TH SarabunPSK"/>
      <family val="2"/>
      <color rgb="FF1F4E79"/>
      <sz val="11"/>
    </font>
    <font>
      <name val="TH SarabunPSK"/>
      <family val="2"/>
      <b val="1"/>
      <color rgb="FF2E75B6"/>
      <sz val="10"/>
    </font>
    <font>
      <name val="TH SarabunPSK"/>
      <family val="2"/>
      <i val="1"/>
      <color rgb="FFAAAAAA"/>
      <sz val="11"/>
    </font>
    <font>
      <name val="TH SarabunPSK"/>
      <family val="2"/>
      <b val="1"/>
      <color rgb="FF1A6B2E"/>
      <sz val="10"/>
    </font>
    <font>
      <name val="TH SarabunPSK"/>
      <family val="2"/>
      <color rgb="FF1F4E79"/>
      <sz val="9"/>
    </font>
    <font>
      <name val="TH SarabunPSK"/>
      <family val="2"/>
      <i val="1"/>
      <color rgb="FFAAAAAA"/>
      <sz val="9"/>
    </font>
    <font>
      <name val="TH SarabunPSK"/>
      <family val="2"/>
      <b val="1"/>
      <color rgb="FF843C0C"/>
      <sz val="10"/>
    </font>
    <font>
      <name val="TH SarabunPSK"/>
      <family val="2"/>
      <b val="1"/>
      <color rgb="FF843C0C"/>
      <sz val="11"/>
    </font>
    <font>
      <name val="TH SarabunPSK"/>
      <family val="2"/>
      <b val="1"/>
      <color rgb="FF4A235A"/>
      <sz val="10"/>
    </font>
    <font>
      <name val="TH SarabunPSK"/>
      <family val="2"/>
      <b val="1"/>
      <color rgb="FF4A235A"/>
      <sz val="11"/>
    </font>
    <font>
      <name val="TH SarabunPSK"/>
      <family val="2"/>
      <b val="1"/>
      <color rgb="FFC55A11"/>
      <sz val="10"/>
    </font>
    <font>
      <name val="TH SarabunPSK"/>
      <family val="2"/>
      <b val="1"/>
      <color rgb="FFED7D31"/>
      <sz val="10"/>
    </font>
    <font>
      <name val="TH SarabunPSK"/>
      <family val="2"/>
      <b val="1"/>
      <color rgb="FF7030A0"/>
      <sz val="10"/>
    </font>
    <font>
      <name val="TH SarabunPSK"/>
      <family val="2"/>
      <b val="1"/>
      <color rgb="FF1F4E79"/>
      <sz val="10"/>
    </font>
    <font>
      <name val="TH SarabunPSK"/>
      <family val="2"/>
      <b val="1"/>
      <color rgb="FFC00000"/>
      <sz val="10"/>
    </font>
    <font>
      <name val="TH SarabunPSK"/>
      <family val="2"/>
      <color rgb="FF4A235A"/>
      <sz val="12"/>
    </font>
    <font>
      <name val="TH Sarabun New"/>
      <b val="1"/>
      <sz val="14"/>
    </font>
    <font>
      <name val="TH Sarabun New"/>
      <b val="1"/>
      <color rgb="00FFFFFF"/>
      <sz val="18"/>
    </font>
    <font>
      <name val="TH Sarabun New"/>
      <b val="1"/>
      <color rgb="001F4E78"/>
      <sz val="15"/>
    </font>
    <font>
      <name val="TH Sarabun New"/>
      <sz val="14"/>
    </font>
  </fonts>
  <fills count="31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9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F0F7EA"/>
      </patternFill>
    </fill>
    <fill>
      <patternFill patternType="solid">
        <fgColor rgb="FFFFF2CC"/>
        <bgColor rgb="FFFCE4D6"/>
      </patternFill>
    </fill>
    <fill>
      <patternFill patternType="solid">
        <fgColor rgb="FFE2EFD9"/>
        <bgColor rgb="FFD5E8D4"/>
      </patternFill>
    </fill>
    <fill>
      <patternFill patternType="solid">
        <fgColor rgb="FFFFCCCC"/>
        <bgColor rgb="FFEAD1DC"/>
      </patternFill>
    </fill>
    <fill>
      <patternFill patternType="solid">
        <fgColor rgb="FF1A6B2E"/>
        <bgColor rgb="FF1F4E79"/>
      </patternFill>
    </fill>
    <fill>
      <patternFill patternType="solid">
        <fgColor rgb="FFD5E8D4"/>
        <bgColor rgb="FFE2EFD9"/>
      </patternFill>
    </fill>
    <fill>
      <patternFill patternType="solid">
        <fgColor rgb="FF4A235A"/>
        <bgColor rgb="FF660066"/>
      </patternFill>
    </fill>
    <fill>
      <patternFill patternType="solid">
        <fgColor rgb="FF7030A0"/>
        <bgColor rgb="FF4A235A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DE7"/>
      </patternFill>
    </fill>
    <fill>
      <patternFill patternType="solid">
        <fgColor rgb="FF2E75B6"/>
        <bgColor rgb="FF4472C4"/>
      </patternFill>
    </fill>
    <fill>
      <patternFill patternType="solid">
        <fgColor rgb="FF70AD47"/>
        <bgColor rgb="FF99CC00"/>
      </patternFill>
    </fill>
    <fill>
      <patternFill patternType="solid">
        <fgColor rgb="FFC55A11"/>
        <bgColor rgb="FFED7D31"/>
      </patternFill>
    </fill>
    <fill>
      <patternFill patternType="solid">
        <fgColor rgb="FF00B0F0"/>
        <bgColor rgb="FF33CCCC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2E75B6"/>
      </patternFill>
    </fill>
    <fill>
      <patternFill patternType="solid">
        <fgColor rgb="FFFFFDE7"/>
        <bgColor rgb="FFFFF5F5"/>
      </patternFill>
    </fill>
    <fill>
      <patternFill patternType="solid">
        <fgColor rgb="FFEAD1DC"/>
        <bgColor rgb="FFFFCCCC"/>
      </patternFill>
    </fill>
    <fill>
      <patternFill patternType="solid">
        <fgColor rgb="FF595959"/>
        <bgColor rgb="FF1F4E79"/>
      </patternFill>
    </fill>
    <fill>
      <patternFill patternType="solid">
        <fgColor rgb="FF843C0C"/>
        <bgColor rgb="FF595959"/>
      </patternFill>
    </fill>
    <fill>
      <patternFill patternType="solid">
        <fgColor rgb="FFF0F7EA"/>
        <bgColor rgb="FFF2F2F2"/>
      </patternFill>
    </fill>
    <fill>
      <patternFill patternType="solid">
        <fgColor rgb="FFFFF5F5"/>
        <bgColor rgb="FF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9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E0C84A"/>
      </left>
      <right style="thin">
        <color rgb="FFE0C84A"/>
      </right>
      <top style="thin">
        <color rgb="FFE0C84A"/>
      </top>
      <bottom style="thin">
        <color rgb="FFE0C84A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1A6B2E"/>
      </left>
      <right/>
      <top style="medium">
        <color rgb="FF1A6B2E"/>
      </top>
      <bottom style="medium">
        <color rgb="FF1A6B2E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A6B2E"/>
      </left>
      <right style="thin">
        <color rgb="FF1A6B2E"/>
      </right>
      <top style="thin">
        <color rgb="FF1A6B2E"/>
      </top>
      <bottom style="thin">
        <color rgb="FF1A6B2E"/>
      </bottom>
      <diagonal/>
    </border>
    <border>
      <left style="thin">
        <color rgb="FF1A6B2E"/>
      </left>
      <right/>
      <top style="thin">
        <color rgb="FF1A6B2E"/>
      </top>
      <bottom style="thin">
        <color rgb="FF1A6B2E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843C0C"/>
      </left>
      <right style="thin">
        <color rgb="FF843C0C"/>
      </right>
      <top style="thin">
        <color rgb="FF843C0C"/>
      </top>
      <bottom style="thin">
        <color rgb="FF843C0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/>
      <diagonal/>
    </border>
    <border>
      <left style="thin">
        <color rgb="FF1A6B2E"/>
      </left>
      <right style="thin">
        <color rgb="FF1A6B2E"/>
      </right>
      <top style="thin">
        <color rgb="FF1A6B2E"/>
      </top>
      <bottom/>
      <diagonal/>
    </border>
    <border>
      <left style="thin">
        <color rgb="FFC55A11"/>
      </left>
      <right style="thin">
        <color rgb="FFC55A11"/>
      </right>
      <top style="thin">
        <color rgb="FFC55A11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843C0C"/>
      </left>
      <right style="thin">
        <color rgb="FF843C0C"/>
      </right>
      <top style="thin">
        <color rgb="FF843C0C"/>
      </top>
      <bottom/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C55A11"/>
      </left>
      <right/>
      <top style="thin">
        <color rgb="FFC55A11"/>
      </top>
      <bottom style="thin">
        <color rgb="FFC55A11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E0C84A"/>
      </left>
      <right/>
      <top style="thin">
        <color rgb="FFE0C84A"/>
      </top>
      <bottom style="thin">
        <color rgb="FFE0C84A"/>
      </bottom>
      <diagonal/>
    </border>
    <border>
      <left style="thin">
        <color rgb="FFE0C84A"/>
      </left>
      <right/>
      <top style="thin">
        <color rgb="FFE0C84A"/>
      </top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843C0C"/>
      </left>
      <right/>
      <top style="thin">
        <color rgb="FF843C0C"/>
      </top>
      <bottom style="thin">
        <color rgb="FF843C0C"/>
      </bottom>
      <diagonal/>
    </border>
    <border>
      <left style="thin">
        <color rgb="FF4A235A"/>
      </left>
      <right/>
      <top style="thin">
        <color rgb="FF4A235A"/>
      </top>
      <bottom style="thin">
        <color rgb="FF4A235A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ED7D31"/>
      </left>
      <right/>
      <top style="thin">
        <color rgb="FFED7D31"/>
      </top>
      <bottom style="thin">
        <color rgb="FFED7D31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thin">
        <color rgb="FF4A235A"/>
      </left>
      <right/>
      <top style="thin">
        <color rgb="FF4A235A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7030A0"/>
      </top>
      <bottom/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ED7D31"/>
      </top>
      <bottom/>
      <diagonal/>
    </border>
    <border>
      <left/>
      <right/>
      <top style="medium">
        <color rgb="FFED7D31"/>
      </top>
      <bottom style="medium">
        <color rgb="FFED7D31"/>
      </bottom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1A6B2E"/>
      </top>
      <bottom/>
      <diagonal/>
    </border>
    <border>
      <left/>
      <right/>
      <top style="medium">
        <color rgb="FF1A6B2E"/>
      </top>
      <bottom style="medium">
        <color rgb="FF1A6B2E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1F4E79"/>
      </top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1A6B2E"/>
      </top>
      <bottom/>
      <diagonal/>
    </border>
    <border>
      <left/>
      <right/>
      <top style="thin">
        <color rgb="FF1A6B2E"/>
      </top>
      <bottom style="thin">
        <color rgb="FF1A6B2E"/>
      </bottom>
      <diagonal/>
    </border>
    <border>
      <left/>
      <right/>
      <top style="thin">
        <color rgb="FFC55A11"/>
      </top>
      <bottom/>
      <diagonal/>
    </border>
    <border>
      <left/>
      <right/>
      <top style="thin">
        <color rgb="FFC55A11"/>
      </top>
      <bottom style="thin">
        <color rgb="FFC55A11"/>
      </bottom>
      <diagonal/>
    </border>
    <border>
      <left/>
      <right style="thin">
        <color rgb="FF1A6B2E"/>
      </right>
      <top style="thin">
        <color rgb="FF1A6B2E"/>
      </top>
      <bottom/>
      <diagonal/>
    </border>
    <border>
      <left/>
      <right style="thin">
        <color rgb="FF1A6B2E"/>
      </right>
      <top style="thin">
        <color rgb="FF1A6B2E"/>
      </top>
      <bottom style="thin">
        <color rgb="FF1A6B2E"/>
      </bottom>
      <diagonal/>
    </border>
    <border>
      <left/>
      <right style="thin">
        <color rgb="FFC55A11"/>
      </right>
      <top style="thin">
        <color rgb="FFC55A11"/>
      </top>
      <bottom/>
      <diagonal/>
    </border>
    <border>
      <left/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1F4E79"/>
      </left>
      <right/>
      <top/>
      <bottom/>
      <diagonal/>
    </border>
    <border>
      <left style="thin">
        <color rgb="FF1F4E79"/>
      </left>
      <right style="thin">
        <color rgb="FF1F4E79"/>
      </right>
      <top/>
      <bottom/>
      <diagonal/>
    </border>
    <border>
      <left style="thin">
        <color rgb="FF1A6B2E"/>
      </left>
      <right/>
      <top/>
      <bottom/>
      <diagonal/>
    </border>
    <border>
      <left style="thin">
        <color rgb="FF1A6B2E"/>
      </left>
      <right style="thin">
        <color rgb="FF1A6B2E"/>
      </right>
      <top/>
      <bottom/>
      <diagonal/>
    </border>
    <border>
      <left style="thin">
        <color rgb="FFC55A11"/>
      </left>
      <right/>
      <top/>
      <bottom/>
      <diagonal/>
    </border>
    <border>
      <left style="thin">
        <color rgb="FFC55A11"/>
      </left>
      <right style="thin">
        <color rgb="FFC55A11"/>
      </right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843C0C"/>
      </left>
      <right/>
      <top/>
      <bottom/>
      <diagonal/>
    </border>
    <border>
      <left style="thin">
        <color rgb="FF843C0C"/>
      </left>
      <right style="thin">
        <color rgb="FF843C0C"/>
      </right>
      <top/>
      <bottom/>
      <diagonal/>
    </border>
    <border>
      <left/>
      <right/>
      <top style="thin">
        <color rgb="FF843C0C"/>
      </top>
      <bottom/>
      <diagonal/>
    </border>
    <border>
      <left/>
      <right/>
      <top style="thin">
        <color rgb="FF843C0C"/>
      </top>
      <bottom style="thin">
        <color rgb="FF843C0C"/>
      </bottom>
      <diagonal/>
    </border>
    <border>
      <left/>
      <right/>
      <top style="thin">
        <color rgb="FF7030A0"/>
      </top>
      <bottom/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E0C84A"/>
      </top>
      <bottom/>
      <diagonal/>
    </border>
    <border>
      <left style="thin">
        <color rgb="FFE0C84A"/>
      </left>
      <right/>
      <top/>
      <bottom/>
      <diagonal/>
    </border>
    <border>
      <left/>
      <right/>
      <top style="thin">
        <color rgb="FFE0C84A"/>
      </top>
      <bottom style="thin">
        <color rgb="FFE0C84A"/>
      </bottom>
      <diagonal/>
    </border>
    <border>
      <left/>
      <right/>
      <top style="thin">
        <color rgb="FF4A235A"/>
      </top>
      <bottom/>
      <diagonal/>
    </border>
    <border>
      <left/>
      <right/>
      <top style="thin">
        <color rgb="FF4A235A"/>
      </top>
      <bottom style="thin">
        <color rgb="FF4A235A"/>
      </bottom>
      <diagonal/>
    </border>
    <border>
      <left/>
      <right/>
      <top style="medium">
        <color rgb="FFC00000"/>
      </top>
      <bottom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E0C84A"/>
      </right>
      <top style="thin">
        <color rgb="FFE0C84A"/>
      </top>
      <bottom/>
      <diagonal/>
    </border>
    <border>
      <left/>
      <right style="thin">
        <color rgb="FFE0C84A"/>
      </right>
      <top style="thin">
        <color rgb="FFE0C84A"/>
      </top>
      <bottom style="thin">
        <color rgb="FFE0C84A"/>
      </bottom>
      <diagonal/>
    </border>
    <border>
      <left/>
      <right/>
      <top style="thin">
        <color rgb="FFED7D31"/>
      </top>
      <bottom/>
      <diagonal/>
    </border>
    <border>
      <left/>
      <right/>
      <top style="thin">
        <color rgb="FFED7D31"/>
      </top>
      <bottom style="thin">
        <color rgb="FFED7D31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 style="thin">
        <color rgb="FF4A235A"/>
      </left>
      <right/>
      <top/>
      <bottom/>
      <diagonal/>
    </border>
  </borders>
  <cellStyleXfs count="1">
    <xf numFmtId="0" fontId="0" fillId="0" borderId="0"/>
  </cellStyleXfs>
  <cellXfs count="41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left" vertical="center" wrapText="1"/>
    </xf>
    <xf numFmtId="0" fontId="6" fillId="22" borderId="4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9" fontId="14" fillId="8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164" fontId="21" fillId="7" borderId="1" applyAlignment="1" pivotButton="0" quotePrefix="0" xfId="0">
      <alignment horizontal="center" vertical="center" wrapText="1"/>
    </xf>
    <xf numFmtId="164" fontId="22" fillId="8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164" fontId="21" fillId="5" borderId="1" applyAlignment="1" pivotButton="0" quotePrefix="0" xfId="0">
      <alignment horizontal="center" vertical="center" wrapText="1"/>
    </xf>
    <xf numFmtId="9" fontId="23" fillId="8" borderId="5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9" fontId="14" fillId="7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165" fontId="14" fillId="7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9" fontId="34" fillId="13" borderId="1" applyAlignment="1" pivotButton="0" quotePrefix="0" xfId="0">
      <alignment horizontal="center" vertical="center" wrapText="1"/>
    </xf>
    <xf numFmtId="9" fontId="35" fillId="7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7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8" fillId="23" borderId="1" applyAlignment="1" pivotButton="0" quotePrefix="0" xfId="0">
      <alignment horizontal="center" vertical="center" wrapText="1"/>
    </xf>
    <xf numFmtId="0" fontId="14" fillId="23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center" vertical="center" wrapText="1"/>
    </xf>
    <xf numFmtId="9" fontId="5" fillId="13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9" borderId="12" applyAlignment="1" pivotButton="0" quotePrefix="0" xfId="0">
      <alignment horizontal="center" vertical="center" wrapText="1"/>
    </xf>
    <xf numFmtId="0" fontId="12" fillId="17" borderId="14" applyAlignment="1" pivotButton="0" quotePrefix="0" xfId="0">
      <alignment horizontal="center" vertical="center" wrapText="1"/>
    </xf>
    <xf numFmtId="0" fontId="12" fillId="12" borderId="15" applyAlignment="1" pivotButton="0" quotePrefix="0" xfId="0">
      <alignment horizontal="center" vertical="center" wrapText="1"/>
    </xf>
    <xf numFmtId="0" fontId="12" fillId="20" borderId="16" applyAlignment="1" pivotButton="0" quotePrefix="0" xfId="0">
      <alignment horizontal="center" vertical="center" wrapText="1"/>
    </xf>
    <xf numFmtId="0" fontId="12" fillId="25" borderId="17" applyAlignment="1" pivotButton="0" quotePrefix="0" xfId="0">
      <alignment horizontal="center" vertical="center" wrapText="1"/>
    </xf>
    <xf numFmtId="1" fontId="44" fillId="14" borderId="11" applyAlignment="1" pivotButton="0" quotePrefix="0" xfId="0">
      <alignment horizontal="center" vertical="center" wrapText="1"/>
    </xf>
    <xf numFmtId="164" fontId="45" fillId="14" borderId="12" applyAlignment="1" pivotButton="0" quotePrefix="0" xfId="0">
      <alignment horizontal="center" vertical="center" wrapText="1"/>
    </xf>
    <xf numFmtId="165" fontId="46" fillId="14" borderId="14" applyAlignment="1" pivotButton="0" quotePrefix="0" xfId="0">
      <alignment horizontal="center" vertical="center" wrapText="1"/>
    </xf>
    <xf numFmtId="2" fontId="47" fillId="14" borderId="15" applyAlignment="1" pivotButton="0" quotePrefix="0" xfId="0">
      <alignment horizontal="center" vertical="center" wrapText="1"/>
    </xf>
    <xf numFmtId="9" fontId="45" fillId="14" borderId="12" applyAlignment="1" pivotButton="0" quotePrefix="0" xfId="0">
      <alignment horizontal="center" vertical="center" wrapText="1"/>
    </xf>
    <xf numFmtId="9" fontId="48" fillId="14" borderId="16" applyAlignment="1" pivotButton="0" quotePrefix="0" xfId="0">
      <alignment horizontal="center" vertical="center" wrapText="1"/>
    </xf>
    <xf numFmtId="1" fontId="49" fillId="14" borderId="17" applyAlignment="1" pivotButton="0" quotePrefix="0" xfId="0">
      <alignment horizontal="center" vertical="center" wrapText="1"/>
    </xf>
    <xf numFmtId="0" fontId="15" fillId="3" borderId="11" applyAlignment="1" pivotButton="0" quotePrefix="0" xfId="0">
      <alignment horizontal="center" vertical="center" wrapText="1"/>
    </xf>
    <xf numFmtId="0" fontId="50" fillId="7" borderId="12" applyAlignment="1" pivotButton="0" quotePrefix="0" xfId="0">
      <alignment horizontal="center" vertical="center" wrapText="1"/>
    </xf>
    <xf numFmtId="0" fontId="51" fillId="6" borderId="14" applyAlignment="1" pivotButton="0" quotePrefix="0" xfId="0">
      <alignment horizontal="center" vertical="center" wrapText="1"/>
    </xf>
    <xf numFmtId="0" fontId="52" fillId="23" borderId="15" applyAlignment="1" pivotButton="0" quotePrefix="0" xfId="0">
      <alignment horizontal="center" vertical="center" wrapText="1"/>
    </xf>
    <xf numFmtId="0" fontId="53" fillId="8" borderId="16" applyAlignment="1" pivotButton="0" quotePrefix="0" xfId="0">
      <alignment horizontal="center" vertical="center" wrapText="1"/>
    </xf>
    <xf numFmtId="0" fontId="54" fillId="13" borderId="17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9" fontId="6" fillId="6" borderId="1" applyAlignment="1" pivotButton="0" quotePrefix="0" xfId="0">
      <alignment horizontal="center" vertical="center" wrapText="1"/>
    </xf>
    <xf numFmtId="2" fontId="14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14" fillId="1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164" fontId="14" fillId="7" borderId="1" applyAlignment="1" pivotButton="0" quotePrefix="0" xfId="0">
      <alignment horizontal="center" vertical="center" wrapText="1"/>
    </xf>
    <xf numFmtId="1" fontId="14" fillId="7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9" fontId="14" fillId="6" borderId="1" applyAlignment="1" pivotButton="0" quotePrefix="0" xfId="0">
      <alignment horizontal="center" vertical="center" wrapText="1"/>
    </xf>
    <xf numFmtId="2" fontId="14" fillId="2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55" fillId="26" borderId="1" applyAlignment="1" pivotButton="0" quotePrefix="0" xfId="0">
      <alignment horizontal="center" vertical="center" wrapText="1"/>
    </xf>
    <xf numFmtId="0" fontId="12" fillId="19" borderId="27" applyAlignment="1" pivotButton="0" quotePrefix="0" xfId="0">
      <alignment horizontal="center" vertical="center" wrapText="1"/>
    </xf>
    <xf numFmtId="9" fontId="14" fillId="13" borderId="1" applyAlignment="1" pivotButton="0" quotePrefix="0" xfId="0">
      <alignment horizontal="center" vertical="center" wrapText="1"/>
    </xf>
    <xf numFmtId="165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center" vertical="center" wrapText="1"/>
    </xf>
    <xf numFmtId="0" fontId="35" fillId="7" borderId="1" applyAlignment="1" pivotButton="0" quotePrefix="0" xfId="0">
      <alignment horizontal="center" vertical="center" wrapText="1"/>
    </xf>
    <xf numFmtId="9" fontId="63" fillId="3" borderId="1" applyAlignment="1" pivotButton="0" quotePrefix="0" xfId="0">
      <alignment horizontal="center" vertical="center" wrapText="1"/>
    </xf>
    <xf numFmtId="9" fontId="63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66" fillId="3" borderId="0" applyAlignment="1" pivotButton="0" quotePrefix="0" xfId="0">
      <alignment horizontal="left" vertical="center" wrapText="1"/>
    </xf>
    <xf numFmtId="0" fontId="12" fillId="15" borderId="1" pivotButton="0" quotePrefix="0" xfId="0"/>
    <xf numFmtId="0" fontId="66" fillId="3" borderId="1" pivotButton="0" quotePrefix="0" xfId="0"/>
    <xf numFmtId="0" fontId="68" fillId="7" borderId="1" pivotButton="0" quotePrefix="0" xfId="0"/>
    <xf numFmtId="0" fontId="12" fillId="15" borderId="32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left" vertical="center" wrapText="1"/>
    </xf>
    <xf numFmtId="0" fontId="69" fillId="4" borderId="1" applyAlignment="1" pivotButton="0" quotePrefix="0" xfId="0">
      <alignment horizontal="center" vertical="center" wrapText="1"/>
    </xf>
    <xf numFmtId="0" fontId="32" fillId="3" borderId="1" pivotButton="0" quotePrefix="0" xfId="0"/>
    <xf numFmtId="0" fontId="68" fillId="7" borderId="1" applyAlignment="1" pivotButton="0" quotePrefix="0" xfId="0">
      <alignment horizontal="left" vertical="center" wrapText="1"/>
    </xf>
    <xf numFmtId="0" fontId="68" fillId="6" borderId="1" applyAlignment="1" pivotButton="0" quotePrefix="0" xfId="0">
      <alignment horizontal="left" vertical="center" wrapText="1"/>
    </xf>
    <xf numFmtId="0" fontId="68" fillId="8" borderId="1" applyAlignment="1" pivotButton="0" quotePrefix="0" xfId="0">
      <alignment horizontal="left" vertical="center" wrapText="1"/>
    </xf>
    <xf numFmtId="0" fontId="68" fillId="26" borderId="1" applyAlignment="1" pivotButton="0" quotePrefix="0" xfId="0">
      <alignment horizontal="left" vertical="center" wrapText="1"/>
    </xf>
    <xf numFmtId="0" fontId="71" fillId="13" borderId="1" applyAlignment="1" pivotButton="0" quotePrefix="0" xfId="0">
      <alignment horizontal="left" vertical="center" wrapText="1"/>
    </xf>
    <xf numFmtId="0" fontId="71" fillId="7" borderId="1" applyAlignment="1" pivotButton="0" quotePrefix="0" xfId="0">
      <alignment horizontal="left" vertical="center" wrapText="1"/>
    </xf>
    <xf numFmtId="0" fontId="71" fillId="26" borderId="1" applyAlignment="1" pivotButton="0" quotePrefix="0" xfId="0">
      <alignment horizontal="left" vertical="center" wrapText="1"/>
    </xf>
    <xf numFmtId="0" fontId="73" fillId="23" borderId="1" applyAlignment="1" pivotButton="0" quotePrefix="0" xfId="0">
      <alignment horizontal="left" vertical="center" wrapText="1"/>
    </xf>
    <xf numFmtId="0" fontId="73" fillId="7" borderId="1" applyAlignment="1" pivotButton="0" quotePrefix="0" xfId="0">
      <alignment horizontal="left" vertical="center" wrapText="1"/>
    </xf>
    <xf numFmtId="0" fontId="73" fillId="8" borderId="1" applyAlignment="1" pivotButton="0" quotePrefix="0" xfId="0">
      <alignment horizontal="left" vertical="center" wrapText="1"/>
    </xf>
    <xf numFmtId="0" fontId="66" fillId="3" borderId="1" applyAlignment="1" pivotButton="0" quotePrefix="0" xfId="0">
      <alignment horizontal="left" vertical="center" wrapText="1"/>
    </xf>
    <xf numFmtId="0" fontId="68" fillId="7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7" borderId="1" pivotButton="0" quotePrefix="0" xfId="0"/>
    <xf numFmtId="0" fontId="75" fillId="6" borderId="0" applyAlignment="1" pivotButton="0" quotePrefix="0" xfId="0">
      <alignment horizontal="left" vertical="center" wrapText="1"/>
    </xf>
    <xf numFmtId="0" fontId="75" fillId="6" borderId="1" pivotButton="0" quotePrefix="0" xfId="0"/>
    <xf numFmtId="0" fontId="20" fillId="6" borderId="1" applyAlignment="1" pivotButton="0" quotePrefix="0" xfId="0">
      <alignment horizontal="left" vertical="center" wrapText="1"/>
    </xf>
    <xf numFmtId="0" fontId="36" fillId="6" borderId="1" pivotButton="0" quotePrefix="0" xfId="0"/>
    <xf numFmtId="0" fontId="75" fillId="6" borderId="1" applyAlignment="1" pivotButton="0" quotePrefix="0" xfId="0">
      <alignment horizontal="left" vertical="center" wrapText="1"/>
    </xf>
    <xf numFmtId="0" fontId="76" fillId="13" borderId="0" applyAlignment="1" pivotButton="0" quotePrefix="0" xfId="0">
      <alignment horizontal="left" vertical="center" wrapText="1"/>
    </xf>
    <xf numFmtId="0" fontId="76" fillId="13" borderId="1" pivotButton="0" quotePrefix="0" xfId="0"/>
    <xf numFmtId="0" fontId="20" fillId="13" borderId="1" applyAlignment="1" pivotButton="0" quotePrefix="0" xfId="0">
      <alignment horizontal="left" vertical="center" wrapText="1"/>
    </xf>
    <xf numFmtId="0" fontId="37" fillId="13" borderId="1" pivotButton="0" quotePrefix="0" xfId="0"/>
    <xf numFmtId="0" fontId="76" fillId="13" borderId="1" applyAlignment="1" pivotButton="0" quotePrefix="0" xfId="0">
      <alignment horizontal="left" vertical="center" wrapText="1"/>
    </xf>
    <xf numFmtId="0" fontId="77" fillId="23" borderId="0" applyAlignment="1" pivotButton="0" quotePrefix="0" xfId="0">
      <alignment horizontal="left" vertical="center" wrapText="1"/>
    </xf>
    <xf numFmtId="0" fontId="77" fillId="23" borderId="1" pivotButton="0" quotePrefix="0" xfId="0"/>
    <xf numFmtId="0" fontId="20" fillId="23" borderId="1" applyAlignment="1" pivotButton="0" quotePrefix="0" xfId="0">
      <alignment horizontal="left" vertical="center" wrapText="1"/>
    </xf>
    <xf numFmtId="0" fontId="38" fillId="23" borderId="1" pivotButton="0" quotePrefix="0" xfId="0"/>
    <xf numFmtId="0" fontId="77" fillId="23" borderId="1" applyAlignment="1" pivotButton="0" quotePrefix="0" xfId="0">
      <alignment horizontal="left" vertical="center" wrapText="1"/>
    </xf>
    <xf numFmtId="0" fontId="78" fillId="3" borderId="0" applyAlignment="1" pivotButton="0" quotePrefix="0" xfId="0">
      <alignment horizontal="left" vertical="center" wrapText="1"/>
    </xf>
    <xf numFmtId="0" fontId="78" fillId="3" borderId="1" pivotButton="0" quotePrefix="0" xfId="0"/>
    <xf numFmtId="0" fontId="39" fillId="3" borderId="1" pivotButton="0" quotePrefix="0" xfId="0"/>
    <xf numFmtId="0" fontId="78" fillId="3" borderId="1" applyAlignment="1" pivotButton="0" quotePrefix="0" xfId="0">
      <alignment horizontal="left" vertical="center" wrapText="1"/>
    </xf>
    <xf numFmtId="0" fontId="79" fillId="8" borderId="0" applyAlignment="1" pivotButton="0" quotePrefix="0" xfId="0">
      <alignment horizontal="left" vertical="center" wrapText="1"/>
    </xf>
    <xf numFmtId="0" fontId="79" fillId="8" borderId="1" pivotButton="0" quotePrefix="0" xfId="0"/>
    <xf numFmtId="0" fontId="20" fillId="8" borderId="1" applyAlignment="1" pivotButton="0" quotePrefix="0" xfId="0">
      <alignment horizontal="left" vertical="center" wrapText="1"/>
    </xf>
    <xf numFmtId="0" fontId="22" fillId="8" borderId="1" pivotButton="0" quotePrefix="0" xfId="0"/>
    <xf numFmtId="0" fontId="79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2" fontId="35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left" vertical="center" wrapText="1"/>
    </xf>
    <xf numFmtId="0" fontId="79" fillId="27" borderId="1" applyAlignment="1" pivotButton="0" quotePrefix="0" xfId="0">
      <alignment horizontal="left" vertical="center" wrapText="1"/>
    </xf>
    <xf numFmtId="0" fontId="20" fillId="27" borderId="1" applyAlignment="1" pivotButton="0" quotePrefix="0" xfId="0">
      <alignment horizontal="center" vertical="center" wrapText="1"/>
    </xf>
    <xf numFmtId="165" fontId="6" fillId="27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33" fillId="27" borderId="1" applyAlignment="1" pivotButton="0" quotePrefix="0" xfId="0">
      <alignment horizontal="left" vertical="center" wrapText="1"/>
    </xf>
    <xf numFmtId="0" fontId="9" fillId="20" borderId="0" applyAlignment="1" pivotButton="0" quotePrefix="0" xfId="0">
      <alignment horizontal="center" vertical="center" wrapText="1"/>
    </xf>
    <xf numFmtId="0" fontId="30" fillId="6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8" fillId="20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left" vertical="center" wrapText="1"/>
    </xf>
    <xf numFmtId="0" fontId="33" fillId="7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0" fillId="3" borderId="2" applyAlignment="1" pivotButton="0" quotePrefix="0" xfId="0">
      <alignment horizontal="left" vertical="center" wrapText="1"/>
    </xf>
    <xf numFmtId="0" fontId="33" fillId="6" borderId="2" applyAlignment="1" pivotButton="0" quotePrefix="0" xfId="0">
      <alignment horizontal="left" vertical="center" wrapText="1"/>
    </xf>
    <xf numFmtId="0" fontId="33" fillId="13" borderId="2" applyAlignment="1" pivotButton="0" quotePrefix="0" xfId="0">
      <alignment horizontal="left" vertical="center" wrapText="1"/>
    </xf>
    <xf numFmtId="0" fontId="33" fillId="23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3" fillId="15" borderId="3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 wrapText="1"/>
    </xf>
    <xf numFmtId="0" fontId="8" fillId="15" borderId="0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 wrapText="1"/>
    </xf>
    <xf numFmtId="0" fontId="3" fillId="17" borderId="7" applyAlignment="1" pivotButton="0" quotePrefix="0" xfId="0">
      <alignment horizontal="left" vertical="center" wrapText="1"/>
    </xf>
    <xf numFmtId="0" fontId="25" fillId="6" borderId="0" applyAlignment="1" pivotButton="0" quotePrefix="0" xfId="0">
      <alignment horizontal="left" vertical="center" wrapText="1"/>
    </xf>
    <xf numFmtId="0" fontId="3" fillId="19" borderId="8" applyAlignment="1" pivotButton="0" quotePrefix="0" xfId="0">
      <alignment horizontal="left" vertical="center" wrapText="1"/>
    </xf>
    <xf numFmtId="0" fontId="26" fillId="13" borderId="0" applyAlignment="1" pivotButton="0" quotePrefix="0" xfId="0">
      <alignment horizontal="left" vertical="center" wrapText="1"/>
    </xf>
    <xf numFmtId="0" fontId="3" fillId="12" borderId="9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left" vertical="center" wrapText="1"/>
    </xf>
    <xf numFmtId="0" fontId="3" fillId="2" borderId="10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42" fillId="2" borderId="0" applyAlignment="1" pivotButton="0" quotePrefix="0" xfId="0">
      <alignment horizontal="center" vertical="center" wrapText="1"/>
    </xf>
    <xf numFmtId="0" fontId="43" fillId="2" borderId="0" applyAlignment="1" pivotButton="0" quotePrefix="0" xfId="0">
      <alignment horizontal="center" vertical="center" wrapText="1"/>
    </xf>
    <xf numFmtId="0" fontId="12" fillId="9" borderId="13" applyAlignment="1" pivotButton="0" quotePrefix="0" xfId="0">
      <alignment horizontal="center" vertical="center" wrapText="1"/>
    </xf>
    <xf numFmtId="164" fontId="45" fillId="14" borderId="13" applyAlignment="1" pivotButton="0" quotePrefix="0" xfId="0">
      <alignment horizontal="center" vertical="center" wrapText="1"/>
    </xf>
    <xf numFmtId="0" fontId="50" fillId="7" borderId="13" applyAlignment="1" pivotButton="0" quotePrefix="0" xfId="0">
      <alignment horizontal="center" vertical="center" wrapText="1"/>
    </xf>
    <xf numFmtId="0" fontId="7" fillId="9" borderId="12" applyAlignment="1" pivotButton="0" quotePrefix="0" xfId="0">
      <alignment horizontal="left" vertical="center" wrapText="1"/>
    </xf>
    <xf numFmtId="0" fontId="7" fillId="17" borderId="14" applyAlignment="1" pivotButton="0" quotePrefix="0" xfId="0">
      <alignment horizontal="left" vertical="center" wrapText="1"/>
    </xf>
    <xf numFmtId="0" fontId="12" fillId="2" borderId="18" applyAlignment="1" pivotButton="0" quotePrefix="0" xfId="0">
      <alignment horizontal="center" vertical="center" wrapText="1"/>
    </xf>
    <xf numFmtId="0" fontId="12" fillId="9" borderId="19" applyAlignment="1" pivotButton="0" quotePrefix="0" xfId="0">
      <alignment horizontal="center" vertical="center" wrapText="1"/>
    </xf>
    <xf numFmtId="0" fontId="12" fillId="17" borderId="20" applyAlignment="1" pivotButton="0" quotePrefix="0" xfId="0">
      <alignment horizontal="center" vertical="center" wrapText="1"/>
    </xf>
    <xf numFmtId="0" fontId="12" fillId="20" borderId="21" applyAlignment="1" pivotButton="0" quotePrefix="0" xfId="0">
      <alignment horizontal="center" vertical="center" wrapText="1"/>
    </xf>
    <xf numFmtId="0" fontId="12" fillId="12" borderId="22" applyAlignment="1" pivotButton="0" quotePrefix="0" xfId="0">
      <alignment horizontal="center" vertical="center" wrapText="1"/>
    </xf>
    <xf numFmtId="0" fontId="12" fillId="25" borderId="23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left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17" borderId="25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7" fillId="20" borderId="26" applyAlignment="1" pivotButton="0" quotePrefix="0" xfId="0">
      <alignment horizontal="left" vertical="center" wrapText="1"/>
    </xf>
    <xf numFmtId="0" fontId="12" fillId="20" borderId="26" applyAlignment="1" pivotButton="0" quotePrefix="0" xfId="0">
      <alignment horizontal="center" vertical="center" wrapText="1"/>
    </xf>
    <xf numFmtId="0" fontId="12" fillId="24" borderId="28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left" vertical="center" wrapText="1"/>
    </xf>
    <xf numFmtId="0" fontId="22" fillId="27" borderId="2" applyAlignment="1" pivotButton="0" quotePrefix="0" xfId="0">
      <alignment horizontal="left" vertical="center" wrapText="1"/>
    </xf>
    <xf numFmtId="0" fontId="56" fillId="3" borderId="24" applyAlignment="1" pivotButton="0" quotePrefix="0" xfId="0">
      <alignment horizontal="left" vertical="center" wrapText="1"/>
    </xf>
    <xf numFmtId="0" fontId="51" fillId="6" borderId="2" applyAlignment="1" pivotButton="0" quotePrefix="0" xfId="0">
      <alignment horizontal="left" vertical="center" wrapText="1"/>
    </xf>
    <xf numFmtId="0" fontId="50" fillId="7" borderId="2" applyAlignment="1" pivotButton="0" quotePrefix="0" xfId="0">
      <alignment horizontal="left" vertical="center" wrapText="1"/>
    </xf>
    <xf numFmtId="0" fontId="53" fillId="8" borderId="2" applyAlignment="1" pivotButton="0" quotePrefix="0" xfId="0">
      <alignment horizontal="left" vertical="center" wrapText="1"/>
    </xf>
    <xf numFmtId="0" fontId="50" fillId="26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left" vertical="center" wrapText="1"/>
    </xf>
    <xf numFmtId="0" fontId="57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58" fillId="14" borderId="2" applyAlignment="1" pivotButton="0" quotePrefix="0" xfId="0">
      <alignment horizontal="center" vertical="center" wrapText="1"/>
    </xf>
    <xf numFmtId="164" fontId="59" fillId="14" borderId="2" applyAlignment="1" pivotButton="0" quotePrefix="0" xfId="0">
      <alignment horizontal="center" vertical="center" wrapText="1"/>
    </xf>
    <xf numFmtId="164" fontId="60" fillId="14" borderId="2" applyAlignment="1" pivotButton="0" quotePrefix="0" xfId="0">
      <alignment horizontal="center" vertical="center" wrapText="1"/>
    </xf>
    <xf numFmtId="165" fontId="61" fillId="14" borderId="2" applyAlignment="1" pivotButton="0" quotePrefix="0" xfId="0">
      <alignment horizontal="center" vertical="center" wrapText="1"/>
    </xf>
    <xf numFmtId="0" fontId="62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64" fillId="23" borderId="0" applyAlignment="1" pivotButton="0" quotePrefix="0" xfId="0">
      <alignment horizontal="left" vertical="center" wrapText="1"/>
    </xf>
    <xf numFmtId="0" fontId="65" fillId="4" borderId="0" applyAlignment="1" pivotButton="0" quotePrefix="0" xfId="0">
      <alignment horizontal="left" vertical="center" wrapText="1"/>
    </xf>
    <xf numFmtId="0" fontId="7" fillId="15" borderId="3" applyAlignment="1" pivotButton="0" quotePrefix="0" xfId="0">
      <alignment horizontal="left" vertical="center" wrapText="1"/>
    </xf>
    <xf numFmtId="0" fontId="66" fillId="3" borderId="0" applyAlignment="1" pivotButton="0" quotePrefix="0" xfId="0">
      <alignment horizontal="left" vertical="center" wrapText="1"/>
    </xf>
    <xf numFmtId="0" fontId="50" fillId="7" borderId="1" applyAlignment="1" pivotButton="0" quotePrefix="0" xfId="0">
      <alignment horizontal="center" vertical="center" wrapText="1"/>
    </xf>
    <xf numFmtId="0" fontId="67" fillId="22" borderId="4" applyAlignment="1" pivotButton="0" quotePrefix="0" xfId="0">
      <alignment horizontal="left" vertical="top" wrapText="1"/>
    </xf>
    <xf numFmtId="0" fontId="3" fillId="15" borderId="29" applyAlignment="1" pivotButton="0" quotePrefix="0" xfId="0">
      <alignment horizontal="left" vertical="center" wrapText="1"/>
    </xf>
    <xf numFmtId="0" fontId="12" fillId="15" borderId="2" pivotButton="0" quotePrefix="0" xfId="0"/>
    <xf numFmtId="0" fontId="21" fillId="26" borderId="2" applyAlignment="1" pivotButton="0" quotePrefix="0" xfId="0">
      <alignment horizontal="center" vertical="center" wrapText="1"/>
    </xf>
    <xf numFmtId="0" fontId="0" fillId="22" borderId="30" applyAlignment="1" pivotButton="0" quotePrefix="0" xfId="0">
      <alignment horizontal="left" vertical="top" wrapText="1"/>
    </xf>
    <xf numFmtId="0" fontId="3" fillId="9" borderId="13" applyAlignment="1" pivotButton="0" quotePrefix="0" xfId="0">
      <alignment horizontal="left" vertical="center" wrapText="1"/>
    </xf>
    <xf numFmtId="0" fontId="0" fillId="22" borderId="31" applyAlignment="1" pivotButton="0" quotePrefix="0" xfId="0">
      <alignment horizontal="left" vertical="top" wrapText="1"/>
    </xf>
    <xf numFmtId="0" fontId="12" fillId="15" borderId="29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14" fillId="26" borderId="2" applyAlignment="1" pivotButton="0" quotePrefix="0" xfId="0">
      <alignment horizontal="center" vertical="center" wrapText="1"/>
    </xf>
    <xf numFmtId="9" fontId="35" fillId="7" borderId="2" applyAlignment="1" pivotButton="0" quotePrefix="0" xfId="0">
      <alignment horizontal="center" vertical="center" wrapText="1"/>
    </xf>
    <xf numFmtId="0" fontId="32" fillId="3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horizontal="center" vertical="center" wrapText="1"/>
    </xf>
    <xf numFmtId="0" fontId="70" fillId="22" borderId="31" applyAlignment="1" pivotButton="0" quotePrefix="0" xfId="0">
      <alignment horizontal="left" vertical="top" wrapText="1"/>
    </xf>
    <xf numFmtId="0" fontId="21" fillId="6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3" fillId="25" borderId="33" applyAlignment="1" pivotButton="0" quotePrefix="0" xfId="0">
      <alignment horizontal="left" vertical="center" wrapText="1"/>
    </xf>
    <xf numFmtId="0" fontId="72" fillId="13" borderId="2" applyAlignment="1" pivotButton="0" quotePrefix="0" xfId="0">
      <alignment horizontal="center" vertical="center" wrapText="1"/>
    </xf>
    <xf numFmtId="0" fontId="72" fillId="7" borderId="2" applyAlignment="1" pivotButton="0" quotePrefix="0" xfId="0">
      <alignment horizontal="center" vertical="center" wrapText="1"/>
    </xf>
    <xf numFmtId="0" fontId="72" fillId="26" borderId="2" applyAlignment="1" pivotButton="0" quotePrefix="0" xfId="0">
      <alignment horizontal="center" vertical="center" wrapText="1"/>
    </xf>
    <xf numFmtId="0" fontId="3" fillId="11" borderId="34" applyAlignment="1" pivotButton="0" quotePrefix="0" xfId="0">
      <alignment horizontal="left" vertical="center" wrapText="1"/>
    </xf>
    <xf numFmtId="2" fontId="74" fillId="23" borderId="2" applyAlignment="1" pivotButton="0" quotePrefix="0" xfId="0">
      <alignment horizontal="center" vertical="center" wrapText="1"/>
    </xf>
    <xf numFmtId="9" fontId="74" fillId="7" borderId="2" applyAlignment="1" pivotButton="0" quotePrefix="0" xfId="0">
      <alignment horizontal="center" vertical="center" wrapText="1"/>
    </xf>
    <xf numFmtId="9" fontId="74" fillId="8" borderId="2" applyAlignment="1" pivotButton="0" quotePrefix="0" xfId="0">
      <alignment horizontal="center" vertical="center" wrapText="1"/>
    </xf>
    <xf numFmtId="0" fontId="74" fillId="23" borderId="2" applyAlignment="1" pivotButton="0" quotePrefix="0" xfId="0">
      <alignment horizontal="center" vertical="center" wrapText="1"/>
    </xf>
    <xf numFmtId="0" fontId="66" fillId="3" borderId="2" applyAlignment="1" pivotButton="0" quotePrefix="0" xfId="0">
      <alignment horizontal="left" vertical="center" wrapText="1"/>
    </xf>
    <xf numFmtId="0" fontId="33" fillId="4" borderId="2" applyAlignment="1" pivotButton="0" quotePrefix="0" xfId="0">
      <alignment horizontal="left" vertical="center" wrapText="1"/>
    </xf>
    <xf numFmtId="0" fontId="35" fillId="26" borderId="2" applyAlignment="1" pivotButton="0" quotePrefix="0" xfId="0">
      <alignment horizontal="center" vertical="center" wrapText="1"/>
    </xf>
    <xf numFmtId="0" fontId="39" fillId="3" borderId="2" applyAlignment="1" pivotButton="0" quotePrefix="0" xfId="0">
      <alignment horizontal="center" vertical="center" wrapText="1"/>
    </xf>
    <xf numFmtId="0" fontId="12" fillId="25" borderId="33" applyAlignment="1" pivotButton="0" quotePrefix="0" xfId="0">
      <alignment horizontal="center" vertical="center" wrapText="1"/>
    </xf>
    <xf numFmtId="0" fontId="12" fillId="12" borderId="35" applyAlignment="1" pivotButton="0" quotePrefix="0" xfId="0">
      <alignment horizontal="center" vertical="center" wrapText="1"/>
    </xf>
    <xf numFmtId="0" fontId="28" fillId="4" borderId="2" applyAlignment="1" pivotButton="0" quotePrefix="0" xfId="0">
      <alignment horizontal="left" vertical="center" wrapText="1"/>
    </xf>
    <xf numFmtId="0" fontId="7" fillId="9" borderId="6" applyAlignment="1" pivotButton="0" quotePrefix="0" xfId="0">
      <alignment horizontal="left" vertical="center" wrapText="1"/>
    </xf>
    <xf numFmtId="0" fontId="68" fillId="7" borderId="0" applyAlignment="1" pivotButton="0" quotePrefix="0" xfId="0">
      <alignment horizontal="left" vertical="center" wrapText="1"/>
    </xf>
    <xf numFmtId="0" fontId="68" fillId="7" borderId="2" applyAlignment="1" pivotButton="0" quotePrefix="0" xfId="0">
      <alignment horizontal="left" vertical="center" wrapText="1"/>
    </xf>
    <xf numFmtId="0" fontId="7" fillId="17" borderId="7" applyAlignment="1" pivotButton="0" quotePrefix="0" xfId="0">
      <alignment horizontal="left" vertical="center" wrapText="1"/>
    </xf>
    <xf numFmtId="0" fontId="75" fillId="6" borderId="0" applyAlignment="1" pivotButton="0" quotePrefix="0" xfId="0">
      <alignment horizontal="left" vertical="center" wrapText="1"/>
    </xf>
    <xf numFmtId="0" fontId="3" fillId="17" borderId="25" applyAlignment="1" pivotButton="0" quotePrefix="0" xfId="0">
      <alignment horizontal="left" vertical="center" wrapText="1"/>
    </xf>
    <xf numFmtId="0" fontId="36" fillId="6" borderId="2" applyAlignment="1" pivotButton="0" quotePrefix="0" xfId="0">
      <alignment horizontal="center" vertical="center" wrapText="1"/>
    </xf>
    <xf numFmtId="0" fontId="75" fillId="6" borderId="2" applyAlignment="1" pivotButton="0" quotePrefix="0" xfId="0">
      <alignment horizontal="left" vertical="center" wrapText="1"/>
    </xf>
    <xf numFmtId="0" fontId="7" fillId="19" borderId="8" applyAlignment="1" pivotButton="0" quotePrefix="0" xfId="0">
      <alignment horizontal="left" vertical="center" wrapText="1"/>
    </xf>
    <xf numFmtId="0" fontId="76" fillId="13" borderId="0" applyAlignment="1" pivotButton="0" quotePrefix="0" xfId="0">
      <alignment horizontal="left" vertical="center" wrapText="1"/>
    </xf>
    <xf numFmtId="0" fontId="3" fillId="19" borderId="36" applyAlignment="1" pivotButton="0" quotePrefix="0" xfId="0">
      <alignment horizontal="left" vertical="center" wrapText="1"/>
    </xf>
    <xf numFmtId="0" fontId="12" fillId="19" borderId="36" applyAlignment="1" pivotButton="0" quotePrefix="0" xfId="0">
      <alignment horizontal="center" vertical="center" wrapText="1"/>
    </xf>
    <xf numFmtId="0" fontId="37" fillId="13" borderId="2" applyAlignment="1" pivotButton="0" quotePrefix="0" xfId="0">
      <alignment horizontal="center" vertical="center" wrapText="1"/>
    </xf>
    <xf numFmtId="0" fontId="76" fillId="13" borderId="2" applyAlignment="1" pivotButton="0" quotePrefix="0" xfId="0">
      <alignment horizontal="left" vertical="center" wrapText="1"/>
    </xf>
    <xf numFmtId="0" fontId="7" fillId="12" borderId="9" applyAlignment="1" pivotButton="0" quotePrefix="0" xfId="0">
      <alignment horizontal="left" vertical="center" wrapText="1"/>
    </xf>
    <xf numFmtId="0" fontId="77" fillId="23" borderId="0" applyAlignment="1" pivotButton="0" quotePrefix="0" xfId="0">
      <alignment horizontal="left" vertical="center" wrapText="1"/>
    </xf>
    <xf numFmtId="0" fontId="3" fillId="12" borderId="35" applyAlignment="1" pivotButton="0" quotePrefix="0" xfId="0">
      <alignment horizontal="left" vertical="center" wrapText="1"/>
    </xf>
    <xf numFmtId="0" fontId="38" fillId="23" borderId="2" applyAlignment="1" pivotButton="0" quotePrefix="0" xfId="0">
      <alignment horizontal="center" vertical="center" wrapText="1"/>
    </xf>
    <xf numFmtId="0" fontId="77" fillId="23" borderId="2" applyAlignment="1" pivotButton="0" quotePrefix="0" xfId="0">
      <alignment horizontal="left" vertical="center" wrapText="1"/>
    </xf>
    <xf numFmtId="0" fontId="7" fillId="2" borderId="10" applyAlignment="1" pivotButton="0" quotePrefix="0" xfId="0">
      <alignment horizontal="left" vertical="center" wrapText="1"/>
    </xf>
    <xf numFmtId="0" fontId="78" fillId="3" borderId="0" applyAlignment="1" pivotButton="0" quotePrefix="0" xfId="0">
      <alignment horizontal="left" vertical="center" wrapText="1"/>
    </xf>
    <xf numFmtId="0" fontId="3" fillId="2" borderId="24" applyAlignment="1" pivotButton="0" quotePrefix="0" xfId="0">
      <alignment horizontal="left" vertical="center" wrapText="1"/>
    </xf>
    <xf numFmtId="0" fontId="78" fillId="3" borderId="2" applyAlignment="1" pivotButton="0" quotePrefix="0" xfId="0">
      <alignment horizontal="left" vertical="center" wrapText="1"/>
    </xf>
    <xf numFmtId="0" fontId="7" fillId="20" borderId="37" applyAlignment="1" pivotButton="0" quotePrefix="0" xfId="0">
      <alignment horizontal="left" vertical="center" wrapText="1"/>
    </xf>
    <xf numFmtId="0" fontId="79" fillId="8" borderId="0" applyAlignment="1" pivotButton="0" quotePrefix="0" xfId="0">
      <alignment horizontal="left" vertical="center" wrapText="1"/>
    </xf>
    <xf numFmtId="0" fontId="3" fillId="20" borderId="26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 wrapText="1"/>
    </xf>
    <xf numFmtId="0" fontId="79" fillId="8" borderId="2" applyAlignment="1" pivotButton="0" quotePrefix="0" xfId="0">
      <alignment horizontal="left" vertical="center" wrapText="1"/>
    </xf>
    <xf numFmtId="0" fontId="80" fillId="23" borderId="38" applyAlignment="1" pivotButton="0" quotePrefix="0" xfId="0">
      <alignment horizontal="left" vertical="top" wrapText="1"/>
    </xf>
    <xf numFmtId="0" fontId="7" fillId="9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0" fontId="0" fillId="0" borderId="40" pivotButton="0" quotePrefix="0" xfId="0"/>
    <xf numFmtId="0" fontId="82" fillId="29" borderId="0" applyAlignment="1" pivotButton="0" quotePrefix="0" xfId="0">
      <alignment horizontal="center" vertical="center"/>
    </xf>
    <xf numFmtId="0" fontId="81" fillId="28" borderId="0" applyAlignment="1" pivotButton="0" quotePrefix="0" xfId="0">
      <alignment horizontal="center" vertical="center"/>
    </xf>
    <xf numFmtId="0" fontId="83" fillId="0" borderId="0" applyAlignment="1" pivotButton="0" quotePrefix="0" xfId="0">
      <alignment vertical="center" wrapText="1"/>
    </xf>
    <xf numFmtId="0" fontId="84" fillId="0" borderId="0" applyAlignment="1" pivotButton="0" quotePrefix="0" xfId="0">
      <alignment vertical="center" wrapText="1"/>
    </xf>
    <xf numFmtId="0" fontId="83" fillId="0" borderId="0" pivotButton="0" quotePrefix="0" xfId="0"/>
    <xf numFmtId="0" fontId="81" fillId="30" borderId="0" applyAlignment="1" pivotButton="0" quotePrefix="0" xfId="0">
      <alignment horizontal="center"/>
    </xf>
    <xf numFmtId="0" fontId="81" fillId="0" borderId="0" applyAlignment="1" pivotButton="0" quotePrefix="0" xfId="0">
      <alignment vertical="center" wrapText="1"/>
    </xf>
    <xf numFmtId="0" fontId="6" fillId="6" borderId="1" applyAlignment="1" pivotButton="0" quotePrefix="0" xfId="0">
      <alignment horizontal="center"/>
    </xf>
    <xf numFmtId="0" fontId="0" fillId="0" borderId="52" pivotButton="0" quotePrefix="0" xfId="0"/>
    <xf numFmtId="0" fontId="0" fillId="0" borderId="50" pivotButton="0" quotePrefix="0" xfId="0"/>
    <xf numFmtId="0" fontId="0" fillId="0" borderId="48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42" pivotButton="0" quotePrefix="0" xfId="0"/>
    <xf numFmtId="0" fontId="81" fillId="28" borderId="1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4" pivotButton="0" quotePrefix="0" xfId="0"/>
    <xf numFmtId="0" fontId="0" fillId="0" borderId="62" pivotButton="0" quotePrefix="0" xfId="0"/>
    <xf numFmtId="0" fontId="0" fillId="0" borderId="66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0" fontId="0" fillId="0" borderId="78" pivotButton="0" quotePrefix="0" xfId="0"/>
    <xf numFmtId="0" fontId="0" fillId="0" borderId="54" pivotButton="0" quotePrefix="0" xfId="0"/>
    <xf numFmtId="0" fontId="0" fillId="0" borderId="56" pivotButton="0" quotePrefix="0" xfId="0"/>
    <xf numFmtId="0" fontId="0" fillId="0" borderId="58" pivotButton="0" quotePrefix="0" xfId="0"/>
    <xf numFmtId="0" fontId="0" fillId="0" borderId="91" pivotButton="0" quotePrefix="0" xfId="0"/>
    <xf numFmtId="0" fontId="0" fillId="0" borderId="93" pivotButton="0" quotePrefix="0" xfId="0"/>
    <xf numFmtId="0" fontId="0" fillId="0" borderId="85" pivotButton="0" quotePrefix="0" xfId="0"/>
    <xf numFmtId="0" fontId="0" fillId="0" borderId="97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0" pivotButton="0" quotePrefix="0" xfId="0"/>
    <xf numFmtId="0" fontId="0" fillId="0" borderId="87" pivotButton="0" quotePrefix="0" xfId="0"/>
    <xf numFmtId="0" fontId="0" fillId="0" borderId="82" pivotButton="0" quotePrefix="0" xfId="0"/>
    <xf numFmtId="0" fontId="0" fillId="0" borderId="95" pivotButton="0" quotePrefix="0" xfId="0"/>
    <xf numFmtId="0" fontId="0" fillId="0" borderId="89" pivotButton="0" quotePrefix="0" xfId="0"/>
    <xf numFmtId="0" fontId="0" fillId="0" borderId="86" pivotButton="0" quotePrefix="0" xfId="0"/>
    <xf numFmtId="0" fontId="0" fillId="0" borderId="9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0F7EA"/>
      <rgbColor rgb="FFFF00FF"/>
      <rgbColor rgb="FF00FFFF"/>
      <rgbColor rgb="FF800000"/>
      <rgbColor rgb="FF1A6B2E"/>
      <rgbColor rgb="FF000080"/>
      <rgbColor rgb="FF808000"/>
      <rgbColor rgb="FF800080"/>
      <rgbColor rgb="FF008080"/>
      <rgbColor rgb="FFBFBFBF"/>
      <rgbColor rgb="FF808080"/>
      <rgbColor rgb="FFAAAAAA"/>
      <rgbColor rgb="FF7030A0"/>
      <rgbColor rgb="FFFFFDE7"/>
      <rgbColor rgb="FFEBF3FB"/>
      <rgbColor rgb="FF660066"/>
      <rgbColor rgb="FFFF8080"/>
      <rgbColor rgb="FF2E75B6"/>
      <rgbColor rgb="FFEAD1DC"/>
      <rgbColor rgb="FF000080"/>
      <rgbColor rgb="FFFF00FF"/>
      <rgbColor rgb="FFFFF5F5"/>
      <rgbColor rgb="FF00FFFF"/>
      <rgbColor rgb="FF800080"/>
      <rgbColor rgb="FF800000"/>
      <rgbColor rgb="FF008080"/>
      <rgbColor rgb="FF0000FF"/>
      <rgbColor rgb="FF00B0F0"/>
      <rgbColor rgb="FFDEEAF1"/>
      <rgbColor rgb="FFE2EFD9"/>
      <rgbColor rgb="FFFFF2CC"/>
      <rgbColor rgb="FFD5E8D4"/>
      <rgbColor rgb="FFFCE4D6"/>
      <rgbColor rgb="FFF2F2F2"/>
      <rgbColor rgb="FFFFCCCC"/>
      <rgbColor rgb="FF4472C4"/>
      <rgbColor rgb="FF33CCCC"/>
      <rgbColor rgb="FF99CC00"/>
      <rgbColor rgb="FFE0C84A"/>
      <rgbColor rgb="FFFF9900"/>
      <rgbColor rgb="FFED7D31"/>
      <rgbColor rgb="FF595959"/>
      <rgbColor rgb="FFA6A6A6"/>
      <rgbColor rgb="FF003366"/>
      <rgbColor rgb="FF70AD47"/>
      <rgbColor rgb="FF003300"/>
      <rgbColor rgb="FF333300"/>
      <rgbColor rgb="FF843C0C"/>
      <rgbColor rgb="FFC55A11"/>
      <rgbColor rgb="FF1F4E7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0" zoomScale="122" zoomScaleNormal="122" workbookViewId="0">
      <selection activeCell="A1" sqref="A1"/>
    </sheetView>
  </sheetViews>
  <sheetFormatPr baseColWidth="10" defaultColWidth="8.6640625" defaultRowHeight="15"/>
  <cols>
    <col width="3" customWidth="1" min="1" max="1"/>
    <col width="28" customWidth="1" min="2" max="2"/>
    <col width="55" customWidth="1" min="3" max="3"/>
    <col width="22" customWidth="1" min="4" max="6"/>
    <col width="28" customWidth="1" min="7" max="7"/>
  </cols>
  <sheetData>
    <row r="1" ht="36" customHeight="1">
      <c r="B1" s="222" t="inlineStr">
        <is>
          <t>📊 เครื่องมือวิเคราะห์ข้อมูลวิจัย | Four-tier + POE | คลื่นกล ม.5</t>
        </is>
      </c>
    </row>
    <row r="2" ht="24" customHeight="1">
      <c r="B2" s="223" t="inlineStr">
        <is>
          <t>รูปแบบการสอน: 5E + POE + สื่อดิจิทัล | วิจัยในชั้นเรียน | ระดับชั้น ม.5</t>
        </is>
      </c>
    </row>
    <row r="3" ht="9.75" customHeight="1"/>
    <row r="4" ht="21.75" customHeight="1">
      <c r="B4" s="1" t="inlineStr">
        <is>
          <t>Sheet</t>
        </is>
      </c>
      <c r="C4" s="1" t="inlineStr">
        <is>
          <t>ชื่อ Sheet</t>
        </is>
      </c>
      <c r="D4" s="1" t="inlineStr">
        <is>
          <t>ใช้สำหรับ</t>
        </is>
      </c>
      <c r="E4" s="1" t="inlineStr">
        <is>
          <t>ป้อนข้อมูลที่</t>
        </is>
      </c>
    </row>
    <row r="5" ht="19.5" customHeight="1">
      <c r="B5" s="2" t="inlineStr">
        <is>
          <t>1</t>
        </is>
      </c>
      <c r="C5" s="3" t="inlineStr">
        <is>
          <t>📋 คำแนะนำ</t>
        </is>
      </c>
      <c r="D5" s="3" t="inlineStr">
        <is>
          <t>อ่านก่อนใช้งาน — โครงสร้างและวิธีใช้ทั้งหมด</t>
        </is>
      </c>
      <c r="E5" s="2" t="inlineStr">
        <is>
          <t>—</t>
        </is>
      </c>
    </row>
    <row r="6" ht="19.5" customHeight="1">
      <c r="B6" s="4" t="inlineStr">
        <is>
          <t>2</t>
        </is>
      </c>
      <c r="C6" s="5" t="inlineStr">
        <is>
          <t>📥 ข้อมูลนักเรียน</t>
        </is>
      </c>
      <c r="D6" s="5" t="inlineStr">
        <is>
          <t>กรอกรายชื่อนักเรียนและข้อมูลพื้นฐาน 1 ครั้ง</t>
        </is>
      </c>
      <c r="E6" s="4" t="inlineStr">
        <is>
          <t>คอลัมน์ B–G</t>
        </is>
      </c>
    </row>
    <row r="7" ht="19.5" customHeight="1">
      <c r="B7" s="2" t="inlineStr">
        <is>
          <t>3</t>
        </is>
      </c>
      <c r="C7" s="3" t="inlineStr">
        <is>
          <t>🔬 POE บันทึก</t>
        </is>
      </c>
      <c r="D7" s="3" t="inlineStr">
        <is>
          <t>กรอกคะแนน POE แต่ละแผนการสอน (10 แผน)</t>
        </is>
      </c>
      <c r="E7" s="2" t="inlineStr">
        <is>
          <t>คอลัมน์ D–M</t>
        </is>
      </c>
    </row>
    <row r="8" ht="19.5" customHeight="1">
      <c r="B8" s="4" t="inlineStr">
        <is>
          <t>4</t>
        </is>
      </c>
      <c r="C8" s="5" t="inlineStr">
        <is>
          <t>📝 Four-tier กรอก</t>
        </is>
      </c>
      <c r="D8" s="5" t="inlineStr">
        <is>
          <t>กรอกคำตอบ Tier 1–4 ของนักเรียนแต่ละคน</t>
        </is>
      </c>
      <c r="E8" s="4" t="inlineStr">
        <is>
          <t>คอลัมน์ D–Q</t>
        </is>
      </c>
    </row>
    <row r="9" ht="19.5" customHeight="1">
      <c r="B9" s="2" t="inlineStr">
        <is>
          <t>5</t>
        </is>
      </c>
      <c r="C9" s="3" t="inlineStr">
        <is>
          <t>🤖 Four-tier วิเคราะห์</t>
        </is>
      </c>
      <c r="D9" s="3" t="inlineStr">
        <is>
          <t>Auto-classify: Sound/Misconception/Guess/NoK</t>
        </is>
      </c>
      <c r="E9" s="2" t="inlineStr">
        <is>
          <t>ไม่ต้องกรอก (Auto)</t>
        </is>
      </c>
    </row>
    <row r="10" ht="19.5" customHeight="1">
      <c r="B10" s="4" t="inlineStr">
        <is>
          <t>6</t>
        </is>
      </c>
      <c r="C10" s="5" t="inlineStr">
        <is>
          <t>📊 สรุป Misconception</t>
        </is>
      </c>
      <c r="D10" s="5" t="inlineStr">
        <is>
          <t>ตาราง M1–M5 ก่อน/หลังเรียน + เปอร์เซ็นต์</t>
        </is>
      </c>
      <c r="E10" s="4" t="inlineStr">
        <is>
          <t>ไม่ต้องกรอก (Auto)</t>
        </is>
      </c>
    </row>
    <row r="11" ht="19.5" customHeight="1">
      <c r="B11" s="2" t="inlineStr">
        <is>
          <t>7</t>
        </is>
      </c>
      <c r="C11" s="3" t="inlineStr">
        <is>
          <t>📈 Dashboard</t>
        </is>
      </c>
      <c r="D11" s="3" t="inlineStr">
        <is>
          <t>กราฟสรุปภาพรวม Pre→Post + POE trend</t>
        </is>
      </c>
      <c r="E11" s="2" t="inlineStr">
        <is>
          <t>ไม่ต้องกรอก (Auto)</t>
        </is>
      </c>
    </row>
    <row r="12" ht="19.5" customHeight="1">
      <c r="B12" s="4" t="inlineStr">
        <is>
          <t>8</t>
        </is>
      </c>
      <c r="C12" s="5" t="inlineStr">
        <is>
          <t>🔗 POE-Fourtier เทียบ</t>
        </is>
      </c>
      <c r="D12" s="5" t="inlineStr">
        <is>
          <t>เทียบ gap ระหว่าง POE predict กับ Four-tier result</t>
        </is>
      </c>
      <c r="E12" s="4" t="inlineStr">
        <is>
          <t>ไม่ต้องกรอก (Auto)</t>
        </is>
      </c>
    </row>
    <row r="13" ht="9.75" customHeight="1"/>
    <row r="14" ht="15" customHeight="1">
      <c r="B14" s="6" t="inlineStr">
        <is>
          <t>สีหมายถึง:</t>
        </is>
      </c>
    </row>
    <row r="15" ht="18" customHeight="1">
      <c r="B15" s="7" t="inlineStr">
        <is>
          <t xml:space="preserve">  </t>
        </is>
      </c>
      <c r="C15" s="219" t="inlineStr">
        <is>
          <t>เซลล์สีเหลือง = ต้องกรอกข้อมูลด้วยมือ</t>
        </is>
      </c>
    </row>
    <row r="16" ht="18" customHeight="1">
      <c r="B16" s="8" t="inlineStr">
        <is>
          <t xml:space="preserve">  </t>
        </is>
      </c>
      <c r="C16" s="219" t="inlineStr">
        <is>
          <t>เซลล์สีเขียว  = คำนวณอัตโนมัติ ห้ามแก้ไข</t>
        </is>
      </c>
    </row>
    <row r="17" ht="18" customHeight="1">
      <c r="B17" s="9" t="inlineStr">
        <is>
          <t xml:space="preserve">  </t>
        </is>
      </c>
      <c r="C17" s="219" t="inlineStr">
        <is>
          <t>เซลล์สีแดง   = พบ Misconception ชัดเจน</t>
        </is>
      </c>
    </row>
    <row r="18" ht="18" customHeight="1">
      <c r="B18" s="10" t="inlineStr">
        <is>
          <t xml:space="preserve">  </t>
        </is>
      </c>
      <c r="C18" s="219" t="inlineStr">
        <is>
          <t>เซลล์สีฟ้า   = ข้อมูลอ้างอิง / หัวตาราง</t>
        </is>
      </c>
    </row>
    <row r="19" ht="9.75" customHeight="1"/>
    <row r="20" ht="15.75" customHeight="1">
      <c r="B20" s="220" t="inlineStr">
        <is>
          <t>เกณฑ์การให้คะแนน POE Rubric</t>
        </is>
      </c>
      <c r="C20" s="369" t="n"/>
      <c r="D20" s="369" t="n"/>
      <c r="E20" s="369" t="n"/>
    </row>
    <row r="21" ht="18" customHeight="1">
      <c r="B21" s="11" t="inlineStr">
        <is>
          <t>คะแนน</t>
        </is>
      </c>
      <c r="C21" s="12" t="inlineStr">
        <is>
          <t>เกณฑ์ Predict (P)</t>
        </is>
      </c>
      <c r="D21" s="12" t="inlineStr">
        <is>
          <t>เกณฑ์ Explain (E)</t>
        </is>
      </c>
      <c r="E21" s="12" t="inlineStr">
        <is>
          <t>ความหมาย</t>
        </is>
      </c>
    </row>
    <row r="22" ht="18" customHeight="1">
      <c r="B22" s="9" t="inlineStr">
        <is>
          <t>0</t>
        </is>
      </c>
      <c r="C22" s="13" t="inlineStr">
        <is>
          <t>ทำนายผิด</t>
        </is>
      </c>
      <c r="D22" s="13" t="inlineStr">
        <is>
          <t>อธิบายไม่เชื่อมกับ Observe</t>
        </is>
      </c>
      <c r="E22" s="13" t="inlineStr">
        <is>
          <t>ไม่มีการเปลี่ยนแปลงมโนทัศน์</t>
        </is>
      </c>
    </row>
    <row r="23" ht="18" customHeight="1">
      <c r="B23" s="7" t="inlineStr">
        <is>
          <t>1</t>
        </is>
      </c>
      <c r="C23" s="14" t="inlineStr">
        <is>
          <t>ทำนายผิด</t>
        </is>
      </c>
      <c r="D23" s="14" t="inlineStr">
        <is>
          <t>อธิบายเชื่อมบางส่วน</t>
        </is>
      </c>
      <c r="E23" s="14" t="inlineStr">
        <is>
          <t>เริ่มเกิดความสงสัย (Cognitive Conflict)</t>
        </is>
      </c>
    </row>
    <row r="24" ht="18" customHeight="1">
      <c r="B24" s="8" t="inlineStr">
        <is>
          <t>2</t>
        </is>
      </c>
      <c r="C24" s="15" t="inlineStr">
        <is>
          <t>ทำนายผิด</t>
        </is>
      </c>
      <c r="D24" s="15" t="inlineStr">
        <is>
          <t>อธิบายถูกต้องสมบูรณ์</t>
        </is>
      </c>
      <c r="E24" s="15" t="inlineStr">
        <is>
          <t>มโนทัศน์เปลี่ยนแปลงได้ (Conceptual Change)</t>
        </is>
      </c>
    </row>
    <row r="25" ht="18" customHeight="1">
      <c r="B25" s="16" t="inlineStr">
        <is>
          <t>3</t>
        </is>
      </c>
      <c r="C25" s="17" t="inlineStr">
        <is>
          <t>ทำนายถูก</t>
        </is>
      </c>
      <c r="D25" s="17" t="inlineStr">
        <is>
          <t>อธิบายถูกต้องสมบูรณ์</t>
        </is>
      </c>
      <c r="E25" s="17" t="inlineStr">
        <is>
          <t>เข้าใจถูกต้องตั้งแต่ต้น (Sound Understanding)</t>
        </is>
      </c>
    </row>
    <row r="26" ht="9.75" customHeight="1"/>
    <row r="27" ht="15.75" customHeight="1">
      <c r="B27" s="221" t="inlineStr">
        <is>
          <t>รูปแบบคำตอบ Four-tier → Auto-classification</t>
        </is>
      </c>
      <c r="C27" s="369" t="n"/>
      <c r="D27" s="369" t="n"/>
      <c r="E27" s="369" t="n"/>
    </row>
    <row r="28" ht="15" customHeight="1">
      <c r="B28" s="18" t="inlineStr">
        <is>
          <t>Tier1</t>
        </is>
      </c>
      <c r="C28" s="18" t="inlineStr">
        <is>
          <t>Tier2 (มั่นใจ)</t>
        </is>
      </c>
      <c r="D28" s="18" t="inlineStr">
        <is>
          <t>Tier3</t>
        </is>
      </c>
      <c r="E28" s="18" t="inlineStr">
        <is>
          <t>Tier4 (มั่นใจ)</t>
        </is>
      </c>
      <c r="F28" s="18" t="inlineStr">
        <is>
          <t>จำแนกเป็น</t>
        </is>
      </c>
      <c r="G28" s="18" t="inlineStr">
        <is>
          <t>ความหมาย</t>
        </is>
      </c>
    </row>
    <row r="29" ht="18" customHeight="1">
      <c r="B29" s="17" t="inlineStr">
        <is>
          <t>ถูก</t>
        </is>
      </c>
      <c r="C29" s="17" t="inlineStr">
        <is>
          <t>มั่นใจ</t>
        </is>
      </c>
      <c r="D29" s="17" t="inlineStr">
        <is>
          <t>ถูก</t>
        </is>
      </c>
      <c r="E29" s="17" t="inlineStr">
        <is>
          <t>มั่นใจ</t>
        </is>
      </c>
      <c r="F29" s="17" t="inlineStr">
        <is>
          <t>✅ Sound Understanding</t>
        </is>
      </c>
      <c r="G29" s="17" t="inlineStr">
        <is>
          <t>เข้าใจถูกต้องจริง</t>
        </is>
      </c>
    </row>
    <row r="30" ht="18" customHeight="1">
      <c r="B30" s="14" t="inlineStr">
        <is>
          <t>ถูก</t>
        </is>
      </c>
      <c r="C30" s="14" t="inlineStr">
        <is>
          <t>มั่นใจ</t>
        </is>
      </c>
      <c r="D30" s="14" t="inlineStr">
        <is>
          <t>ผิด</t>
        </is>
      </c>
      <c r="E30" s="14" t="inlineStr">
        <is>
          <t>มั่นใจ</t>
        </is>
      </c>
      <c r="F30" s="14" t="inlineStr">
        <is>
          <t>🎲 Lucky Guess</t>
        </is>
      </c>
      <c r="G30" s="14" t="inlineStr">
        <is>
          <t>เดาถูก (ไม่เข้าใจจริง)</t>
        </is>
      </c>
    </row>
    <row r="31" ht="18" customHeight="1">
      <c r="B31" s="13" t="inlineStr">
        <is>
          <t>ผิด</t>
        </is>
      </c>
      <c r="C31" s="13" t="inlineStr">
        <is>
          <t>มั่นใจ</t>
        </is>
      </c>
      <c r="D31" s="13" t="inlineStr">
        <is>
          <t>ผิด</t>
        </is>
      </c>
      <c r="E31" s="13" t="inlineStr">
        <is>
          <t>มั่นใจ</t>
        </is>
      </c>
      <c r="F31" s="13" t="inlineStr">
        <is>
          <t>❌ Misconception</t>
        </is>
      </c>
      <c r="G31" s="13" t="inlineStr">
        <is>
          <t>มโนทัศน์คลาดเคลื่อน</t>
        </is>
      </c>
    </row>
    <row r="32" ht="18" customHeight="1">
      <c r="B32" s="19" t="inlineStr">
        <is>
          <t>ผิด</t>
        </is>
      </c>
      <c r="C32" s="19" t="inlineStr">
        <is>
          <t>ไม่มั่นใจ</t>
        </is>
      </c>
      <c r="D32" s="19" t="inlineStr">
        <is>
          <t>ผิด</t>
        </is>
      </c>
      <c r="E32" s="19" t="inlineStr">
        <is>
          <t>ไม่มั่นใจ</t>
        </is>
      </c>
      <c r="F32" s="19" t="inlineStr">
        <is>
          <t>❓ Lack of Knowledge</t>
        </is>
      </c>
      <c r="G32" s="19" t="inlineStr">
        <is>
          <t>ขาดความรู้</t>
        </is>
      </c>
    </row>
    <row r="33" ht="18" customHeight="1">
      <c r="B33" s="14" t="inlineStr">
        <is>
          <t>ถูก</t>
        </is>
      </c>
      <c r="C33" s="14" t="inlineStr">
        <is>
          <t>ไม่มั่นใจ</t>
        </is>
      </c>
      <c r="D33" s="14" t="inlineStr">
        <is>
          <t>ถูก</t>
        </is>
      </c>
      <c r="E33" s="14" t="inlineStr">
        <is>
          <t>ไม่มั่นใจ</t>
        </is>
      </c>
      <c r="F33" s="14" t="inlineStr">
        <is>
          <t>🤔 Partial Understanding</t>
        </is>
      </c>
      <c r="G33" s="14" t="inlineStr">
        <is>
          <t>รู้บางส่วน ยังไม่มั่นใจ</t>
        </is>
      </c>
    </row>
    <row r="34" ht="18" customHeight="1">
      <c r="B34" s="20" t="inlineStr">
        <is>
          <t>ผิด</t>
        </is>
      </c>
      <c r="C34" s="20" t="inlineStr">
        <is>
          <t>มั่นใจ</t>
        </is>
      </c>
      <c r="D34" s="20" t="inlineStr">
        <is>
          <t>ถูก</t>
        </is>
      </c>
      <c r="E34" s="20" t="inlineStr">
        <is>
          <t>มั่นใจ</t>
        </is>
      </c>
      <c r="F34" s="20" t="inlineStr">
        <is>
          <t>⚠️ Mixed</t>
        </is>
      </c>
      <c r="G34" s="20" t="inlineStr">
        <is>
          <t>สับสน / ตอบขัดแย้ง</t>
        </is>
      </c>
    </row>
  </sheetData>
  <mergeCells count="8">
    <mergeCell ref="C18:E18"/>
    <mergeCell ref="B20:E20"/>
    <mergeCell ref="B27:E27"/>
    <mergeCell ref="B1:E1"/>
    <mergeCell ref="B2:E2"/>
    <mergeCell ref="C15:E15"/>
    <mergeCell ref="C16:E16"/>
    <mergeCell ref="C17:E1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0" customWidth="1" min="4" max="4"/>
  </cols>
  <sheetData>
    <row r="2" ht="28" customHeight="1">
      <c r="B2" s="370" t="inlineStr">
        <is>
          <t>📥 วิธีนำคะแนนจาก Google Sheet Database มาใส่ไฟล์นี้</t>
        </is>
      </c>
    </row>
    <row r="4" ht="55" customHeight="1">
      <c r="B4" s="371" t="inlineStr">
        <is>
          <t>STEP 1</t>
        </is>
      </c>
      <c r="C4" s="372" t="inlineStr">
        <is>
          <t>📋 เตรียมรายชื่อ</t>
        </is>
      </c>
      <c r="D4" s="373" t="inlineStr">
        <is>
          <t>Copy student_id + ชื่อ + class จาก `StudentMaster` → paste ที่ Sheet `📥 ข้อมูลนักเรียน` คอลัมน์ B, C, E (เติม ม.5/4 35 คน · ม.5/5 7 คน default ให้แล้ว · ปรับได้)</t>
        </is>
      </c>
    </row>
    <row r="5" ht="55" customHeight="1">
      <c r="B5" s="371" t="inlineStr">
        <is>
          <t>STEP 2</t>
        </is>
      </c>
      <c r="C5" s="372" t="inlineStr">
        <is>
          <t>🎯 รัน Auto-score ก่อน</t>
        </is>
      </c>
      <c r="D5" s="373" t="inlineStr">
        <is>
          <t>ใน Google Sheet → `🎯 Auto-score → 1️⃣ Score FT-01` + `2️⃣ Score FT-02` → จะได้ `FT01_Scored` / `FT02_Scored`</t>
        </is>
      </c>
    </row>
    <row r="6" ht="55" customHeight="1">
      <c r="B6" s="371" t="inlineStr">
        <is>
          <t>STEP 3</t>
        </is>
      </c>
      <c r="C6" s="372" t="inlineStr">
        <is>
          <t>📝 วาง Four-tier (Pre)</t>
        </is>
      </c>
      <c r="D6" s="373" t="inlineStr">
        <is>
          <t>เปิด sheet `FT01` → เลือกคอลัมน์ q1_t1..q20_t4 (80 คอลัมน์ · คำตอบจริงของนักเรียน · ไม่ใช่ _cat) → Copy → มาที่ `📝 Four-tier กรอก` → วางที่เซลล์ **D7** (Pre-test นักเรียนคนแรก)</t>
        </is>
      </c>
    </row>
    <row r="7" ht="55" customHeight="1">
      <c r="B7" s="371" t="inlineStr">
        <is>
          <t>STEP 4</t>
        </is>
      </c>
      <c r="C7" s="372" t="inlineStr">
        <is>
          <t>📝 วาง Four-tier (Post)</t>
        </is>
      </c>
      <c r="D7" s="373" t="inlineStr">
        <is>
          <t>sheet `FT02` → q1_t1..q20_t4 → วางที่ **D52** (Post-test block)</t>
        </is>
      </c>
    </row>
    <row r="8" ht="55" customHeight="1">
      <c r="B8" s="371" t="inlineStr">
        <is>
          <t>STEP 5</t>
        </is>
      </c>
      <c r="C8" s="372" t="inlineStr">
        <is>
          <t>🔑 KEY ใส่ให้แล้ว</t>
        </is>
      </c>
      <c r="D8" s="373" t="inlineStr">
        <is>
          <t>KEY row 6 (Pre) + row 51 (Post) · 20 ข้อครบตาม `KEY_FT` จาก SHEET_FORMULAS.md · ถ้าแก้ข้อใด ให้แก้ในเซลล์สีเหลือง</t>
        </is>
      </c>
    </row>
    <row r="9" ht="55" customHeight="1">
      <c r="B9" s="371" t="inlineStr">
        <is>
          <t>STEP 6</t>
        </is>
      </c>
      <c r="C9" s="372" t="inlineStr">
        <is>
          <t>🤖 ดูผลอัตโนมัติ</t>
        </is>
      </c>
      <c r="D9" s="373" t="inlineStr">
        <is>
          <t>เปิด `🤖 Four-tier วิเคราะห์` · `📊 สรุป Misconception` · `📈 Dashboard` → ระบบ classify Sound/MC/Guess/NoK ให้ทันที</t>
        </is>
      </c>
    </row>
    <row r="10" ht="55" customHeight="1">
      <c r="B10" s="371" t="inlineStr">
        <is>
          <t>STEP 7</t>
        </is>
      </c>
      <c r="C10" s="372" t="inlineStr">
        <is>
          <t>🔬 POE (0-3)</t>
        </is>
      </c>
      <c r="D10" s="373" t="inlineStr">
        <is>
          <t>`🔬 POE บันทึก` → P-score + E-score ต่อแผน · copy จาก `POE_P{n}` column p_score/e_score หรือกรอกมือ · คะแนนรวมท้าย column AN/AO คำนวณอัตโนมัติ</t>
        </is>
      </c>
    </row>
    <row r="11" ht="55" customHeight="1">
      <c r="B11" s="371" t="inlineStr">
        <is>
          <t>STEP 8</t>
        </is>
      </c>
      <c r="C11" s="372" t="inlineStr">
        <is>
          <t>📋 Formative F1-F9</t>
        </is>
      </c>
      <c r="D11" s="373" t="inlineStr">
        <is>
          <t>`📋 Formative รายคาบ` → ข้อ 1-4 ต่อแผน · Pre+Post · paste จาก `F_Pre_P{n}` / `F_Post_P{n}` · อย่าลืมกรอก KEY แต่ละแผน (row 8 ของแต่ละ block)</t>
        </is>
      </c>
    </row>
    <row r="13">
      <c r="B13" s="374" t="inlineStr">
        <is>
          <t>🗺 Column Mapping · Google Sheet → ไฟล์นี้</t>
        </is>
      </c>
    </row>
    <row r="14">
      <c r="B14" s="375" t="inlineStr">
        <is>
          <t>Google Sheet</t>
        </is>
      </c>
      <c r="C14" s="375" t="inlineStr">
        <is>
          <t>Column ต้นทาง</t>
        </is>
      </c>
      <c r="D14" s="375" t="inlineStr">
        <is>
          <t>ปลายทางในไฟล์นี้</t>
        </is>
      </c>
    </row>
    <row r="15" ht="22" customHeight="1">
      <c r="B15" s="376" t="inlineStr">
        <is>
          <t>FT01</t>
        </is>
      </c>
      <c r="C15" s="373" t="inlineStr">
        <is>
          <t>q1_t1 ถึง q20_t4 (80 cols)</t>
        </is>
      </c>
      <c r="D15" s="373" t="inlineStr">
        <is>
          <t>📝 Four-tier กรอก · D7:CE46 (Pre)</t>
        </is>
      </c>
    </row>
    <row r="16" ht="22" customHeight="1">
      <c r="B16" s="376" t="inlineStr">
        <is>
          <t>FT02</t>
        </is>
      </c>
      <c r="C16" s="373" t="inlineStr">
        <is>
          <t>q1_t1 ถึง q20_t4 (80 cols)</t>
        </is>
      </c>
      <c r="D16" s="373" t="inlineStr">
        <is>
          <t>📝 Four-tier กรอก · D52:CE91 (Post)</t>
        </is>
      </c>
    </row>
    <row r="17" ht="22" customHeight="1">
      <c r="B17" s="376" t="inlineStr">
        <is>
          <t>POE_P1..P10</t>
        </is>
      </c>
      <c r="C17" s="373" t="inlineStr">
        <is>
          <t>p_score, e_score (0-3)</t>
        </is>
      </c>
      <c r="D17" s="373" t="inlineStr">
        <is>
          <t>🔬 POE บันทึก · D:AM ตามแผน</t>
        </is>
      </c>
    </row>
    <row r="18" ht="22" customHeight="1">
      <c r="B18" s="376" t="inlineStr">
        <is>
          <t>F_Pre_P{n}</t>
        </is>
      </c>
      <c r="C18" s="373" t="inlineStr">
        <is>
          <t>q1_t1..q4_t4 (16 cols)</t>
        </is>
      </c>
      <c r="D18" s="373" t="inlineStr">
        <is>
          <t>📋 Formative รายคาบ · Pre block</t>
        </is>
      </c>
    </row>
    <row r="19" ht="22" customHeight="1">
      <c r="B19" s="376" t="inlineStr">
        <is>
          <t>F_Post_P{n}</t>
        </is>
      </c>
      <c r="C19" s="373" t="inlineStr">
        <is>
          <t>q1_t1..q4_t4 (16 cols)</t>
        </is>
      </c>
      <c r="D19" s="373" t="inlineStr">
        <is>
          <t>📋 Formative รายคาบ · Post block</t>
        </is>
      </c>
    </row>
    <row r="20" ht="22" customHeight="1">
      <c r="B20" s="376" t="inlineStr">
        <is>
          <t>StudentMaster</t>
        </is>
      </c>
      <c r="C20" s="373" t="inlineStr">
        <is>
          <t>student_id, name, class</t>
        </is>
      </c>
      <c r="D20" s="373" t="inlineStr">
        <is>
          <t>📥 ข้อมูลนักเรียน · B, C, E</t>
        </is>
      </c>
    </row>
    <row r="23">
      <c r="B23" s="374" t="inlineStr">
        <is>
          <t>💡 Tips</t>
        </is>
      </c>
    </row>
    <row r="24" ht="20" customHeight="1">
      <c r="B24" s="373" t="inlineStr">
        <is>
          <t>• ใช้ `Paste Special → Values Only` (Cmd+Shift+V) เพื่อไม่พา format จาก Google Sheet มาทับ</t>
        </is>
      </c>
    </row>
    <row r="25" ht="20" customHeight="1">
      <c r="B25" s="373" t="inlineStr">
        <is>
          <t>• ถ้า Google Sheet มี timestamp/student_id นำหน้า → Copy เฉพาะ q1_t1 ไปขวามือ (ไม่รวม metadata ฝั่งซ้าย)</t>
        </is>
      </c>
    </row>
    <row r="26" ht="20" customHeight="1">
      <c r="B26" s="373" t="inlineStr">
        <is>
          <t>• เรียงแถวนักเรียนให้ตรงกันทั้ง Pre และ Post (ใช้ student_id sort ก่อน copy)</t>
        </is>
      </c>
    </row>
    <row r="27" ht="20" customHeight="1">
      <c r="B27" s="373" t="inlineStr">
        <is>
          <t>• T2/T4 ในฐานข้อมูลเป็นตัวเลข 1-5 → ไฟล์นี้ใช้ Y/N · ใช้สูตรแปลง =IF(N&gt;=4,"Y","N") ในคอลัมน์ช่วยก่อน paste</t>
        </is>
      </c>
    </row>
    <row r="28" ht="20" customHeight="1">
      <c r="B28" s="373" t="inlineStr">
        <is>
          <t>• ถ้านักเรียน &gt; 42 คน ต่อห้อง → ขยาย row ใน Sheet `📥 ข้อมูลนักเรียน` (copy สูตรลงมา)</t>
        </is>
      </c>
    </row>
  </sheetData>
  <mergeCells count="7">
    <mergeCell ref="B2:D2"/>
    <mergeCell ref="B13:D13"/>
    <mergeCell ref="B24:D24"/>
    <mergeCell ref="B25:D25"/>
    <mergeCell ref="B26:D26"/>
    <mergeCell ref="B27:D27"/>
    <mergeCell ref="B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6" customWidth="1" min="2" max="2"/>
    <col width="28" customWidth="1" min="3" max="3"/>
    <col width="16" customWidth="1" min="4" max="4"/>
    <col width="14" customWidth="1" min="5" max="5"/>
    <col width="16" customWidth="1" min="6" max="7"/>
    <col width="14" customWidth="1" min="8" max="8"/>
  </cols>
  <sheetData>
    <row r="1" ht="30" customHeight="1">
      <c r="B1" s="224" t="inlineStr">
        <is>
          <t>ข้อมูลพื้นฐานนักเรียน — กรอกครั้งเดียว ใช้ได้ทุก Sheet</t>
        </is>
      </c>
    </row>
    <row r="2" ht="15" customHeight="1">
      <c r="B2" s="225" t="inlineStr">
        <is>
          <t>⚠️ กรอกข้อมูลในเซลล์สีเหลืองเท่านั้น | ห้ามลบหรือแก้ไขแถวหัวตาราง</t>
        </is>
      </c>
    </row>
    <row r="3" ht="36" customHeight="1">
      <c r="A3" s="1" t="inlineStr">
        <is>
          <t>ที่</t>
        </is>
      </c>
      <c r="B3" s="1" t="inlineStr">
        <is>
          <t>เลขที่</t>
        </is>
      </c>
      <c r="C3" s="1" t="inlineStr">
        <is>
          <t>ชื่อ-สกุลนักเรียน</t>
        </is>
      </c>
      <c r="D3" s="1" t="inlineStr">
        <is>
          <t>เพศ</t>
        </is>
      </c>
      <c r="E3" s="1" t="inlineStr">
        <is>
          <t>กลุ่มเรียน</t>
        </is>
      </c>
      <c r="F3" s="1" t="inlineStr">
        <is>
          <t>Pre-test
(คะแนนเต็ม 20)</t>
        </is>
      </c>
      <c r="G3" s="1" t="inlineStr">
        <is>
          <t>Post-test
(คะแนนเต็ม 20)</t>
        </is>
      </c>
      <c r="H3" s="1" t="inlineStr">
        <is>
          <t>หมายเหตุ</t>
        </is>
      </c>
    </row>
    <row r="4" ht="18" customHeight="1">
      <c r="A4" s="21" t="n">
        <v>1</v>
      </c>
      <c r="B4" s="7" t="n"/>
      <c r="C4" s="14" t="n"/>
      <c r="D4" s="7" t="n"/>
      <c r="E4" s="377" t="inlineStr">
        <is>
          <t>ม.5/4</t>
        </is>
      </c>
      <c r="F4" s="7" t="n"/>
      <c r="G4" s="7" t="n"/>
      <c r="H4" s="22" t="n"/>
    </row>
    <row r="5" ht="18" customHeight="1">
      <c r="A5" s="21" t="n">
        <v>2</v>
      </c>
      <c r="B5" s="7" t="n"/>
      <c r="C5" s="14" t="n"/>
      <c r="D5" s="7" t="n"/>
      <c r="E5" s="377" t="inlineStr">
        <is>
          <t>ม.5/4</t>
        </is>
      </c>
      <c r="F5" s="7" t="n"/>
      <c r="G5" s="7" t="n"/>
      <c r="H5" s="22" t="n"/>
    </row>
    <row r="6" ht="18" customHeight="1">
      <c r="A6" s="21" t="n">
        <v>3</v>
      </c>
      <c r="B6" s="7" t="n"/>
      <c r="C6" s="14" t="n"/>
      <c r="D6" s="7" t="n"/>
      <c r="E6" s="377" t="inlineStr">
        <is>
          <t>ม.5/4</t>
        </is>
      </c>
      <c r="F6" s="7" t="n"/>
      <c r="G6" s="7" t="n"/>
      <c r="H6" s="22" t="n"/>
    </row>
    <row r="7" ht="18" customHeight="1">
      <c r="A7" s="21" t="n">
        <v>4</v>
      </c>
      <c r="B7" s="7" t="n"/>
      <c r="C7" s="14" t="n"/>
      <c r="D7" s="7" t="n"/>
      <c r="E7" s="377" t="inlineStr">
        <is>
          <t>ม.5/4</t>
        </is>
      </c>
      <c r="F7" s="7" t="n"/>
      <c r="G7" s="7" t="n"/>
      <c r="H7" s="22" t="n"/>
    </row>
    <row r="8" ht="18" customHeight="1">
      <c r="A8" s="21" t="n">
        <v>5</v>
      </c>
      <c r="B8" s="7" t="n"/>
      <c r="C8" s="14" t="n"/>
      <c r="D8" s="7" t="n"/>
      <c r="E8" s="377" t="inlineStr">
        <is>
          <t>ม.5/4</t>
        </is>
      </c>
      <c r="F8" s="7" t="n"/>
      <c r="G8" s="7" t="n"/>
      <c r="H8" s="22" t="n"/>
    </row>
    <row r="9" ht="18" customHeight="1">
      <c r="A9" s="21" t="n">
        <v>6</v>
      </c>
      <c r="B9" s="7" t="n"/>
      <c r="C9" s="14" t="n"/>
      <c r="D9" s="7" t="n"/>
      <c r="E9" s="377" t="inlineStr">
        <is>
          <t>ม.5/4</t>
        </is>
      </c>
      <c r="F9" s="7" t="n"/>
      <c r="G9" s="7" t="n"/>
      <c r="H9" s="22" t="n"/>
    </row>
    <row r="10" ht="18" customHeight="1">
      <c r="A10" s="21" t="n">
        <v>7</v>
      </c>
      <c r="B10" s="7" t="n"/>
      <c r="C10" s="14" t="n"/>
      <c r="D10" s="7" t="n"/>
      <c r="E10" s="377" t="inlineStr">
        <is>
          <t>ม.5/4</t>
        </is>
      </c>
      <c r="F10" s="7" t="n"/>
      <c r="G10" s="7" t="n"/>
      <c r="H10" s="22" t="n"/>
    </row>
    <row r="11" ht="18" customHeight="1">
      <c r="A11" s="21" t="n">
        <v>8</v>
      </c>
      <c r="B11" s="7" t="n"/>
      <c r="C11" s="14" t="n"/>
      <c r="D11" s="7" t="n"/>
      <c r="E11" s="377" t="inlineStr">
        <is>
          <t>ม.5/4</t>
        </is>
      </c>
      <c r="F11" s="7" t="n"/>
      <c r="G11" s="7" t="n"/>
      <c r="H11" s="22" t="n"/>
    </row>
    <row r="12" ht="18" customHeight="1">
      <c r="A12" s="21" t="n">
        <v>9</v>
      </c>
      <c r="B12" s="7" t="n"/>
      <c r="C12" s="14" t="n"/>
      <c r="D12" s="7" t="n"/>
      <c r="E12" s="377" t="inlineStr">
        <is>
          <t>ม.5/4</t>
        </is>
      </c>
      <c r="F12" s="7" t="n"/>
      <c r="G12" s="7" t="n"/>
      <c r="H12" s="22" t="n"/>
    </row>
    <row r="13" ht="18" customHeight="1">
      <c r="A13" s="21" t="n">
        <v>10</v>
      </c>
      <c r="B13" s="7" t="n"/>
      <c r="C13" s="14" t="n"/>
      <c r="D13" s="7" t="n"/>
      <c r="E13" s="377" t="inlineStr">
        <is>
          <t>ม.5/4</t>
        </is>
      </c>
      <c r="F13" s="7" t="n"/>
      <c r="G13" s="7" t="n"/>
      <c r="H13" s="22" t="n"/>
    </row>
    <row r="14" ht="18" customHeight="1">
      <c r="A14" s="21" t="n">
        <v>11</v>
      </c>
      <c r="B14" s="7" t="n"/>
      <c r="C14" s="14" t="n"/>
      <c r="D14" s="7" t="n"/>
      <c r="E14" s="377" t="inlineStr">
        <is>
          <t>ม.5/4</t>
        </is>
      </c>
      <c r="F14" s="7" t="n"/>
      <c r="G14" s="7" t="n"/>
      <c r="H14" s="22" t="n"/>
    </row>
    <row r="15" ht="18" customHeight="1">
      <c r="A15" s="21" t="n">
        <v>12</v>
      </c>
      <c r="B15" s="7" t="n"/>
      <c r="C15" s="14" t="n"/>
      <c r="D15" s="7" t="n"/>
      <c r="E15" s="377" t="inlineStr">
        <is>
          <t>ม.5/4</t>
        </is>
      </c>
      <c r="F15" s="7" t="n"/>
      <c r="G15" s="7" t="n"/>
      <c r="H15" s="22" t="n"/>
    </row>
    <row r="16" ht="18" customHeight="1">
      <c r="A16" s="21" t="n">
        <v>13</v>
      </c>
      <c r="B16" s="7" t="n"/>
      <c r="C16" s="14" t="n"/>
      <c r="D16" s="7" t="n"/>
      <c r="E16" s="377" t="inlineStr">
        <is>
          <t>ม.5/4</t>
        </is>
      </c>
      <c r="F16" s="7" t="n"/>
      <c r="G16" s="7" t="n"/>
      <c r="H16" s="22" t="n"/>
    </row>
    <row r="17" ht="18" customHeight="1">
      <c r="A17" s="21" t="n">
        <v>14</v>
      </c>
      <c r="B17" s="7" t="n"/>
      <c r="C17" s="14" t="n"/>
      <c r="D17" s="7" t="n"/>
      <c r="E17" s="377" t="inlineStr">
        <is>
          <t>ม.5/4</t>
        </is>
      </c>
      <c r="F17" s="7" t="n"/>
      <c r="G17" s="7" t="n"/>
      <c r="H17" s="22" t="n"/>
    </row>
    <row r="18" ht="18" customHeight="1">
      <c r="A18" s="21" t="n">
        <v>15</v>
      </c>
      <c r="B18" s="7" t="n"/>
      <c r="C18" s="14" t="n"/>
      <c r="D18" s="7" t="n"/>
      <c r="E18" s="377" t="inlineStr">
        <is>
          <t>ม.5/4</t>
        </is>
      </c>
      <c r="F18" s="7" t="n"/>
      <c r="G18" s="7" t="n"/>
      <c r="H18" s="22" t="n"/>
    </row>
    <row r="19" ht="18" customHeight="1">
      <c r="A19" s="21" t="n">
        <v>16</v>
      </c>
      <c r="B19" s="7" t="n"/>
      <c r="C19" s="14" t="n"/>
      <c r="D19" s="7" t="n"/>
      <c r="E19" s="377" t="inlineStr">
        <is>
          <t>ม.5/4</t>
        </is>
      </c>
      <c r="F19" s="7" t="n"/>
      <c r="G19" s="7" t="n"/>
      <c r="H19" s="22" t="n"/>
    </row>
    <row r="20" ht="18" customHeight="1">
      <c r="A20" s="21" t="n">
        <v>17</v>
      </c>
      <c r="B20" s="7" t="n"/>
      <c r="C20" s="14" t="n"/>
      <c r="D20" s="7" t="n"/>
      <c r="E20" s="377" t="inlineStr">
        <is>
          <t>ม.5/4</t>
        </is>
      </c>
      <c r="F20" s="7" t="n"/>
      <c r="G20" s="7" t="n"/>
      <c r="H20" s="22" t="n"/>
    </row>
    <row r="21" ht="18" customHeight="1">
      <c r="A21" s="21" t="n">
        <v>18</v>
      </c>
      <c r="B21" s="7" t="n"/>
      <c r="C21" s="14" t="n"/>
      <c r="D21" s="7" t="n"/>
      <c r="E21" s="377" t="inlineStr">
        <is>
          <t>ม.5/4</t>
        </is>
      </c>
      <c r="F21" s="7" t="n"/>
      <c r="G21" s="7" t="n"/>
      <c r="H21" s="22" t="n"/>
    </row>
    <row r="22" ht="18" customHeight="1">
      <c r="A22" s="21" t="n">
        <v>19</v>
      </c>
      <c r="B22" s="7" t="n"/>
      <c r="C22" s="14" t="n"/>
      <c r="D22" s="7" t="n"/>
      <c r="E22" s="377" t="inlineStr">
        <is>
          <t>ม.5/4</t>
        </is>
      </c>
      <c r="F22" s="7" t="n"/>
      <c r="G22" s="7" t="n"/>
      <c r="H22" s="22" t="n"/>
    </row>
    <row r="23" ht="18" customHeight="1">
      <c r="A23" s="21" t="n">
        <v>20</v>
      </c>
      <c r="B23" s="7" t="n"/>
      <c r="C23" s="14" t="n"/>
      <c r="D23" s="7" t="n"/>
      <c r="E23" s="377" t="inlineStr">
        <is>
          <t>ม.5/4</t>
        </is>
      </c>
      <c r="F23" s="7" t="n"/>
      <c r="G23" s="7" t="n"/>
      <c r="H23" s="22" t="n"/>
    </row>
    <row r="24" ht="18" customHeight="1">
      <c r="A24" s="21" t="n">
        <v>21</v>
      </c>
      <c r="B24" s="7" t="n"/>
      <c r="C24" s="14" t="n"/>
      <c r="D24" s="7" t="n"/>
      <c r="E24" s="377" t="inlineStr">
        <is>
          <t>ม.5/4</t>
        </is>
      </c>
      <c r="F24" s="7" t="n"/>
      <c r="G24" s="7" t="n"/>
      <c r="H24" s="22" t="n"/>
    </row>
    <row r="25" ht="18" customHeight="1">
      <c r="A25" s="21" t="n">
        <v>22</v>
      </c>
      <c r="B25" s="7" t="n"/>
      <c r="C25" s="14" t="n"/>
      <c r="D25" s="7" t="n"/>
      <c r="E25" s="377" t="inlineStr">
        <is>
          <t>ม.5/4</t>
        </is>
      </c>
      <c r="F25" s="7" t="n"/>
      <c r="G25" s="7" t="n"/>
      <c r="H25" s="22" t="n"/>
    </row>
    <row r="26" ht="18" customHeight="1">
      <c r="A26" s="21" t="n">
        <v>23</v>
      </c>
      <c r="B26" s="7" t="n"/>
      <c r="C26" s="14" t="n"/>
      <c r="D26" s="7" t="n"/>
      <c r="E26" s="377" t="inlineStr">
        <is>
          <t>ม.5/4</t>
        </is>
      </c>
      <c r="F26" s="7" t="n"/>
      <c r="G26" s="7" t="n"/>
      <c r="H26" s="22" t="n"/>
    </row>
    <row r="27" ht="18" customHeight="1">
      <c r="A27" s="21" t="n">
        <v>24</v>
      </c>
      <c r="B27" s="7" t="n"/>
      <c r="C27" s="14" t="n"/>
      <c r="D27" s="7" t="n"/>
      <c r="E27" s="377" t="inlineStr">
        <is>
          <t>ม.5/4</t>
        </is>
      </c>
      <c r="F27" s="7" t="n"/>
      <c r="G27" s="7" t="n"/>
      <c r="H27" s="22" t="n"/>
    </row>
    <row r="28" ht="18" customHeight="1">
      <c r="A28" s="21" t="n">
        <v>25</v>
      </c>
      <c r="B28" s="7" t="n"/>
      <c r="C28" s="14" t="n"/>
      <c r="D28" s="7" t="n"/>
      <c r="E28" s="377" t="inlineStr">
        <is>
          <t>ม.5/4</t>
        </is>
      </c>
      <c r="F28" s="7" t="n"/>
      <c r="G28" s="7" t="n"/>
      <c r="H28" s="22" t="n"/>
    </row>
    <row r="29" ht="18" customHeight="1">
      <c r="A29" s="21" t="n">
        <v>26</v>
      </c>
      <c r="B29" s="7" t="n"/>
      <c r="C29" s="14" t="n"/>
      <c r="D29" s="7" t="n"/>
      <c r="E29" s="377" t="inlineStr">
        <is>
          <t>ม.5/4</t>
        </is>
      </c>
      <c r="F29" s="7" t="n"/>
      <c r="G29" s="7" t="n"/>
      <c r="H29" s="22" t="n"/>
    </row>
    <row r="30" ht="18" customHeight="1">
      <c r="A30" s="21" t="n">
        <v>27</v>
      </c>
      <c r="B30" s="7" t="n"/>
      <c r="C30" s="14" t="n"/>
      <c r="D30" s="7" t="n"/>
      <c r="E30" s="377" t="inlineStr">
        <is>
          <t>ม.5/4</t>
        </is>
      </c>
      <c r="F30" s="7" t="n"/>
      <c r="G30" s="7" t="n"/>
      <c r="H30" s="22" t="n"/>
    </row>
    <row r="31" ht="18" customHeight="1">
      <c r="A31" s="21" t="n">
        <v>28</v>
      </c>
      <c r="B31" s="7" t="n"/>
      <c r="C31" s="14" t="n"/>
      <c r="D31" s="7" t="n"/>
      <c r="E31" s="377" t="inlineStr">
        <is>
          <t>ม.5/4</t>
        </is>
      </c>
      <c r="F31" s="7" t="n"/>
      <c r="G31" s="7" t="n"/>
      <c r="H31" s="22" t="n"/>
    </row>
    <row r="32" ht="18" customHeight="1">
      <c r="A32" s="21" t="n">
        <v>29</v>
      </c>
      <c r="B32" s="7" t="n"/>
      <c r="C32" s="14" t="n"/>
      <c r="D32" s="7" t="n"/>
      <c r="E32" s="377" t="inlineStr">
        <is>
          <t>ม.5/4</t>
        </is>
      </c>
      <c r="F32" s="7" t="n"/>
      <c r="G32" s="7" t="n"/>
      <c r="H32" s="22" t="n"/>
    </row>
    <row r="33" ht="18" customHeight="1">
      <c r="A33" s="21" t="n">
        <v>30</v>
      </c>
      <c r="B33" s="7" t="n"/>
      <c r="C33" s="14" t="n"/>
      <c r="D33" s="7" t="n"/>
      <c r="E33" s="377" t="inlineStr">
        <is>
          <t>ม.5/4</t>
        </is>
      </c>
      <c r="F33" s="7" t="n"/>
      <c r="G33" s="7" t="n"/>
      <c r="H33" s="22" t="n"/>
    </row>
    <row r="34" ht="18" customHeight="1">
      <c r="A34" s="21" t="n">
        <v>31</v>
      </c>
      <c r="B34" s="7" t="n"/>
      <c r="C34" s="14" t="n"/>
      <c r="D34" s="7" t="n"/>
      <c r="E34" s="377" t="inlineStr">
        <is>
          <t>ม.5/4</t>
        </is>
      </c>
      <c r="F34" s="7" t="n"/>
      <c r="G34" s="7" t="n"/>
      <c r="H34" s="22" t="n"/>
    </row>
    <row r="35" ht="18" customHeight="1">
      <c r="A35" s="21" t="n">
        <v>32</v>
      </c>
      <c r="B35" s="7" t="n"/>
      <c r="C35" s="14" t="n"/>
      <c r="D35" s="7" t="n"/>
      <c r="E35" s="377" t="inlineStr">
        <is>
          <t>ม.5/4</t>
        </is>
      </c>
      <c r="F35" s="7" t="n"/>
      <c r="G35" s="7" t="n"/>
      <c r="H35" s="22" t="n"/>
    </row>
    <row r="36" ht="18" customHeight="1">
      <c r="A36" s="21" t="n">
        <v>33</v>
      </c>
      <c r="B36" s="7" t="n"/>
      <c r="C36" s="14" t="n"/>
      <c r="D36" s="7" t="n"/>
      <c r="E36" s="377" t="inlineStr">
        <is>
          <t>ม.5/4</t>
        </is>
      </c>
      <c r="F36" s="7" t="n"/>
      <c r="G36" s="7" t="n"/>
      <c r="H36" s="22" t="n"/>
    </row>
    <row r="37" ht="18" customHeight="1">
      <c r="A37" s="21" t="n">
        <v>34</v>
      </c>
      <c r="B37" s="7" t="n"/>
      <c r="C37" s="14" t="n"/>
      <c r="D37" s="7" t="n"/>
      <c r="E37" s="377" t="inlineStr">
        <is>
          <t>ม.5/4</t>
        </is>
      </c>
      <c r="F37" s="7" t="n"/>
      <c r="G37" s="7" t="n"/>
      <c r="H37" s="22" t="n"/>
    </row>
    <row r="38" ht="18" customHeight="1">
      <c r="A38" s="21" t="n">
        <v>35</v>
      </c>
      <c r="B38" s="7" t="n"/>
      <c r="C38" s="14" t="n"/>
      <c r="D38" s="7" t="n"/>
      <c r="E38" s="377" t="inlineStr">
        <is>
          <t>ม.5/4</t>
        </is>
      </c>
      <c r="F38" s="7" t="n"/>
      <c r="G38" s="7" t="n"/>
      <c r="H38" s="22" t="n"/>
    </row>
    <row r="39" ht="18" customHeight="1">
      <c r="A39" s="21" t="n">
        <v>36</v>
      </c>
      <c r="B39" s="7" t="n"/>
      <c r="C39" s="14" t="n"/>
      <c r="D39" s="7" t="n"/>
      <c r="E39" s="377" t="inlineStr">
        <is>
          <t>ม.5/5</t>
        </is>
      </c>
      <c r="F39" s="7" t="n"/>
      <c r="G39" s="7" t="n"/>
      <c r="H39" s="22" t="n"/>
    </row>
    <row r="40" ht="18" customHeight="1">
      <c r="A40" s="21" t="n">
        <v>37</v>
      </c>
      <c r="B40" s="7" t="n"/>
      <c r="C40" s="14" t="n"/>
      <c r="D40" s="7" t="n"/>
      <c r="E40" s="377" t="inlineStr">
        <is>
          <t>ม.5/5</t>
        </is>
      </c>
      <c r="F40" s="7" t="n"/>
      <c r="G40" s="7" t="n"/>
      <c r="H40" s="22" t="n"/>
    </row>
    <row r="41" ht="18" customHeight="1">
      <c r="A41" s="21" t="n">
        <v>38</v>
      </c>
      <c r="B41" s="7" t="n"/>
      <c r="C41" s="14" t="n"/>
      <c r="D41" s="7" t="n"/>
      <c r="E41" s="377" t="inlineStr">
        <is>
          <t>ม.5/5</t>
        </is>
      </c>
      <c r="F41" s="7" t="n"/>
      <c r="G41" s="7" t="n"/>
      <c r="H41" s="22" t="n"/>
    </row>
    <row r="42" ht="18" customHeight="1">
      <c r="A42" s="21" t="n">
        <v>39</v>
      </c>
      <c r="B42" s="7" t="n"/>
      <c r="C42" s="14" t="n"/>
      <c r="D42" s="7" t="n"/>
      <c r="E42" s="377" t="inlineStr">
        <is>
          <t>ม.5/5</t>
        </is>
      </c>
      <c r="F42" s="7" t="n"/>
      <c r="G42" s="7" t="n"/>
      <c r="H42" s="22" t="n"/>
    </row>
    <row r="43" ht="18" customHeight="1">
      <c r="A43" s="21" t="n">
        <v>40</v>
      </c>
      <c r="B43" s="7" t="n"/>
      <c r="C43" s="14" t="n"/>
      <c r="D43" s="7" t="n"/>
      <c r="E43" s="377" t="inlineStr">
        <is>
          <t>ม.5/5</t>
        </is>
      </c>
      <c r="F43" s="7" t="n"/>
      <c r="G43" s="7" t="n"/>
      <c r="H43" s="22" t="n"/>
    </row>
    <row r="44" ht="15" customHeight="1">
      <c r="B44" s="226" t="inlineStr">
        <is>
          <t>สรุป (Auto)</t>
        </is>
      </c>
      <c r="C44" s="369" t="n"/>
      <c r="D44" s="369" t="n"/>
      <c r="E44" s="369" t="n"/>
      <c r="F44" s="23">
        <f>IFERROR(AVERAGE(F4:F43),"—")</f>
        <v/>
      </c>
      <c r="G44" s="23">
        <f>IFERROR(AVERAGE(G4:G43),"—")</f>
        <v/>
      </c>
    </row>
    <row r="45" ht="15" customHeight="1">
      <c r="B45" s="227" t="inlineStr">
        <is>
          <t>จำนวนนักเรียนทั้งหมด</t>
        </is>
      </c>
      <c r="C45" s="369" t="n"/>
      <c r="D45" s="369" t="n"/>
      <c r="E45" s="369" t="n"/>
      <c r="F45" s="8">
        <f>COUNTA(C4:C43)</f>
        <v/>
      </c>
      <c r="G45" s="8">
        <f>COUNTA(G4:G43)</f>
        <v/>
      </c>
    </row>
  </sheetData>
  <mergeCells count="4">
    <mergeCell ref="B1:H1"/>
    <mergeCell ref="B2:H2"/>
    <mergeCell ref="B44:E44"/>
    <mergeCell ref="B45:E45"/>
  </mergeCells>
  <dataValidations count="1">
    <dataValidation sqref="D4:D43" showErrorMessage="1" showInputMessage="1" allowBlank="1" type="list">
      <formula1>"ชาย,หญิง,อื่นๆ"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O43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6" customWidth="1" min="2" max="2"/>
    <col width="26" customWidth="1" min="3" max="3"/>
    <col width="8" customWidth="1" min="4" max="39"/>
    <col width="10" customWidth="1" min="40" max="41"/>
  </cols>
  <sheetData>
    <row r="1" ht="27.75" customHeight="1">
      <c r="B1" s="228" t="inlineStr">
        <is>
          <t>🔬 บันทึกคะแนน POE — กรอกคะแนน 0–3 ตามเกณฑ์ใน Sheet คำแนะนำ</t>
        </is>
      </c>
    </row>
    <row r="2" ht="25.5" customHeight="1">
      <c r="B2" s="11" t="inlineStr">
        <is>
          <t>ที่</t>
        </is>
      </c>
      <c r="C2" s="11" t="inlineStr">
        <is>
          <t>ชื่อนักเรียน</t>
        </is>
      </c>
      <c r="D2" s="229" t="inlineStr">
        <is>
          <t>แผนที่ 1</t>
        </is>
      </c>
      <c r="E2" s="369" t="n"/>
      <c r="F2" s="369" t="n"/>
      <c r="G2" s="369" t="n"/>
      <c r="H2" s="369" t="n"/>
      <c r="I2" s="369" t="n"/>
      <c r="J2" s="230" t="inlineStr">
        <is>
          <t>แผนที่ 2</t>
        </is>
      </c>
      <c r="K2" s="369" t="n"/>
      <c r="L2" s="369" t="n"/>
      <c r="M2" s="369" t="n"/>
      <c r="N2" s="369" t="n"/>
      <c r="O2" s="369" t="n"/>
      <c r="P2" s="231" t="inlineStr">
        <is>
          <t>แผนที่ 3</t>
        </is>
      </c>
      <c r="Q2" s="369" t="n"/>
      <c r="R2" s="369" t="n"/>
      <c r="S2" s="369" t="n"/>
      <c r="T2" s="18" t="inlineStr">
        <is>
          <t>แผนที่ 4</t>
        </is>
      </c>
      <c r="V2" s="232" t="inlineStr">
        <is>
          <t>แผนที่ 5</t>
        </is>
      </c>
      <c r="W2" s="369" t="n"/>
      <c r="X2" s="369" t="n"/>
      <c r="Y2" s="369" t="n"/>
      <c r="Z2" s="233" t="inlineStr">
        <is>
          <t>แผนที่ 6</t>
        </is>
      </c>
      <c r="AA2" s="369" t="n"/>
      <c r="AB2" s="369" t="n"/>
      <c r="AC2" s="369" t="n"/>
      <c r="AD2" s="211" t="inlineStr">
        <is>
          <t>แผนที่ 7</t>
        </is>
      </c>
      <c r="AE2" s="369" t="n"/>
      <c r="AF2" s="369" t="n"/>
      <c r="AG2" s="369" t="n"/>
      <c r="AH2" s="24" t="inlineStr">
        <is>
          <t>แผนที่ 8</t>
        </is>
      </c>
      <c r="AJ2" s="25" t="inlineStr">
        <is>
          <t>แผนที่ 9</t>
        </is>
      </c>
      <c r="AL2" s="26" t="inlineStr">
        <is>
          <t>แผนที่ 10</t>
        </is>
      </c>
    </row>
    <row r="3" ht="42" customHeight="1">
      <c r="B3" s="27" t="inlineStr">
        <is>
          <t>ที่</t>
        </is>
      </c>
      <c r="C3" s="27" t="inlineStr">
        <is>
          <t>ชื่อนักเรียน</t>
        </is>
      </c>
      <c r="D3" s="28" t="inlineStr">
        <is>
          <t>แผน1
สปริง
P1
(P)</t>
        </is>
      </c>
      <c r="E3" s="28" t="inlineStr">
        <is>
          <t>แผน1
สปริง
P1
(รวม)</t>
        </is>
      </c>
      <c r="F3" s="28" t="inlineStr">
        <is>
          <t>แผน1
สปริง
P2
(P)</t>
        </is>
      </c>
      <c r="G3" s="28" t="inlineStr">
        <is>
          <t>แผน1
สปริง
P2
(รวม)</t>
        </is>
      </c>
      <c r="H3" s="28" t="inlineStr">
        <is>
          <t>แผน1
PhET
P1
(P)</t>
        </is>
      </c>
      <c r="I3" s="28" t="inlineStr">
        <is>
          <t>แผน1
PhET
P1
(รวม)</t>
        </is>
      </c>
      <c r="J3" s="29" t="inlineStr">
        <is>
          <t>แผน2
กราฟ
P1
(P)</t>
        </is>
      </c>
      <c r="K3" s="29" t="inlineStr">
        <is>
          <t>แผน2
กราฟ
P1
(รวม)</t>
        </is>
      </c>
      <c r="L3" s="29" t="inlineStr">
        <is>
          <t>แผน2
PhET
P2
(P)</t>
        </is>
      </c>
      <c r="M3" s="29" t="inlineStr">
        <is>
          <t>แผน2
PhET
P2
(รวม)</t>
        </is>
      </c>
      <c r="N3" s="29" t="inlineStr">
        <is>
          <t>แผน2
เฟส
P3
(P)</t>
        </is>
      </c>
      <c r="O3" s="29" t="inlineStr">
        <is>
          <t>แผน2
เฟส
P3
(รวม)</t>
        </is>
      </c>
      <c r="P3" s="30" t="inlineStr">
        <is>
          <t>แผน3
เชือก
P1
(P)</t>
        </is>
      </c>
      <c r="Q3" s="30" t="inlineStr">
        <is>
          <t>แผน3
เชือก
P1
(รวม)</t>
        </is>
      </c>
      <c r="R3" s="30" t="inlineStr">
        <is>
          <t>แผน3
v=fλ
P2
(P)</t>
        </is>
      </c>
      <c r="S3" s="30" t="inlineStr">
        <is>
          <t>แผน3
v=fλ
P2
(รวม)</t>
        </is>
      </c>
      <c r="T3" s="31" t="inlineStr">
        <is>
          <t>แผน4
คำนวณ
P1
(P)</t>
        </is>
      </c>
      <c r="U3" s="31" t="inlineStr">
        <is>
          <t>แผน4
คำนวณ
P1
(รวม)</t>
        </is>
      </c>
      <c r="V3" s="32" t="inlineStr">
        <is>
          <t>แผน5
ฮอย
P1
(P)</t>
        </is>
      </c>
      <c r="W3" s="32" t="inlineStr">
        <is>
          <t>แผน5
ฮอย
P1
(รวม)</t>
        </is>
      </c>
      <c r="X3" s="32" t="inlineStr">
        <is>
          <t>แผน5
ซ้อน
P2
(P)</t>
        </is>
      </c>
      <c r="Y3" s="32" t="inlineStr">
        <is>
          <t>แผน5
ซ้อน
P2
(รวม)</t>
        </is>
      </c>
      <c r="Z3" s="33" t="inlineStr">
        <is>
          <t>แผน6
สะท้อน
P1
(P)</t>
        </is>
      </c>
      <c r="AA3" s="33" t="inlineStr">
        <is>
          <t>แผน6
สะท้อน
P1
(รวม)</t>
        </is>
      </c>
      <c r="AB3" s="33" t="inlineStr">
        <is>
          <t>แผน6
หักเห
P2
(P)</t>
        </is>
      </c>
      <c r="AC3" s="33" t="inlineStr">
        <is>
          <t>แผน6
หักเห
P2
(รวม)</t>
        </is>
      </c>
      <c r="AD3" s="34" t="inlineStr">
        <is>
          <t>แผน7
แทรก
P1
(P)</t>
        </is>
      </c>
      <c r="AE3" s="34" t="inlineStr">
        <is>
          <t>แผน7
แทรก
P1
(รวม)</t>
        </is>
      </c>
      <c r="AF3" s="34" t="inlineStr">
        <is>
          <t>แผน7
นิ่ง
P2
(P)</t>
        </is>
      </c>
      <c r="AG3" s="34" t="inlineStr">
        <is>
          <t>แผน7
นิ่ง
P2
(รวม)</t>
        </is>
      </c>
      <c r="AH3" s="35" t="inlineStr">
        <is>
          <t>แผน8
เลี้ยว
P1
(P)</t>
        </is>
      </c>
      <c r="AI3" s="35" t="inlineStr">
        <is>
          <t>แผน8
เลี้ยว
P1
(รวม)</t>
        </is>
      </c>
      <c r="AJ3" s="33" t="inlineStr">
        <is>
          <t>แผน9
บูรณา
P1
(P)</t>
        </is>
      </c>
      <c r="AK3" s="33" t="inlineStr">
        <is>
          <t>แผน9
บูรณา
P1
(รวม)</t>
        </is>
      </c>
      <c r="AL3" s="36" t="inlineStr">
        <is>
          <t>แผน10
ทบทวน
P1
(P)</t>
        </is>
      </c>
      <c r="AM3" s="36" t="inlineStr">
        <is>
          <t>แผน10
ทบทวน
P1
(รวม)</t>
        </is>
      </c>
      <c r="AN3" s="27" t="inlineStr">
        <is>
          <t>คะแนน
รวม
POE</t>
        </is>
      </c>
      <c r="AO3" s="27" t="inlineStr">
        <is>
          <t>เฉลี่ย
รวม</t>
        </is>
      </c>
    </row>
    <row r="4" ht="18" customHeight="1">
      <c r="B4" s="21">
        <f>'📥 ข้อมูลนักเรียน'!B4</f>
        <v/>
      </c>
      <c r="C4" s="22">
        <f>'📥 ข้อมูลนักเรียน'!C4</f>
        <v/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37">
        <f>SUM(D4,E4,F4,G4,H4,I4,J4,K4,L4,M4,N4,O4,P4,Q4,R4,S4,T4,U4,V4,W4,X4,Y4,Z4,AA4,AB4,AC4,AD4,AE4,AF4,AG4,AH4,AI4,AJ4,AK4,AL4,AM4)</f>
        <v/>
      </c>
      <c r="AO4" s="37">
        <f>IFERROR(AN4/36,0)</f>
        <v/>
      </c>
    </row>
    <row r="5" ht="18" customHeight="1">
      <c r="B5" s="21">
        <f>'📥 ข้อมูลนักเรียน'!B5</f>
        <v/>
      </c>
      <c r="C5" s="38">
        <f>'📥 ข้อมูลนักเรียน'!C5</f>
        <v/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37">
        <f>SUM(D5,E5,F5,G5,H5,I5,J5,K5,L5,M5,N5,O5,P5,Q5,R5,S5,T5,U5,V5,W5,X5,Y5,Z5,AA5,AB5,AC5,AD5,AE5,AF5,AG5,AH5,AI5,AJ5,AK5,AL5,AM5)</f>
        <v/>
      </c>
      <c r="AO5" s="37">
        <f>IFERROR(AN5/36,0)</f>
        <v/>
      </c>
    </row>
    <row r="6" ht="18" customHeight="1">
      <c r="B6" s="21">
        <f>'📥 ข้อมูลนักเรียน'!B6</f>
        <v/>
      </c>
      <c r="C6" s="22">
        <f>'📥 ข้อมูลนักเรียน'!C6</f>
        <v/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37">
        <f>SUM(D6,E6,F6,G6,H6,I6,J6,K6,L6,M6,N6,O6,P6,Q6,R6,S6,T6,U6,V6,W6,X6,Y6,Z6,AA6,AB6,AC6,AD6,AE6,AF6,AG6,AH6,AI6,AJ6,AK6,AL6,AM6)</f>
        <v/>
      </c>
      <c r="AO6" s="37">
        <f>IFERROR(AN6/36,0)</f>
        <v/>
      </c>
    </row>
    <row r="7" ht="18" customHeight="1">
      <c r="B7" s="21">
        <f>'📥 ข้อมูลนักเรียน'!B7</f>
        <v/>
      </c>
      <c r="C7" s="38">
        <f>'📥 ข้อมูลนักเรียน'!C7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37">
        <f>SUM(D7,E7,F7,G7,H7,I7,J7,K7,L7,M7,N7,O7,P7,Q7,R7,S7,T7,U7,V7,W7,X7,Y7,Z7,AA7,AB7,AC7,AD7,AE7,AF7,AG7,AH7,AI7,AJ7,AK7,AL7,AM7)</f>
        <v/>
      </c>
      <c r="AO7" s="37">
        <f>IFERROR(AN7/36,0)</f>
        <v/>
      </c>
    </row>
    <row r="8" ht="18" customHeight="1">
      <c r="B8" s="21">
        <f>'📥 ข้อมูลนักเรียน'!B8</f>
        <v/>
      </c>
      <c r="C8" s="22">
        <f>'📥 ข้อมูลนักเรียน'!C8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37">
        <f>SUM(D8,E8,F8,G8,H8,I8,J8,K8,L8,M8,N8,O8,P8,Q8,R8,S8,T8,U8,V8,W8,X8,Y8,Z8,AA8,AB8,AC8,AD8,AE8,AF8,AG8,AH8,AI8,AJ8,AK8,AL8,AM8)</f>
        <v/>
      </c>
      <c r="AO8" s="37">
        <f>IFERROR(AN8/36,0)</f>
        <v/>
      </c>
    </row>
    <row r="9" ht="18" customHeight="1">
      <c r="B9" s="21">
        <f>'📥 ข้อมูลนักเรียน'!B9</f>
        <v/>
      </c>
      <c r="C9" s="38">
        <f>'📥 ข้อมูลนักเรียน'!C9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37">
        <f>SUM(D9,E9,F9,G9,H9,I9,J9,K9,L9,M9,N9,O9,P9,Q9,R9,S9,T9,U9,V9,W9,X9,Y9,Z9,AA9,AB9,AC9,AD9,AE9,AF9,AG9,AH9,AI9,AJ9,AK9,AL9,AM9)</f>
        <v/>
      </c>
      <c r="AO9" s="37">
        <f>IFERROR(AN9/36,0)</f>
        <v/>
      </c>
    </row>
    <row r="10" ht="18" customHeight="1">
      <c r="B10" s="21">
        <f>'📥 ข้อมูลนักเรียน'!B10</f>
        <v/>
      </c>
      <c r="C10" s="22">
        <f>'📥 ข้อมูลนักเรียน'!C10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37">
        <f>SUM(D10,E10,F10,G10,H10,I10,J10,K10,L10,M10,N10,O10,P10,Q10,R10,S10,T10,U10,V10,W10,X10,Y10,Z10,AA10,AB10,AC10,AD10,AE10,AF10,AG10,AH10,AI10,AJ10,AK10,AL10,AM10)</f>
        <v/>
      </c>
      <c r="AO10" s="37">
        <f>IFERROR(AN10/36,0)</f>
        <v/>
      </c>
    </row>
    <row r="11" ht="18" customHeight="1">
      <c r="B11" s="21">
        <f>'📥 ข้อมูลนักเรียน'!B11</f>
        <v/>
      </c>
      <c r="C11" s="38">
        <f>'📥 ข้อมูลนักเรียน'!C11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37">
        <f>SUM(D11,E11,F11,G11,H11,I11,J11,K11,L11,M11,N11,O11,P11,Q11,R11,S11,T11,U11,V11,W11,X11,Y11,Z11,AA11,AB11,AC11,AD11,AE11,AF11,AG11,AH11,AI11,AJ11,AK11,AL11,AM11)</f>
        <v/>
      </c>
      <c r="AO11" s="37">
        <f>IFERROR(AN11/36,0)</f>
        <v/>
      </c>
    </row>
    <row r="12" ht="18" customHeight="1">
      <c r="B12" s="21">
        <f>'📥 ข้อมูลนักเรียน'!B12</f>
        <v/>
      </c>
      <c r="C12" s="22">
        <f>'📥 ข้อมูลนักเรียน'!C12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37">
        <f>SUM(D12,E12,F12,G12,H12,I12,J12,K12,L12,M12,N12,O12,P12,Q12,R12,S12,T12,U12,V12,W12,X12,Y12,Z12,AA12,AB12,AC12,AD12,AE12,AF12,AG12,AH12,AI12,AJ12,AK12,AL12,AM12)</f>
        <v/>
      </c>
      <c r="AO12" s="37">
        <f>IFERROR(AN12/36,0)</f>
        <v/>
      </c>
    </row>
    <row r="13" ht="18" customHeight="1">
      <c r="B13" s="21">
        <f>'📥 ข้อมูลนักเรียน'!B13</f>
        <v/>
      </c>
      <c r="C13" s="38">
        <f>'📥 ข้อมูลนักเรียน'!C13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37">
        <f>SUM(D13,E13,F13,G13,H13,I13,J13,K13,L13,M13,N13,O13,P13,Q13,R13,S13,T13,U13,V13,W13,X13,Y13,Z13,AA13,AB13,AC13,AD13,AE13,AF13,AG13,AH13,AI13,AJ13,AK13,AL13,AM13)</f>
        <v/>
      </c>
      <c r="AO13" s="37">
        <f>IFERROR(AN13/36,0)</f>
        <v/>
      </c>
    </row>
    <row r="14" ht="18" customHeight="1">
      <c r="B14" s="21">
        <f>'📥 ข้อมูลนักเรียน'!B14</f>
        <v/>
      </c>
      <c r="C14" s="22">
        <f>'📥 ข้อมูลนักเรียน'!C14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37">
        <f>SUM(D14,E14,F14,G14,H14,I14,J14,K14,L14,M14,N14,O14,P14,Q14,R14,S14,T14,U14,V14,W14,X14,Y14,Z14,AA14,AB14,AC14,AD14,AE14,AF14,AG14,AH14,AI14,AJ14,AK14,AL14,AM14)</f>
        <v/>
      </c>
      <c r="AO14" s="37">
        <f>IFERROR(AN14/36,0)</f>
        <v/>
      </c>
    </row>
    <row r="15" ht="18" customHeight="1">
      <c r="B15" s="21">
        <f>'📥 ข้อมูลนักเรียน'!B15</f>
        <v/>
      </c>
      <c r="C15" s="38">
        <f>'📥 ข้อมูลนักเรียน'!C15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37">
        <f>SUM(D15,E15,F15,G15,H15,I15,J15,K15,L15,M15,N15,O15,P15,Q15,R15,S15,T15,U15,V15,W15,X15,Y15,Z15,AA15,AB15,AC15,AD15,AE15,AF15,AG15,AH15,AI15,AJ15,AK15,AL15,AM15)</f>
        <v/>
      </c>
      <c r="AO15" s="37">
        <f>IFERROR(AN15/36,0)</f>
        <v/>
      </c>
    </row>
    <row r="16" ht="18" customHeight="1">
      <c r="B16" s="21">
        <f>'📥 ข้อมูลนักเรียน'!B16</f>
        <v/>
      </c>
      <c r="C16" s="22">
        <f>'📥 ข้อมูลนักเรียน'!C16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37">
        <f>SUM(D16,E16,F16,G16,H16,I16,J16,K16,L16,M16,N16,O16,P16,Q16,R16,S16,T16,U16,V16,W16,X16,Y16,Z16,AA16,AB16,AC16,AD16,AE16,AF16,AG16,AH16,AI16,AJ16,AK16,AL16,AM16)</f>
        <v/>
      </c>
      <c r="AO16" s="37">
        <f>IFERROR(AN16/36,0)</f>
        <v/>
      </c>
    </row>
    <row r="17" ht="18" customHeight="1">
      <c r="B17" s="21">
        <f>'📥 ข้อมูลนักเรียน'!B17</f>
        <v/>
      </c>
      <c r="C17" s="38">
        <f>'📥 ข้อมูลนักเรียน'!C17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37">
        <f>SUM(D17,E17,F17,G17,H17,I17,J17,K17,L17,M17,N17,O17,P17,Q17,R17,S17,T17,U17,V17,W17,X17,Y17,Z17,AA17,AB17,AC17,AD17,AE17,AF17,AG17,AH17,AI17,AJ17,AK17,AL17,AM17)</f>
        <v/>
      </c>
      <c r="AO17" s="37">
        <f>IFERROR(AN17/36,0)</f>
        <v/>
      </c>
    </row>
    <row r="18" ht="18" customHeight="1">
      <c r="B18" s="21">
        <f>'📥 ข้อมูลนักเรียน'!B18</f>
        <v/>
      </c>
      <c r="C18" s="22">
        <f>'📥 ข้อมูลนักเรียน'!C18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37">
        <f>SUM(D18,E18,F18,G18,H18,I18,J18,K18,L18,M18,N18,O18,P18,Q18,R18,S18,T18,U18,V18,W18,X18,Y18,Z18,AA18,AB18,AC18,AD18,AE18,AF18,AG18,AH18,AI18,AJ18,AK18,AL18,AM18)</f>
        <v/>
      </c>
      <c r="AO18" s="37">
        <f>IFERROR(AN18/36,0)</f>
        <v/>
      </c>
    </row>
    <row r="19" ht="18" customHeight="1">
      <c r="B19" s="21">
        <f>'📥 ข้อมูลนักเรียน'!B19</f>
        <v/>
      </c>
      <c r="C19" s="38">
        <f>'📥 ข้อมูลนักเรียน'!C19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37">
        <f>SUM(D19,E19,F19,G19,H19,I19,J19,K19,L19,M19,N19,O19,P19,Q19,R19,S19,T19,U19,V19,W19,X19,Y19,Z19,AA19,AB19,AC19,AD19,AE19,AF19,AG19,AH19,AI19,AJ19,AK19,AL19,AM19)</f>
        <v/>
      </c>
      <c r="AO19" s="37">
        <f>IFERROR(AN19/36,0)</f>
        <v/>
      </c>
    </row>
    <row r="20" ht="18" customHeight="1">
      <c r="B20" s="21">
        <f>'📥 ข้อมูลนักเรียน'!B20</f>
        <v/>
      </c>
      <c r="C20" s="22">
        <f>'📥 ข้อมูลนักเรียน'!C20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37">
        <f>SUM(D20,E20,F20,G20,H20,I20,J20,K20,L20,M20,N20,O20,P20,Q20,R20,S20,T20,U20,V20,W20,X20,Y20,Z20,AA20,AB20,AC20,AD20,AE20,AF20,AG20,AH20,AI20,AJ20,AK20,AL20,AM20)</f>
        <v/>
      </c>
      <c r="AO20" s="37">
        <f>IFERROR(AN20/36,0)</f>
        <v/>
      </c>
    </row>
    <row r="21" ht="18" customHeight="1">
      <c r="B21" s="21">
        <f>'📥 ข้อมูลนักเรียน'!B21</f>
        <v/>
      </c>
      <c r="C21" s="38">
        <f>'📥 ข้อมูลนักเรียน'!C21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37">
        <f>SUM(D21,E21,F21,G21,H21,I21,J21,K21,L21,M21,N21,O21,P21,Q21,R21,S21,T21,U21,V21,W21,X21,Y21,Z21,AA21,AB21,AC21,AD21,AE21,AF21,AG21,AH21,AI21,AJ21,AK21,AL21,AM21)</f>
        <v/>
      </c>
      <c r="AO21" s="37">
        <f>IFERROR(AN21/36,0)</f>
        <v/>
      </c>
    </row>
    <row r="22" ht="18" customHeight="1">
      <c r="B22" s="21">
        <f>'📥 ข้อมูลนักเรียน'!B22</f>
        <v/>
      </c>
      <c r="C22" s="22">
        <f>'📥 ข้อมูลนักเรียน'!C22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37">
        <f>SUM(D22,E22,F22,G22,H22,I22,J22,K22,L22,M22,N22,O22,P22,Q22,R22,S22,T22,U22,V22,W22,X22,Y22,Z22,AA22,AB22,AC22,AD22,AE22,AF22,AG22,AH22,AI22,AJ22,AK22,AL22,AM22)</f>
        <v/>
      </c>
      <c r="AO22" s="37">
        <f>IFERROR(AN22/36,0)</f>
        <v/>
      </c>
    </row>
    <row r="23" ht="18" customHeight="1">
      <c r="B23" s="21">
        <f>'📥 ข้อมูลนักเรียน'!B23</f>
        <v/>
      </c>
      <c r="C23" s="38">
        <f>'📥 ข้อมูลนักเรียน'!C23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37">
        <f>SUM(D23,E23,F23,G23,H23,I23,J23,K23,L23,M23,N23,O23,P23,Q23,R23,S23,T23,U23,V23,W23,X23,Y23,Z23,AA23,AB23,AC23,AD23,AE23,AF23,AG23,AH23,AI23,AJ23,AK23,AL23,AM23)</f>
        <v/>
      </c>
      <c r="AO23" s="37">
        <f>IFERROR(AN23/36,0)</f>
        <v/>
      </c>
    </row>
    <row r="24" ht="18" customHeight="1">
      <c r="B24" s="21">
        <f>'📥 ข้อมูลนักเรียน'!B24</f>
        <v/>
      </c>
      <c r="C24" s="22">
        <f>'📥 ข้อมูลนักเรียน'!C24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37">
        <f>SUM(D24,E24,F24,G24,H24,I24,J24,K24,L24,M24,N24,O24,P24,Q24,R24,S24,T24,U24,V24,W24,X24,Y24,Z24,AA24,AB24,AC24,AD24,AE24,AF24,AG24,AH24,AI24,AJ24,AK24,AL24,AM24)</f>
        <v/>
      </c>
      <c r="AO24" s="37">
        <f>IFERROR(AN24/36,0)</f>
        <v/>
      </c>
    </row>
    <row r="25" ht="18" customHeight="1">
      <c r="B25" s="21">
        <f>'📥 ข้อมูลนักเรียน'!B25</f>
        <v/>
      </c>
      <c r="C25" s="38">
        <f>'📥 ข้อมูลนักเรียน'!C25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37">
        <f>SUM(D25,E25,F25,G25,H25,I25,J25,K25,L25,M25,N25,O25,P25,Q25,R25,S25,T25,U25,V25,W25,X25,Y25,Z25,AA25,AB25,AC25,AD25,AE25,AF25,AG25,AH25,AI25,AJ25,AK25,AL25,AM25)</f>
        <v/>
      </c>
      <c r="AO25" s="37">
        <f>IFERROR(AN25/36,0)</f>
        <v/>
      </c>
    </row>
    <row r="26" ht="18" customHeight="1">
      <c r="B26" s="21">
        <f>'📥 ข้อมูลนักเรียน'!B26</f>
        <v/>
      </c>
      <c r="C26" s="22">
        <f>'📥 ข้อมูลนักเรียน'!C26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37">
        <f>SUM(D26,E26,F26,G26,H26,I26,J26,K26,L26,M26,N26,O26,P26,Q26,R26,S26,T26,U26,V26,W26,X26,Y26,Z26,AA26,AB26,AC26,AD26,AE26,AF26,AG26,AH26,AI26,AJ26,AK26,AL26,AM26)</f>
        <v/>
      </c>
      <c r="AO26" s="37">
        <f>IFERROR(AN26/36,0)</f>
        <v/>
      </c>
    </row>
    <row r="27" ht="18" customHeight="1">
      <c r="B27" s="21">
        <f>'📥 ข้อมูลนักเรียน'!B27</f>
        <v/>
      </c>
      <c r="C27" s="38">
        <f>'📥 ข้อมูลนักเรียน'!C27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37">
        <f>SUM(D27,E27,F27,G27,H27,I27,J27,K27,L27,M27,N27,O27,P27,Q27,R27,S27,T27,U27,V27,W27,X27,Y27,Z27,AA27,AB27,AC27,AD27,AE27,AF27,AG27,AH27,AI27,AJ27,AK27,AL27,AM27)</f>
        <v/>
      </c>
      <c r="AO27" s="37">
        <f>IFERROR(AN27/36,0)</f>
        <v/>
      </c>
    </row>
    <row r="28" ht="18" customHeight="1">
      <c r="B28" s="21">
        <f>'📥 ข้อมูลนักเรียน'!B28</f>
        <v/>
      </c>
      <c r="C28" s="22">
        <f>'📥 ข้อมูลนักเรียน'!C28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37">
        <f>SUM(D28,E28,F28,G28,H28,I28,J28,K28,L28,M28,N28,O28,P28,Q28,R28,S28,T28,U28,V28,W28,X28,Y28,Z28,AA28,AB28,AC28,AD28,AE28,AF28,AG28,AH28,AI28,AJ28,AK28,AL28,AM28)</f>
        <v/>
      </c>
      <c r="AO28" s="37">
        <f>IFERROR(AN28/36,0)</f>
        <v/>
      </c>
    </row>
    <row r="29" ht="18" customHeight="1">
      <c r="B29" s="21">
        <f>'📥 ข้อมูลนักเรียน'!B29</f>
        <v/>
      </c>
      <c r="C29" s="38">
        <f>'📥 ข้อมูลนักเรียน'!C29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37">
        <f>SUM(D29,E29,F29,G29,H29,I29,J29,K29,L29,M29,N29,O29,P29,Q29,R29,S29,T29,U29,V29,W29,X29,Y29,Z29,AA29,AB29,AC29,AD29,AE29,AF29,AG29,AH29,AI29,AJ29,AK29,AL29,AM29)</f>
        <v/>
      </c>
      <c r="AO29" s="37">
        <f>IFERROR(AN29/36,0)</f>
        <v/>
      </c>
    </row>
    <row r="30" ht="18" customHeight="1">
      <c r="B30" s="21">
        <f>'📥 ข้อมูลนักเรียน'!B30</f>
        <v/>
      </c>
      <c r="C30" s="22">
        <f>'📥 ข้อมูลนักเรียน'!C30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37">
        <f>SUM(D30,E30,F30,G30,H30,I30,J30,K30,L30,M30,N30,O30,P30,Q30,R30,S30,T30,U30,V30,W30,X30,Y30,Z30,AA30,AB30,AC30,AD30,AE30,AF30,AG30,AH30,AI30,AJ30,AK30,AL30,AM30)</f>
        <v/>
      </c>
      <c r="AO30" s="37">
        <f>IFERROR(AN30/36,0)</f>
        <v/>
      </c>
    </row>
    <row r="31" ht="18" customHeight="1">
      <c r="B31" s="21">
        <f>'📥 ข้อมูลนักเรียน'!B31</f>
        <v/>
      </c>
      <c r="C31" s="38">
        <f>'📥 ข้อมูลนักเรียน'!C31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37">
        <f>SUM(D31,E31,F31,G31,H31,I31,J31,K31,L31,M31,N31,O31,P31,Q31,R31,S31,T31,U31,V31,W31,X31,Y31,Z31,AA31,AB31,AC31,AD31,AE31,AF31,AG31,AH31,AI31,AJ31,AK31,AL31,AM31)</f>
        <v/>
      </c>
      <c r="AO31" s="37">
        <f>IFERROR(AN31/36,0)</f>
        <v/>
      </c>
    </row>
    <row r="32" ht="18" customHeight="1">
      <c r="B32" s="21">
        <f>'📥 ข้อมูลนักเรียน'!B32</f>
        <v/>
      </c>
      <c r="C32" s="22">
        <f>'📥 ข้อมูลนักเรียน'!C32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37">
        <f>SUM(D32,E32,F32,G32,H32,I32,J32,K32,L32,M32,N32,O32,P32,Q32,R32,S32,T32,U32,V32,W32,X32,Y32,Z32,AA32,AB32,AC32,AD32,AE32,AF32,AG32,AH32,AI32,AJ32,AK32,AL32,AM32)</f>
        <v/>
      </c>
      <c r="AO32" s="37">
        <f>IFERROR(AN32/36,0)</f>
        <v/>
      </c>
    </row>
    <row r="33" ht="18" customHeight="1">
      <c r="B33" s="21">
        <f>'📥 ข้อมูลนักเรียน'!B33</f>
        <v/>
      </c>
      <c r="C33" s="38">
        <f>'📥 ข้อมูลนักเรียน'!C33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37">
        <f>SUM(D33,E33,F33,G33,H33,I33,J33,K33,L33,M33,N33,O33,P33,Q33,R33,S33,T33,U33,V33,W33,X33,Y33,Z33,AA33,AB33,AC33,AD33,AE33,AF33,AG33,AH33,AI33,AJ33,AK33,AL33,AM33)</f>
        <v/>
      </c>
      <c r="AO33" s="37">
        <f>IFERROR(AN33/36,0)</f>
        <v/>
      </c>
    </row>
    <row r="34" ht="18" customHeight="1">
      <c r="B34" s="21">
        <f>'📥 ข้อมูลนักเรียน'!B34</f>
        <v/>
      </c>
      <c r="C34" s="22">
        <f>'📥 ข้อมูลนักเรียน'!C34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37">
        <f>SUM(D34,E34,F34,G34,H34,I34,J34,K34,L34,M34,N34,O34,P34,Q34,R34,S34,T34,U34,V34,W34,X34,Y34,Z34,AA34,AB34,AC34,AD34,AE34,AF34,AG34,AH34,AI34,AJ34,AK34,AL34,AM34)</f>
        <v/>
      </c>
      <c r="AO34" s="37">
        <f>IFERROR(AN34/36,0)</f>
        <v/>
      </c>
    </row>
    <row r="35" ht="18" customHeight="1">
      <c r="B35" s="21">
        <f>'📥 ข้อมูลนักเรียน'!B35</f>
        <v/>
      </c>
      <c r="C35" s="38">
        <f>'📥 ข้อมูลนักเรียน'!C35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37">
        <f>SUM(D35,E35,F35,G35,H35,I35,J35,K35,L35,M35,N35,O35,P35,Q35,R35,S35,T35,U35,V35,W35,X35,Y35,Z35,AA35,AB35,AC35,AD35,AE35,AF35,AG35,AH35,AI35,AJ35,AK35,AL35,AM35)</f>
        <v/>
      </c>
      <c r="AO35" s="37">
        <f>IFERROR(AN35/36,0)</f>
        <v/>
      </c>
    </row>
    <row r="36" ht="18" customHeight="1">
      <c r="B36" s="21">
        <f>'📥 ข้อมูลนักเรียน'!B36</f>
        <v/>
      </c>
      <c r="C36" s="22">
        <f>'📥 ข้อมูลนักเรียน'!C36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37">
        <f>SUM(D36,E36,F36,G36,H36,I36,J36,K36,L36,M36,N36,O36,P36,Q36,R36,S36,T36,U36,V36,W36,X36,Y36,Z36,AA36,AB36,AC36,AD36,AE36,AF36,AG36,AH36,AI36,AJ36,AK36,AL36,AM36)</f>
        <v/>
      </c>
      <c r="AO36" s="37">
        <f>IFERROR(AN36/36,0)</f>
        <v/>
      </c>
    </row>
    <row r="37" ht="18" customHeight="1">
      <c r="B37" s="21">
        <f>'📥 ข้อมูลนักเรียน'!B37</f>
        <v/>
      </c>
      <c r="C37" s="38">
        <f>'📥 ข้อมูลนักเรียน'!C37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37">
        <f>SUM(D37,E37,F37,G37,H37,I37,J37,K37,L37,M37,N37,O37,P37,Q37,R37,S37,T37,U37,V37,W37,X37,Y37,Z37,AA37,AB37,AC37,AD37,AE37,AF37,AG37,AH37,AI37,AJ37,AK37,AL37,AM37)</f>
        <v/>
      </c>
      <c r="AO37" s="37">
        <f>IFERROR(AN37/36,0)</f>
        <v/>
      </c>
    </row>
    <row r="38" ht="18" customHeight="1">
      <c r="B38" s="21">
        <f>'📥 ข้อมูลนักเรียน'!B38</f>
        <v/>
      </c>
      <c r="C38" s="22">
        <f>'📥 ข้อมูลนักเรียน'!C38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37">
        <f>SUM(D38,E38,F38,G38,H38,I38,J38,K38,L38,M38,N38,O38,P38,Q38,R38,S38,T38,U38,V38,W38,X38,Y38,Z38,AA38,AB38,AC38,AD38,AE38,AF38,AG38,AH38,AI38,AJ38,AK38,AL38,AM38)</f>
        <v/>
      </c>
      <c r="AO38" s="37">
        <f>IFERROR(AN38/36,0)</f>
        <v/>
      </c>
    </row>
    <row r="39" ht="18" customHeight="1">
      <c r="B39" s="21">
        <f>'📥 ข้อมูลนักเรียน'!B39</f>
        <v/>
      </c>
      <c r="C39" s="38">
        <f>'📥 ข้อมูลนักเรียน'!C39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37">
        <f>SUM(D39,E39,F39,G39,H39,I39,J39,K39,L39,M39,N39,O39,P39,Q39,R39,S39,T39,U39,V39,W39,X39,Y39,Z39,AA39,AB39,AC39,AD39,AE39,AF39,AG39,AH39,AI39,AJ39,AK39,AL39,AM39)</f>
        <v/>
      </c>
      <c r="AO39" s="37">
        <f>IFERROR(AN39/36,0)</f>
        <v/>
      </c>
    </row>
    <row r="40" ht="18" customHeight="1">
      <c r="B40" s="21">
        <f>'📥 ข้อมูลนักเรียน'!B40</f>
        <v/>
      </c>
      <c r="C40" s="22">
        <f>'📥 ข้อมูลนักเรียน'!C40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37">
        <f>SUM(D40,E40,F40,G40,H40,I40,J40,K40,L40,M40,N40,O40,P40,Q40,R40,S40,T40,U40,V40,W40,X40,Y40,Z40,AA40,AB40,AC40,AD40,AE40,AF40,AG40,AH40,AI40,AJ40,AK40,AL40,AM40)</f>
        <v/>
      </c>
      <c r="AO40" s="37">
        <f>IFERROR(AN40/36,0)</f>
        <v/>
      </c>
    </row>
    <row r="41" ht="18" customHeight="1">
      <c r="B41" s="21">
        <f>'📥 ข้อมูลนักเรียน'!B41</f>
        <v/>
      </c>
      <c r="C41" s="38">
        <f>'📥 ข้อมูลนักเรียน'!C41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37">
        <f>SUM(D41,E41,F41,G41,H41,I41,J41,K41,L41,M41,N41,O41,P41,Q41,R41,S41,T41,U41,V41,W41,X41,Y41,Z41,AA41,AB41,AC41,AD41,AE41,AF41,AG41,AH41,AI41,AJ41,AK41,AL41,AM41)</f>
        <v/>
      </c>
      <c r="AO41" s="37">
        <f>IFERROR(AN41/36,0)</f>
        <v/>
      </c>
    </row>
    <row r="42" ht="18" customHeight="1">
      <c r="B42" s="21">
        <f>'📥 ข้อมูลนักเรียน'!B42</f>
        <v/>
      </c>
      <c r="C42" s="22">
        <f>'📥 ข้อมูลนักเรียน'!C42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37">
        <f>SUM(D42,E42,F42,G42,H42,I42,J42,K42,L42,M42,N42,O42,P42,Q42,R42,S42,T42,U42,V42,W42,X42,Y42,Z42,AA42,AB42,AC42,AD42,AE42,AF42,AG42,AH42,AI42,AJ42,AK42,AL42,AM42)</f>
        <v/>
      </c>
      <c r="AO42" s="37">
        <f>IFERROR(AN42/36,0)</f>
        <v/>
      </c>
    </row>
    <row r="43" ht="18" customHeight="1">
      <c r="B43" s="21">
        <f>'📥 ข้อมูลนักเรียน'!B43</f>
        <v/>
      </c>
      <c r="C43" s="38">
        <f>'📥 ข้อมูลนักเรียน'!C43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37">
        <f>SUM(D43,E43,F43,G43,H43,I43,J43,K43,L43,M43,N43,O43,P43,Q43,R43,S43,T43,U43,V43,W43,X43,Y43,Z43,AA43,AB43,AC43,AD43,AE43,AF43,AG43,AH43,AI43,AJ43,AK43,AL43,AM43)</f>
        <v/>
      </c>
      <c r="AO43" s="37">
        <f>IFERROR(AN43/36,0)</f>
        <v/>
      </c>
    </row>
  </sheetData>
  <mergeCells count="7">
    <mergeCell ref="B1:AO1"/>
    <mergeCell ref="D2:I2"/>
    <mergeCell ref="J2:O2"/>
    <mergeCell ref="P2:S2"/>
    <mergeCell ref="V2:Y2"/>
    <mergeCell ref="Z2:AC2"/>
    <mergeCell ref="AD2:AG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628"/>
  <sheetViews>
    <sheetView showGridLines="0" zoomScale="85" zoomScaleNormal="85" workbookViewId="0">
      <pane xSplit="3" ySplit="4" topLeftCell="D65" activePane="bottomRight" state="frozen"/>
      <selection pane="topRight" activeCell="D1" sqref="D1"/>
      <selection pane="bottomLeft" activeCell="A5" sqref="A5"/>
      <selection pane="bottomRight" activeCell="A9" sqref="A9"/>
    </sheetView>
  </sheetViews>
  <sheetFormatPr baseColWidth="10" defaultColWidth="8.6640625" defaultRowHeight="15"/>
  <cols>
    <col width="9" customWidth="1" min="1" max="1"/>
    <col width="5" customWidth="1" min="2" max="2"/>
    <col width="22" customWidth="1" min="3" max="3"/>
    <col width="5.5" customWidth="1" min="4" max="19"/>
    <col width="9" customWidth="1" min="20" max="24"/>
  </cols>
  <sheetData>
    <row r="1" ht="27.75" customHeight="1">
      <c r="B1" s="234" t="inlineStr">
        <is>
          <t>📋 Formative Test รายคาบ — Four-tier (Tier 1–4) | 4 ข้อ/แผน | Pre+Post | วัด Misconception รายแผน</t>
        </is>
      </c>
    </row>
    <row r="2" ht="15.75" customHeight="1">
      <c r="B2" s="235" t="inlineStr">
        <is>
          <t>T1,T3: กรอก ก/ข/ค/ง  |  T2,T4: Y=มั่นใจ N=ไม่มั่นใจ  |  🟡 ช่องสีเหลือง=กรอก  🟢 ช่องสีเขียว=Auto  |  แผน 4,8,9 ไม่มี Pre-test (Post only)</t>
        </is>
      </c>
    </row>
    <row r="3" ht="21.75" customHeight="1">
      <c r="B3" s="236" t="inlineStr">
        <is>
          <t>▌ แผนที่ 1  |  คาบที่ 1–2  |  Misconception: M1, M3  |  ข้อที่ 1–4</t>
        </is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8" t="n"/>
      <c r="L3" s="378" t="n"/>
      <c r="M3" s="378" t="n"/>
      <c r="N3" s="378" t="n"/>
      <c r="O3" s="378" t="n"/>
      <c r="P3" s="378" t="n"/>
      <c r="Q3" s="378" t="n"/>
      <c r="R3" s="378" t="n"/>
      <c r="S3" s="378" t="n"/>
      <c r="T3" s="378" t="n"/>
      <c r="U3" s="378" t="n"/>
      <c r="V3" s="378" t="n"/>
      <c r="W3" s="378" t="n"/>
      <c r="X3" s="378" t="n"/>
    </row>
    <row r="4" ht="15.75" customHeight="1">
      <c r="B4" s="237" t="inlineStr">
        <is>
          <t xml:space="preserve">   📍 M1: อนุภาคน้ำเคลื่อนตามคลื่น | M3: เสียงเป็นคลื่นตามขวาง</t>
        </is>
      </c>
    </row>
    <row r="5" ht="19.5" customHeight="1">
      <c r="B5" s="238" t="inlineStr">
        <is>
          <t>🔵 PRE-test — ก่อนสอน  (แผน 1 ข้อ 1–4)</t>
        </is>
      </c>
    </row>
    <row r="6" ht="27.75" customHeight="1">
      <c r="B6" s="39" t="inlineStr">
        <is>
          <t>ที่</t>
        </is>
      </c>
      <c r="C6" s="39" t="inlineStr">
        <is>
          <t>ชื่อนักเรียน</t>
        </is>
      </c>
      <c r="D6" s="239" t="inlineStr">
        <is>
          <t>ข้อ 1</t>
        </is>
      </c>
      <c r="E6" s="369" t="n"/>
      <c r="F6" s="369" t="n"/>
      <c r="G6" s="369" t="n"/>
      <c r="H6" s="239" t="inlineStr">
        <is>
          <t>ข้อ 2</t>
        </is>
      </c>
      <c r="I6" s="369" t="n"/>
      <c r="J6" s="369" t="n"/>
      <c r="K6" s="369" t="n"/>
      <c r="L6" s="239" t="inlineStr">
        <is>
          <t>ข้อ 3</t>
        </is>
      </c>
      <c r="M6" s="369" t="n"/>
      <c r="N6" s="369" t="n"/>
      <c r="O6" s="369" t="n"/>
      <c r="P6" s="239" t="inlineStr">
        <is>
          <t>ข้อ 4</t>
        </is>
      </c>
      <c r="Q6" s="369" t="n"/>
      <c r="R6" s="369" t="n"/>
      <c r="S6" s="369" t="n"/>
      <c r="T6" s="28" t="inlineStr">
        <is>
          <t>Sound
✅</t>
        </is>
      </c>
      <c r="U6" s="28" t="inlineStr">
        <is>
          <t>Misc
❌</t>
        </is>
      </c>
      <c r="V6" s="28" t="inlineStr">
        <is>
          <t>Guess
🎲</t>
        </is>
      </c>
      <c r="W6" s="28" t="inlineStr">
        <is>
          <t>NoK
❓</t>
        </is>
      </c>
      <c r="X6" s="28" t="inlineStr">
        <is>
          <t>% Misc
(Auto)</t>
        </is>
      </c>
    </row>
    <row r="7" ht="27.75" customHeight="1">
      <c r="B7" s="40" t="n"/>
      <c r="C7" s="41" t="inlineStr">
        <is>
          <t>← กรอกเฉลย T1 และ T3</t>
        </is>
      </c>
      <c r="D7" s="42" t="inlineStr">
        <is>
          <t>T1
(ก-ง)</t>
        </is>
      </c>
      <c r="E7" s="42" t="inlineStr">
        <is>
          <t>T2
(Y/N)</t>
        </is>
      </c>
      <c r="F7" s="42" t="inlineStr">
        <is>
          <t>T3
(ก-ง)</t>
        </is>
      </c>
      <c r="G7" s="42" t="inlineStr">
        <is>
          <t>T4
(Y/N)</t>
        </is>
      </c>
      <c r="H7" s="42" t="inlineStr">
        <is>
          <t>T1
(ก-ง)</t>
        </is>
      </c>
      <c r="I7" s="42" t="inlineStr">
        <is>
          <t>T2
(Y/N)</t>
        </is>
      </c>
      <c r="J7" s="42" t="inlineStr">
        <is>
          <t>T3
(ก-ง)</t>
        </is>
      </c>
      <c r="K7" s="42" t="inlineStr">
        <is>
          <t>T4
(Y/N)</t>
        </is>
      </c>
      <c r="L7" s="42" t="inlineStr">
        <is>
          <t>T1
(ก-ง)</t>
        </is>
      </c>
      <c r="M7" s="42" t="inlineStr">
        <is>
          <t>T2
(Y/N)</t>
        </is>
      </c>
      <c r="N7" s="42" t="inlineStr">
        <is>
          <t>T3
(ก-ง)</t>
        </is>
      </c>
      <c r="O7" s="42" t="inlineStr">
        <is>
          <t>T4
(Y/N)</t>
        </is>
      </c>
      <c r="P7" s="42" t="inlineStr">
        <is>
          <t>T1
(ก-ง)</t>
        </is>
      </c>
      <c r="Q7" s="42" t="inlineStr">
        <is>
          <t>T2
(Y/N)</t>
        </is>
      </c>
      <c r="R7" s="42" t="inlineStr">
        <is>
          <t>T3
(ก-ง)</t>
        </is>
      </c>
      <c r="S7" s="42" t="inlineStr">
        <is>
          <t>T4
(Y/N)</t>
        </is>
      </c>
      <c r="T7" s="43" t="inlineStr">
        <is>
          <t>—</t>
        </is>
      </c>
      <c r="U7" s="43" t="inlineStr">
        <is>
          <t>—</t>
        </is>
      </c>
      <c r="V7" s="43" t="inlineStr">
        <is>
          <t>—</t>
        </is>
      </c>
      <c r="W7" s="43" t="inlineStr">
        <is>
          <t>—</t>
        </is>
      </c>
      <c r="X7" s="43" t="inlineStr">
        <is>
          <t>—</t>
        </is>
      </c>
    </row>
    <row r="8" ht="18" customHeight="1">
      <c r="B8" s="44" t="inlineStr">
        <is>
          <t>KEY</t>
        </is>
      </c>
      <c r="C8" s="45" t="inlineStr">
        <is>
          <t>← กรอกเฉลยที่ถูกต้อง</t>
        </is>
      </c>
      <c r="D8" s="9" t="n"/>
      <c r="E8" s="21" t="inlineStr">
        <is>
          <t>—</t>
        </is>
      </c>
      <c r="F8" s="9" t="n"/>
      <c r="G8" s="21" t="inlineStr">
        <is>
          <t>—</t>
        </is>
      </c>
      <c r="H8" s="9" t="n"/>
      <c r="I8" s="21" t="inlineStr">
        <is>
          <t>—</t>
        </is>
      </c>
      <c r="J8" s="9" t="n"/>
      <c r="K8" s="21" t="inlineStr">
        <is>
          <t>—</t>
        </is>
      </c>
      <c r="L8" s="9" t="n"/>
      <c r="M8" s="21" t="inlineStr">
        <is>
          <t>—</t>
        </is>
      </c>
      <c r="N8" s="9" t="n"/>
      <c r="O8" s="21" t="inlineStr">
        <is>
          <t>—</t>
        </is>
      </c>
      <c r="P8" s="9" t="n"/>
      <c r="Q8" s="21" t="inlineStr">
        <is>
          <t>—</t>
        </is>
      </c>
      <c r="R8" s="9" t="n"/>
      <c r="S8" s="21" t="inlineStr">
        <is>
          <t>—</t>
        </is>
      </c>
      <c r="T8" s="21" t="inlineStr">
        <is>
          <t>—</t>
        </is>
      </c>
      <c r="U8" s="21" t="inlineStr">
        <is>
          <t>—</t>
        </is>
      </c>
      <c r="V8" s="21" t="inlineStr">
        <is>
          <t>—</t>
        </is>
      </c>
      <c r="W8" s="21" t="inlineStr">
        <is>
          <t>—</t>
        </is>
      </c>
      <c r="X8" s="21" t="inlineStr">
        <is>
          <t>—</t>
        </is>
      </c>
    </row>
    <row r="9" ht="18" customHeight="1">
      <c r="B9" s="46">
        <f>'📥 ข้อมูลนักเรียน'!B4</f>
        <v/>
      </c>
      <c r="C9" s="47">
        <f>'📥 ข้อมูลนักเรียน'!C4</f>
        <v/>
      </c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37">
        <f>IFERROR(SUMPRODUCT(((D9=D8)*(E9="Y")*(F9=F8)*(G9="Y")*(D9&lt;&gt;"")* (F9&lt;&gt;""))+((H9=H8)*(I9="Y")*(J9=J8)*(K9="Y")*(H9&lt;&gt;"")* (J9&lt;&gt;""))+((L9=L8)*(M9="Y")*(N9=N8)*(O9="Y")*(L9&lt;&gt;"")* (N9&lt;&gt;""))+((P9=P8)*(Q9="Y")*(R9=R8)*(S9="Y")*(P9&lt;&gt;"")* (R9&lt;&gt;""))),0)</f>
        <v/>
      </c>
      <c r="U9" s="49">
        <f>IFERROR(SUMPRODUCT(((D9&lt;&gt;D8)*(E9="Y")*(F9&lt;&gt;F8)*(G9="Y")*(D9&lt;&gt;"")* (F9&lt;&gt;""))+((H9&lt;&gt;H8)*(I9="Y")*(J9&lt;&gt;J8)*(K9="Y")*(H9&lt;&gt;"")* (J9&lt;&gt;""))+((L9&lt;&gt;L8)*(M9="Y")*(N9&lt;&gt;N8)*(O9="Y")*(L9&lt;&gt;"")* (N9&lt;&gt;""))+((P9&lt;&gt;P8)*(Q9="Y")*(R9&lt;&gt;R8)*(S9="Y")*(P9&lt;&gt;"")* (R9&lt;&gt;""))),0)</f>
        <v/>
      </c>
      <c r="V9" s="37">
        <f>IFERROR(SUMPRODUCT(((D9=D8)*(E9="Y")*(F9&lt;&gt;F8)*(G9="Y")*(D9&lt;&gt;"")* (F9&lt;&gt;""))+((H9=H8)*(I9="Y")*(J9&lt;&gt;J8)*(K9="Y")*(H9&lt;&gt;"")* (J9&lt;&gt;""))+((L9=L8)*(M9="Y")*(N9&lt;&gt;N8)*(O9="Y")*(L9&lt;&gt;"")* (N9&lt;&gt;""))+((P9=P8)*(Q9="Y")*(R9&lt;&gt;R8)*(S9="Y")*(P9&lt;&gt;"")* (R9&lt;&gt;""))),0)</f>
        <v/>
      </c>
      <c r="W9" s="37">
        <f>IFERROR(SUMPRODUCT(((E9="N")*(D9&lt;&gt;"")* (F9&lt;&gt;""))+((I9="N")*(H9&lt;&gt;"")* (J9&lt;&gt;""))+((M9="N")*(L9&lt;&gt;"")* (N9&lt;&gt;""))+((Q9="N")*(P9&lt;&gt;"")* (R9&lt;&gt;""))),0)</f>
        <v/>
      </c>
      <c r="X9" s="50">
        <f>IFERROR(U9/4,0)</f>
        <v/>
      </c>
    </row>
    <row r="10" ht="18" customHeight="1">
      <c r="B10" s="46">
        <f>'📥 ข้อมูลนักเรียน'!B5</f>
        <v/>
      </c>
      <c r="C10" s="51">
        <f>'📥 ข้อมูลนักเรียน'!C5</f>
        <v/>
      </c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37">
        <f>IFERROR(SUMPRODUCT(((D10=D8)*(E10="Y")*(F10=F8)*(G10="Y")*(D10&lt;&gt;"")* (F10&lt;&gt;""))+((H10=H8)*(I10="Y")*(J10=J8)*(K10="Y")*(H10&lt;&gt;"")* (J10&lt;&gt;""))+((L10=L8)*(M10="Y")*(N10=N8)*(O10="Y")*(L10&lt;&gt;"")* (N10&lt;&gt;""))+((P10=P8)*(Q10="Y")*(R10=R8)*(S10="Y")*(P10&lt;&gt;"")* (R10&lt;&gt;""))),0)</f>
        <v/>
      </c>
      <c r="U10" s="49">
        <f>IFERROR(SUMPRODUCT(((D10&lt;&gt;D8)*(E10="Y")*(F10&lt;&gt;F8)*(G10="Y")*(D10&lt;&gt;"")* (F10&lt;&gt;""))+((H10&lt;&gt;H8)*(I10="Y")*(J10&lt;&gt;J8)*(K10="Y")*(H10&lt;&gt;"")* (J10&lt;&gt;""))+((L10&lt;&gt;L8)*(M10="Y")*(N10&lt;&gt;N8)*(O10="Y")*(L10&lt;&gt;"")* (N10&lt;&gt;""))+((P10&lt;&gt;P8)*(Q10="Y")*(R10&lt;&gt;R8)*(S10="Y")*(P10&lt;&gt;"")* (R10&lt;&gt;""))),0)</f>
        <v/>
      </c>
      <c r="V10" s="37">
        <f>IFERROR(SUMPRODUCT(((D10=D8)*(E10="Y")*(F10&lt;&gt;F8)*(G10="Y")*(D10&lt;&gt;"")* (F10&lt;&gt;""))+((H10=H8)*(I10="Y")*(J10&lt;&gt;J8)*(K10="Y")*(H10&lt;&gt;"")* (J10&lt;&gt;""))+((L10=L8)*(M10="Y")*(N10&lt;&gt;N8)*(O10="Y")*(L10&lt;&gt;"")* (N10&lt;&gt;""))+((P10=P8)*(Q10="Y")*(R10&lt;&gt;R8)*(S10="Y")*(P10&lt;&gt;"")* (R10&lt;&gt;""))),0)</f>
        <v/>
      </c>
      <c r="W10" s="37">
        <f>IFERROR(SUMPRODUCT(((E10="N")*(D10&lt;&gt;"")* (F10&lt;&gt;""))+((I10="N")*(H10&lt;&gt;"")* (J10&lt;&gt;""))+((M10="N")*(L10&lt;&gt;"")* (N10&lt;&gt;""))+((Q10="N")*(P10&lt;&gt;"")* (R10&lt;&gt;""))),0)</f>
        <v/>
      </c>
      <c r="X10" s="50">
        <f>IFERROR(U10/4,0)</f>
        <v/>
      </c>
    </row>
    <row r="11" ht="18" customHeight="1">
      <c r="B11" s="46">
        <f>'📥 ข้อมูลนักเรียน'!B6</f>
        <v/>
      </c>
      <c r="C11" s="47">
        <f>'📥 ข้อมูลนักเรียน'!C6</f>
        <v/>
      </c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37">
        <f>IFERROR(SUMPRODUCT(((D11=D8)*(E11="Y")*(F11=F8)*(G11="Y")*(D11&lt;&gt;"")* (F11&lt;&gt;""))+((H11=H8)*(I11="Y")*(J11=J8)*(K11="Y")*(H11&lt;&gt;"")* (J11&lt;&gt;""))+((L11=L8)*(M11="Y")*(N11=N8)*(O11="Y")*(L11&lt;&gt;"")* (N11&lt;&gt;""))+((P11=P8)*(Q11="Y")*(R11=R8)*(S11="Y")*(P11&lt;&gt;"")* (R11&lt;&gt;""))),0)</f>
        <v/>
      </c>
      <c r="U11" s="49">
        <f>IFERROR(SUMPRODUCT(((D11&lt;&gt;D8)*(E11="Y")*(F11&lt;&gt;F8)*(G11="Y")*(D11&lt;&gt;"")* (F11&lt;&gt;""))+((H11&lt;&gt;H8)*(I11="Y")*(J11&lt;&gt;J8)*(K11="Y")*(H11&lt;&gt;"")* (J11&lt;&gt;""))+((L11&lt;&gt;L8)*(M11="Y")*(N11&lt;&gt;N8)*(O11="Y")*(L11&lt;&gt;"")* (N11&lt;&gt;""))+((P11&lt;&gt;P8)*(Q11="Y")*(R11&lt;&gt;R8)*(S11="Y")*(P11&lt;&gt;"")* (R11&lt;&gt;""))),0)</f>
        <v/>
      </c>
      <c r="V11" s="37">
        <f>IFERROR(SUMPRODUCT(((D11=D8)*(E11="Y")*(F11&lt;&gt;F8)*(G11="Y")*(D11&lt;&gt;"")* (F11&lt;&gt;""))+((H11=H8)*(I11="Y")*(J11&lt;&gt;J8)*(K11="Y")*(H11&lt;&gt;"")* (J11&lt;&gt;""))+((L11=L8)*(M11="Y")*(N11&lt;&gt;N8)*(O11="Y")*(L11&lt;&gt;"")* (N11&lt;&gt;""))+((P11=P8)*(Q11="Y")*(R11&lt;&gt;R8)*(S11="Y")*(P11&lt;&gt;"")* (R11&lt;&gt;""))),0)</f>
        <v/>
      </c>
      <c r="W11" s="37">
        <f>IFERROR(SUMPRODUCT(((E11="N")*(D11&lt;&gt;"")* (F11&lt;&gt;""))+((I11="N")*(H11&lt;&gt;"")* (J11&lt;&gt;""))+((M11="N")*(L11&lt;&gt;"")* (N11&lt;&gt;""))+((Q11="N")*(P11&lt;&gt;"")* (R11&lt;&gt;""))),0)</f>
        <v/>
      </c>
      <c r="X11" s="50">
        <f>IFERROR(U11/4,0)</f>
        <v/>
      </c>
    </row>
    <row r="12" ht="18" customHeight="1">
      <c r="B12" s="46">
        <f>'📥 ข้อมูลนักเรียน'!B7</f>
        <v/>
      </c>
      <c r="C12" s="51">
        <f>'📥 ข้อมูลนักเรียน'!C7</f>
        <v/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37">
        <f>IFERROR(SUMPRODUCT(((D12=D8)*(E12="Y")*(F12=F8)*(G12="Y")*(D12&lt;&gt;"")* (F12&lt;&gt;""))+((H12=H8)*(I12="Y")*(J12=J8)*(K12="Y")*(H12&lt;&gt;"")* (J12&lt;&gt;""))+((L12=L8)*(M12="Y")*(N12=N8)*(O12="Y")*(L12&lt;&gt;"")* (N12&lt;&gt;""))+((P12=P8)*(Q12="Y")*(R12=R8)*(S12="Y")*(P12&lt;&gt;"")* (R12&lt;&gt;""))),0)</f>
        <v/>
      </c>
      <c r="U12" s="49">
        <f>IFERROR(SUMPRODUCT(((D12&lt;&gt;D8)*(E12="Y")*(F12&lt;&gt;F8)*(G12="Y")*(D12&lt;&gt;"")* (F12&lt;&gt;""))+((H12&lt;&gt;H8)*(I12="Y")*(J12&lt;&gt;J8)*(K12="Y")*(H12&lt;&gt;"")* (J12&lt;&gt;""))+((L12&lt;&gt;L8)*(M12="Y")*(N12&lt;&gt;N8)*(O12="Y")*(L12&lt;&gt;"")* (N12&lt;&gt;""))+((P12&lt;&gt;P8)*(Q12="Y")*(R12&lt;&gt;R8)*(S12="Y")*(P12&lt;&gt;"")* (R12&lt;&gt;""))),0)</f>
        <v/>
      </c>
      <c r="V12" s="37">
        <f>IFERROR(SUMPRODUCT(((D12=D8)*(E12="Y")*(F12&lt;&gt;F8)*(G12="Y")*(D12&lt;&gt;"")* (F12&lt;&gt;""))+((H12=H8)*(I12="Y")*(J12&lt;&gt;J8)*(K12="Y")*(H12&lt;&gt;"")* (J12&lt;&gt;""))+((L12=L8)*(M12="Y")*(N12&lt;&gt;N8)*(O12="Y")*(L12&lt;&gt;"")* (N12&lt;&gt;""))+((P12=P8)*(Q12="Y")*(R12&lt;&gt;R8)*(S12="Y")*(P12&lt;&gt;"")* (R12&lt;&gt;""))),0)</f>
        <v/>
      </c>
      <c r="W12" s="37">
        <f>IFERROR(SUMPRODUCT(((E12="N")*(D12&lt;&gt;"")* (F12&lt;&gt;""))+((I12="N")*(H12&lt;&gt;"")* (J12&lt;&gt;""))+((M12="N")*(L12&lt;&gt;"")* (N12&lt;&gt;""))+((Q12="N")*(P12&lt;&gt;"")* (R12&lt;&gt;""))),0)</f>
        <v/>
      </c>
      <c r="X12" s="50">
        <f>IFERROR(U12/4,0)</f>
        <v/>
      </c>
    </row>
    <row r="13" ht="18" customHeight="1">
      <c r="B13" s="46">
        <f>'📥 ข้อมูลนักเรียน'!B8</f>
        <v/>
      </c>
      <c r="C13" s="47">
        <f>'📥 ข้อมูลนักเรียน'!C8</f>
        <v/>
      </c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37">
        <f>IFERROR(SUMPRODUCT(((D13=D8)*(E13="Y")*(F13=F8)*(G13="Y")*(D13&lt;&gt;"")* (F13&lt;&gt;""))+((H13=H8)*(I13="Y")*(J13=J8)*(K13="Y")*(H13&lt;&gt;"")* (J13&lt;&gt;""))+((L13=L8)*(M13="Y")*(N13=N8)*(O13="Y")*(L13&lt;&gt;"")* (N13&lt;&gt;""))+((P13=P8)*(Q13="Y")*(R13=R8)*(S13="Y")*(P13&lt;&gt;"")* (R13&lt;&gt;""))),0)</f>
        <v/>
      </c>
      <c r="U13" s="49">
        <f>IFERROR(SUMPRODUCT(((D13&lt;&gt;D8)*(E13="Y")*(F13&lt;&gt;F8)*(G13="Y")*(D13&lt;&gt;"")* (F13&lt;&gt;""))+((H13&lt;&gt;H8)*(I13="Y")*(J13&lt;&gt;J8)*(K13="Y")*(H13&lt;&gt;"")* (J13&lt;&gt;""))+((L13&lt;&gt;L8)*(M13="Y")*(N13&lt;&gt;N8)*(O13="Y")*(L13&lt;&gt;"")* (N13&lt;&gt;""))+((P13&lt;&gt;P8)*(Q13="Y")*(R13&lt;&gt;R8)*(S13="Y")*(P13&lt;&gt;"")* (R13&lt;&gt;""))),0)</f>
        <v/>
      </c>
      <c r="V13" s="37">
        <f>IFERROR(SUMPRODUCT(((D13=D8)*(E13="Y")*(F13&lt;&gt;F8)*(G13="Y")*(D13&lt;&gt;"")* (F13&lt;&gt;""))+((H13=H8)*(I13="Y")*(J13&lt;&gt;J8)*(K13="Y")*(H13&lt;&gt;"")* (J13&lt;&gt;""))+((L13=L8)*(M13="Y")*(N13&lt;&gt;N8)*(O13="Y")*(L13&lt;&gt;"")* (N13&lt;&gt;""))+((P13=P8)*(Q13="Y")*(R13&lt;&gt;R8)*(S13="Y")*(P13&lt;&gt;"")* (R13&lt;&gt;""))),0)</f>
        <v/>
      </c>
      <c r="W13" s="37">
        <f>IFERROR(SUMPRODUCT(((E13="N")*(D13&lt;&gt;"")* (F13&lt;&gt;""))+((I13="N")*(H13&lt;&gt;"")* (J13&lt;&gt;""))+((M13="N")*(L13&lt;&gt;"")* (N13&lt;&gt;""))+((Q13="N")*(P13&lt;&gt;"")* (R13&lt;&gt;""))),0)</f>
        <v/>
      </c>
      <c r="X13" s="50">
        <f>IFERROR(U13/4,0)</f>
        <v/>
      </c>
    </row>
    <row r="14" ht="18" customHeight="1">
      <c r="B14" s="46">
        <f>'📥 ข้อมูลนักเรียน'!B9</f>
        <v/>
      </c>
      <c r="C14" s="51">
        <f>'📥 ข้อมูลนักเรียน'!C9</f>
        <v/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37">
        <f>IFERROR(SUMPRODUCT(((D14=D8)*(E14="Y")*(F14=F8)*(G14="Y")*(D14&lt;&gt;"")* (F14&lt;&gt;""))+((H14=H8)*(I14="Y")*(J14=J8)*(K14="Y")*(H14&lt;&gt;"")* (J14&lt;&gt;""))+((L14=L8)*(M14="Y")*(N14=N8)*(O14="Y")*(L14&lt;&gt;"")* (N14&lt;&gt;""))+((P14=P8)*(Q14="Y")*(R14=R8)*(S14="Y")*(P14&lt;&gt;"")* (R14&lt;&gt;""))),0)</f>
        <v/>
      </c>
      <c r="U14" s="49">
        <f>IFERROR(SUMPRODUCT(((D14&lt;&gt;D8)*(E14="Y")*(F14&lt;&gt;F8)*(G14="Y")*(D14&lt;&gt;"")* (F14&lt;&gt;""))+((H14&lt;&gt;H8)*(I14="Y")*(J14&lt;&gt;J8)*(K14="Y")*(H14&lt;&gt;"")* (J14&lt;&gt;""))+((L14&lt;&gt;L8)*(M14="Y")*(N14&lt;&gt;N8)*(O14="Y")*(L14&lt;&gt;"")* (N14&lt;&gt;""))+((P14&lt;&gt;P8)*(Q14="Y")*(R14&lt;&gt;R8)*(S14="Y")*(P14&lt;&gt;"")* (R14&lt;&gt;""))),0)</f>
        <v/>
      </c>
      <c r="V14" s="37">
        <f>IFERROR(SUMPRODUCT(((D14=D8)*(E14="Y")*(F14&lt;&gt;F8)*(G14="Y")*(D14&lt;&gt;"")* (F14&lt;&gt;""))+((H14=H8)*(I14="Y")*(J14&lt;&gt;J8)*(K14="Y")*(H14&lt;&gt;"")* (J14&lt;&gt;""))+((L14=L8)*(M14="Y")*(N14&lt;&gt;N8)*(O14="Y")*(L14&lt;&gt;"")* (N14&lt;&gt;""))+((P14=P8)*(Q14="Y")*(R14&lt;&gt;R8)*(S14="Y")*(P14&lt;&gt;"")* (R14&lt;&gt;""))),0)</f>
        <v/>
      </c>
      <c r="W14" s="37">
        <f>IFERROR(SUMPRODUCT(((E14="N")*(D14&lt;&gt;"")* (F14&lt;&gt;""))+((I14="N")*(H14&lt;&gt;"")* (J14&lt;&gt;""))+((M14="N")*(L14&lt;&gt;"")* (N14&lt;&gt;""))+((Q14="N")*(P14&lt;&gt;"")* (R14&lt;&gt;""))),0)</f>
        <v/>
      </c>
      <c r="X14" s="50">
        <f>IFERROR(U14/4,0)</f>
        <v/>
      </c>
    </row>
    <row r="15" ht="18" customHeight="1">
      <c r="B15" s="46">
        <f>'📥 ข้อมูลนักเรียน'!B10</f>
        <v/>
      </c>
      <c r="C15" s="47">
        <f>'📥 ข้อมูลนักเรียน'!C10</f>
        <v/>
      </c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37">
        <f>IFERROR(SUMPRODUCT(((D15=D8)*(E15="Y")*(F15=F8)*(G15="Y")*(D15&lt;&gt;"")* (F15&lt;&gt;""))+((H15=H8)*(I15="Y")*(J15=J8)*(K15="Y")*(H15&lt;&gt;"")* (J15&lt;&gt;""))+((L15=L8)*(M15="Y")*(N15=N8)*(O15="Y")*(L15&lt;&gt;"")* (N15&lt;&gt;""))+((P15=P8)*(Q15="Y")*(R15=R8)*(S15="Y")*(P15&lt;&gt;"")* (R15&lt;&gt;""))),0)</f>
        <v/>
      </c>
      <c r="U15" s="49">
        <f>IFERROR(SUMPRODUCT(((D15&lt;&gt;D8)*(E15="Y")*(F15&lt;&gt;F8)*(G15="Y")*(D15&lt;&gt;"")* (F15&lt;&gt;""))+((H15&lt;&gt;H8)*(I15="Y")*(J15&lt;&gt;J8)*(K15="Y")*(H15&lt;&gt;"")* (J15&lt;&gt;""))+((L15&lt;&gt;L8)*(M15="Y")*(N15&lt;&gt;N8)*(O15="Y")*(L15&lt;&gt;"")* (N15&lt;&gt;""))+((P15&lt;&gt;P8)*(Q15="Y")*(R15&lt;&gt;R8)*(S15="Y")*(P15&lt;&gt;"")* (R15&lt;&gt;""))),0)</f>
        <v/>
      </c>
      <c r="V15" s="37">
        <f>IFERROR(SUMPRODUCT(((D15=D8)*(E15="Y")*(F15&lt;&gt;F8)*(G15="Y")*(D15&lt;&gt;"")* (F15&lt;&gt;""))+((H15=H8)*(I15="Y")*(J15&lt;&gt;J8)*(K15="Y")*(H15&lt;&gt;"")* (J15&lt;&gt;""))+((L15=L8)*(M15="Y")*(N15&lt;&gt;N8)*(O15="Y")*(L15&lt;&gt;"")* (N15&lt;&gt;""))+((P15=P8)*(Q15="Y")*(R15&lt;&gt;R8)*(S15="Y")*(P15&lt;&gt;"")* (R15&lt;&gt;""))),0)</f>
        <v/>
      </c>
      <c r="W15" s="37">
        <f>IFERROR(SUMPRODUCT(((E15="N")*(D15&lt;&gt;"")* (F15&lt;&gt;""))+((I15="N")*(H15&lt;&gt;"")* (J15&lt;&gt;""))+((M15="N")*(L15&lt;&gt;"")* (N15&lt;&gt;""))+((Q15="N")*(P15&lt;&gt;"")* (R15&lt;&gt;""))),0)</f>
        <v/>
      </c>
      <c r="X15" s="50">
        <f>IFERROR(U15/4,0)</f>
        <v/>
      </c>
    </row>
    <row r="16" ht="18" customHeight="1">
      <c r="B16" s="46">
        <f>'📥 ข้อมูลนักเรียน'!B11</f>
        <v/>
      </c>
      <c r="C16" s="51">
        <f>'📥 ข้อมูลนักเรียน'!C11</f>
        <v/>
      </c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37">
        <f>IFERROR(SUMPRODUCT(((D16=D8)*(E16="Y")*(F16=F8)*(G16="Y")*(D16&lt;&gt;"")* (F16&lt;&gt;""))+((H16=H8)*(I16="Y")*(J16=J8)*(K16="Y")*(H16&lt;&gt;"")* (J16&lt;&gt;""))+((L16=L8)*(M16="Y")*(N16=N8)*(O16="Y")*(L16&lt;&gt;"")* (N16&lt;&gt;""))+((P16=P8)*(Q16="Y")*(R16=R8)*(S16="Y")*(P16&lt;&gt;"")* (R16&lt;&gt;""))),0)</f>
        <v/>
      </c>
      <c r="U16" s="49">
        <f>IFERROR(SUMPRODUCT(((D16&lt;&gt;D8)*(E16="Y")*(F16&lt;&gt;F8)*(G16="Y")*(D16&lt;&gt;"")* (F16&lt;&gt;""))+((H16&lt;&gt;H8)*(I16="Y")*(J16&lt;&gt;J8)*(K16="Y")*(H16&lt;&gt;"")* (J16&lt;&gt;""))+((L16&lt;&gt;L8)*(M16="Y")*(N16&lt;&gt;N8)*(O16="Y")*(L16&lt;&gt;"")* (N16&lt;&gt;""))+((P16&lt;&gt;P8)*(Q16="Y")*(R16&lt;&gt;R8)*(S16="Y")*(P16&lt;&gt;"")* (R16&lt;&gt;""))),0)</f>
        <v/>
      </c>
      <c r="V16" s="37">
        <f>IFERROR(SUMPRODUCT(((D16=D8)*(E16="Y")*(F16&lt;&gt;F8)*(G16="Y")*(D16&lt;&gt;"")* (F16&lt;&gt;""))+((H16=H8)*(I16="Y")*(J16&lt;&gt;J8)*(K16="Y")*(H16&lt;&gt;"")* (J16&lt;&gt;""))+((L16=L8)*(M16="Y")*(N16&lt;&gt;N8)*(O16="Y")*(L16&lt;&gt;"")* (N16&lt;&gt;""))+((P16=P8)*(Q16="Y")*(R16&lt;&gt;R8)*(S16="Y")*(P16&lt;&gt;"")* (R16&lt;&gt;""))),0)</f>
        <v/>
      </c>
      <c r="W16" s="37">
        <f>IFERROR(SUMPRODUCT(((E16="N")*(D16&lt;&gt;"")* (F16&lt;&gt;""))+((I16="N")*(H16&lt;&gt;"")* (J16&lt;&gt;""))+((M16="N")*(L16&lt;&gt;"")* (N16&lt;&gt;""))+((Q16="N")*(P16&lt;&gt;"")* (R16&lt;&gt;""))),0)</f>
        <v/>
      </c>
      <c r="X16" s="50">
        <f>IFERROR(U16/4,0)</f>
        <v/>
      </c>
    </row>
    <row r="17" ht="18" customHeight="1">
      <c r="B17" s="46">
        <f>'📥 ข้อมูลนักเรียน'!B12</f>
        <v/>
      </c>
      <c r="C17" s="47">
        <f>'📥 ข้อมูลนักเรียน'!C12</f>
        <v/>
      </c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37">
        <f>IFERROR(SUMPRODUCT(((D17=D8)*(E17="Y")*(F17=F8)*(G17="Y")*(D17&lt;&gt;"")* (F17&lt;&gt;""))+((H17=H8)*(I17="Y")*(J17=J8)*(K17="Y")*(H17&lt;&gt;"")* (J17&lt;&gt;""))+((L17=L8)*(M17="Y")*(N17=N8)*(O17="Y")*(L17&lt;&gt;"")* (N17&lt;&gt;""))+((P17=P8)*(Q17="Y")*(R17=R8)*(S17="Y")*(P17&lt;&gt;"")* (R17&lt;&gt;""))),0)</f>
        <v/>
      </c>
      <c r="U17" s="49">
        <f>IFERROR(SUMPRODUCT(((D17&lt;&gt;D8)*(E17="Y")*(F17&lt;&gt;F8)*(G17="Y")*(D17&lt;&gt;"")* (F17&lt;&gt;""))+((H17&lt;&gt;H8)*(I17="Y")*(J17&lt;&gt;J8)*(K17="Y")*(H17&lt;&gt;"")* (J17&lt;&gt;""))+((L17&lt;&gt;L8)*(M17="Y")*(N17&lt;&gt;N8)*(O17="Y")*(L17&lt;&gt;"")* (N17&lt;&gt;""))+((P17&lt;&gt;P8)*(Q17="Y")*(R17&lt;&gt;R8)*(S17="Y")*(P17&lt;&gt;"")* (R17&lt;&gt;""))),0)</f>
        <v/>
      </c>
      <c r="V17" s="37">
        <f>IFERROR(SUMPRODUCT(((D17=D8)*(E17="Y")*(F17&lt;&gt;F8)*(G17="Y")*(D17&lt;&gt;"")* (F17&lt;&gt;""))+((H17=H8)*(I17="Y")*(J17&lt;&gt;J8)*(K17="Y")*(H17&lt;&gt;"")* (J17&lt;&gt;""))+((L17=L8)*(M17="Y")*(N17&lt;&gt;N8)*(O17="Y")*(L17&lt;&gt;"")* (N17&lt;&gt;""))+((P17=P8)*(Q17="Y")*(R17&lt;&gt;R8)*(S17="Y")*(P17&lt;&gt;"")* (R17&lt;&gt;""))),0)</f>
        <v/>
      </c>
      <c r="W17" s="37">
        <f>IFERROR(SUMPRODUCT(((E17="N")*(D17&lt;&gt;"")* (F17&lt;&gt;""))+((I17="N")*(H17&lt;&gt;"")* (J17&lt;&gt;""))+((M17="N")*(L17&lt;&gt;"")* (N17&lt;&gt;""))+((Q17="N")*(P17&lt;&gt;"")* (R17&lt;&gt;""))),0)</f>
        <v/>
      </c>
      <c r="X17" s="50">
        <f>IFERROR(U17/4,0)</f>
        <v/>
      </c>
    </row>
    <row r="18" ht="18" customHeight="1">
      <c r="B18" s="46">
        <f>'📥 ข้อมูลนักเรียน'!B13</f>
        <v/>
      </c>
      <c r="C18" s="51">
        <f>'📥 ข้อมูลนักเรียน'!C13</f>
        <v/>
      </c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37">
        <f>IFERROR(SUMPRODUCT(((D18=D8)*(E18="Y")*(F18=F8)*(G18="Y")*(D18&lt;&gt;"")* (F18&lt;&gt;""))+((H18=H8)*(I18="Y")*(J18=J8)*(K18="Y")*(H18&lt;&gt;"")* (J18&lt;&gt;""))+((L18=L8)*(M18="Y")*(N18=N8)*(O18="Y")*(L18&lt;&gt;"")* (N18&lt;&gt;""))+((P18=P8)*(Q18="Y")*(R18=R8)*(S18="Y")*(P18&lt;&gt;"")* (R18&lt;&gt;""))),0)</f>
        <v/>
      </c>
      <c r="U18" s="49">
        <f>IFERROR(SUMPRODUCT(((D18&lt;&gt;D8)*(E18="Y")*(F18&lt;&gt;F8)*(G18="Y")*(D18&lt;&gt;"")* (F18&lt;&gt;""))+((H18&lt;&gt;H8)*(I18="Y")*(J18&lt;&gt;J8)*(K18="Y")*(H18&lt;&gt;"")* (J18&lt;&gt;""))+((L18&lt;&gt;L8)*(M18="Y")*(N18&lt;&gt;N8)*(O18="Y")*(L18&lt;&gt;"")* (N18&lt;&gt;""))+((P18&lt;&gt;P8)*(Q18="Y")*(R18&lt;&gt;R8)*(S18="Y")*(P18&lt;&gt;"")* (R18&lt;&gt;""))),0)</f>
        <v/>
      </c>
      <c r="V18" s="37">
        <f>IFERROR(SUMPRODUCT(((D18=D8)*(E18="Y")*(F18&lt;&gt;F8)*(G18="Y")*(D18&lt;&gt;"")* (F18&lt;&gt;""))+((H18=H8)*(I18="Y")*(J18&lt;&gt;J8)*(K18="Y")*(H18&lt;&gt;"")* (J18&lt;&gt;""))+((L18=L8)*(M18="Y")*(N18&lt;&gt;N8)*(O18="Y")*(L18&lt;&gt;"")* (N18&lt;&gt;""))+((P18=P8)*(Q18="Y")*(R18&lt;&gt;R8)*(S18="Y")*(P18&lt;&gt;"")* (R18&lt;&gt;""))),0)</f>
        <v/>
      </c>
      <c r="W18" s="37">
        <f>IFERROR(SUMPRODUCT(((E18="N")*(D18&lt;&gt;"")* (F18&lt;&gt;""))+((I18="N")*(H18&lt;&gt;"")* (J18&lt;&gt;""))+((M18="N")*(L18&lt;&gt;"")* (N18&lt;&gt;""))+((Q18="N")*(P18&lt;&gt;"")* (R18&lt;&gt;""))),0)</f>
        <v/>
      </c>
      <c r="X18" s="50">
        <f>IFERROR(U18/4,0)</f>
        <v/>
      </c>
    </row>
    <row r="19" ht="18" customHeight="1">
      <c r="B19" s="46">
        <f>'📥 ข้อมูลนักเรียน'!B14</f>
        <v/>
      </c>
      <c r="C19" s="47">
        <f>'📥 ข้อมูลนักเรียน'!C14</f>
        <v/>
      </c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37">
        <f>IFERROR(SUMPRODUCT(((D19=D8)*(E19="Y")*(F19=F8)*(G19="Y")*(D19&lt;&gt;"")* (F19&lt;&gt;""))+((H19=H8)*(I19="Y")*(J19=J8)*(K19="Y")*(H19&lt;&gt;"")* (J19&lt;&gt;""))+((L19=L8)*(M19="Y")*(N19=N8)*(O19="Y")*(L19&lt;&gt;"")* (N19&lt;&gt;""))+((P19=P8)*(Q19="Y")*(R19=R8)*(S19="Y")*(P19&lt;&gt;"")* (R19&lt;&gt;""))),0)</f>
        <v/>
      </c>
      <c r="U19" s="49">
        <f>IFERROR(SUMPRODUCT(((D19&lt;&gt;D8)*(E19="Y")*(F19&lt;&gt;F8)*(G19="Y")*(D19&lt;&gt;"")* (F19&lt;&gt;""))+((H19&lt;&gt;H8)*(I19="Y")*(J19&lt;&gt;J8)*(K19="Y")*(H19&lt;&gt;"")* (J19&lt;&gt;""))+((L19&lt;&gt;L8)*(M19="Y")*(N19&lt;&gt;N8)*(O19="Y")*(L19&lt;&gt;"")* (N19&lt;&gt;""))+((P19&lt;&gt;P8)*(Q19="Y")*(R19&lt;&gt;R8)*(S19="Y")*(P19&lt;&gt;"")* (R19&lt;&gt;""))),0)</f>
        <v/>
      </c>
      <c r="V19" s="37">
        <f>IFERROR(SUMPRODUCT(((D19=D8)*(E19="Y")*(F19&lt;&gt;F8)*(G19="Y")*(D19&lt;&gt;"")* (F19&lt;&gt;""))+((H19=H8)*(I19="Y")*(J19&lt;&gt;J8)*(K19="Y")*(H19&lt;&gt;"")* (J19&lt;&gt;""))+((L19=L8)*(M19="Y")*(N19&lt;&gt;N8)*(O19="Y")*(L19&lt;&gt;"")* (N19&lt;&gt;""))+((P19=P8)*(Q19="Y")*(R19&lt;&gt;R8)*(S19="Y")*(P19&lt;&gt;"")* (R19&lt;&gt;""))),0)</f>
        <v/>
      </c>
      <c r="W19" s="37">
        <f>IFERROR(SUMPRODUCT(((E19="N")*(D19&lt;&gt;"")* (F19&lt;&gt;""))+((I19="N")*(H19&lt;&gt;"")* (J19&lt;&gt;""))+((M19="N")*(L19&lt;&gt;"")* (N19&lt;&gt;""))+((Q19="N")*(P19&lt;&gt;"")* (R19&lt;&gt;""))),0)</f>
        <v/>
      </c>
      <c r="X19" s="50">
        <f>IFERROR(U19/4,0)</f>
        <v/>
      </c>
    </row>
    <row r="20" ht="18" customHeight="1">
      <c r="B20" s="46">
        <f>'📥 ข้อมูลนักเรียน'!B15</f>
        <v/>
      </c>
      <c r="C20" s="51">
        <f>'📥 ข้อมูลนักเรียน'!C15</f>
        <v/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37">
        <f>IFERROR(SUMPRODUCT(((D20=D8)*(E20="Y")*(F20=F8)*(G20="Y")*(D20&lt;&gt;"")* (F20&lt;&gt;""))+((H20=H8)*(I20="Y")*(J20=J8)*(K20="Y")*(H20&lt;&gt;"")* (J20&lt;&gt;""))+((L20=L8)*(M20="Y")*(N20=N8)*(O20="Y")*(L20&lt;&gt;"")* (N20&lt;&gt;""))+((P20=P8)*(Q20="Y")*(R20=R8)*(S20="Y")*(P20&lt;&gt;"")* (R20&lt;&gt;""))),0)</f>
        <v/>
      </c>
      <c r="U20" s="49">
        <f>IFERROR(SUMPRODUCT(((D20&lt;&gt;D8)*(E20="Y")*(F20&lt;&gt;F8)*(G20="Y")*(D20&lt;&gt;"")* (F20&lt;&gt;""))+((H20&lt;&gt;H8)*(I20="Y")*(J20&lt;&gt;J8)*(K20="Y")*(H20&lt;&gt;"")* (J20&lt;&gt;""))+((L20&lt;&gt;L8)*(M20="Y")*(N20&lt;&gt;N8)*(O20="Y")*(L20&lt;&gt;"")* (N20&lt;&gt;""))+((P20&lt;&gt;P8)*(Q20="Y")*(R20&lt;&gt;R8)*(S20="Y")*(P20&lt;&gt;"")* (R20&lt;&gt;""))),0)</f>
        <v/>
      </c>
      <c r="V20" s="37">
        <f>IFERROR(SUMPRODUCT(((D20=D8)*(E20="Y")*(F20&lt;&gt;F8)*(G20="Y")*(D20&lt;&gt;"")* (F20&lt;&gt;""))+((H20=H8)*(I20="Y")*(J20&lt;&gt;J8)*(K20="Y")*(H20&lt;&gt;"")* (J20&lt;&gt;""))+((L20=L8)*(M20="Y")*(N20&lt;&gt;N8)*(O20="Y")*(L20&lt;&gt;"")* (N20&lt;&gt;""))+((P20=P8)*(Q20="Y")*(R20&lt;&gt;R8)*(S20="Y")*(P20&lt;&gt;"")* (R20&lt;&gt;""))),0)</f>
        <v/>
      </c>
      <c r="W20" s="37">
        <f>IFERROR(SUMPRODUCT(((E20="N")*(D20&lt;&gt;"")* (F20&lt;&gt;""))+((I20="N")*(H20&lt;&gt;"")* (J20&lt;&gt;""))+((M20="N")*(L20&lt;&gt;"")* (N20&lt;&gt;""))+((Q20="N")*(P20&lt;&gt;"")* (R20&lt;&gt;""))),0)</f>
        <v/>
      </c>
      <c r="X20" s="50">
        <f>IFERROR(U20/4,0)</f>
        <v/>
      </c>
    </row>
    <row r="21" ht="18" customHeight="1">
      <c r="B21" s="46">
        <f>'📥 ข้อมูลนักเรียน'!B16</f>
        <v/>
      </c>
      <c r="C21" s="47">
        <f>'📥 ข้อมูลนักเรียน'!C16</f>
        <v/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37">
        <f>IFERROR(SUMPRODUCT(((D21=D8)*(E21="Y")*(F21=F8)*(G21="Y")*(D21&lt;&gt;"")* (F21&lt;&gt;""))+((H21=H8)*(I21="Y")*(J21=J8)*(K21="Y")*(H21&lt;&gt;"")* (J21&lt;&gt;""))+((L21=L8)*(M21="Y")*(N21=N8)*(O21="Y")*(L21&lt;&gt;"")* (N21&lt;&gt;""))+((P21=P8)*(Q21="Y")*(R21=R8)*(S21="Y")*(P21&lt;&gt;"")* (R21&lt;&gt;""))),0)</f>
        <v/>
      </c>
      <c r="U21" s="49">
        <f>IFERROR(SUMPRODUCT(((D21&lt;&gt;D8)*(E21="Y")*(F21&lt;&gt;F8)*(G21="Y")*(D21&lt;&gt;"")* (F21&lt;&gt;""))+((H21&lt;&gt;H8)*(I21="Y")*(J21&lt;&gt;J8)*(K21="Y")*(H21&lt;&gt;"")* (J21&lt;&gt;""))+((L21&lt;&gt;L8)*(M21="Y")*(N21&lt;&gt;N8)*(O21="Y")*(L21&lt;&gt;"")* (N21&lt;&gt;""))+((P21&lt;&gt;P8)*(Q21="Y")*(R21&lt;&gt;R8)*(S21="Y")*(P21&lt;&gt;"")* (R21&lt;&gt;""))),0)</f>
        <v/>
      </c>
      <c r="V21" s="37">
        <f>IFERROR(SUMPRODUCT(((D21=D8)*(E21="Y")*(F21&lt;&gt;F8)*(G21="Y")*(D21&lt;&gt;"")* (F21&lt;&gt;""))+((H21=H8)*(I21="Y")*(J21&lt;&gt;J8)*(K21="Y")*(H21&lt;&gt;"")* (J21&lt;&gt;""))+((L21=L8)*(M21="Y")*(N21&lt;&gt;N8)*(O21="Y")*(L21&lt;&gt;"")* (N21&lt;&gt;""))+((P21=P8)*(Q21="Y")*(R21&lt;&gt;R8)*(S21="Y")*(P21&lt;&gt;"")* (R21&lt;&gt;""))),0)</f>
        <v/>
      </c>
      <c r="W21" s="37">
        <f>IFERROR(SUMPRODUCT(((E21="N")*(D21&lt;&gt;"")* (F21&lt;&gt;""))+((I21="N")*(H21&lt;&gt;"")* (J21&lt;&gt;""))+((M21="N")*(L21&lt;&gt;"")* (N21&lt;&gt;""))+((Q21="N")*(P21&lt;&gt;"")* (R21&lt;&gt;""))),0)</f>
        <v/>
      </c>
      <c r="X21" s="50">
        <f>IFERROR(U21/4,0)</f>
        <v/>
      </c>
    </row>
    <row r="22" ht="18" customHeight="1">
      <c r="B22" s="46">
        <f>'📥 ข้อมูลนักเรียน'!B17</f>
        <v/>
      </c>
      <c r="C22" s="51">
        <f>'📥 ข้อมูลนักเรียน'!C17</f>
        <v/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37">
        <f>IFERROR(SUMPRODUCT(((D22=D8)*(E22="Y")*(F22=F8)*(G22="Y")*(D22&lt;&gt;"")* (F22&lt;&gt;""))+((H22=H8)*(I22="Y")*(J22=J8)*(K22="Y")*(H22&lt;&gt;"")* (J22&lt;&gt;""))+((L22=L8)*(M22="Y")*(N22=N8)*(O22="Y")*(L22&lt;&gt;"")* (N22&lt;&gt;""))+((P22=P8)*(Q22="Y")*(R22=R8)*(S22="Y")*(P22&lt;&gt;"")* (R22&lt;&gt;""))),0)</f>
        <v/>
      </c>
      <c r="U22" s="49">
        <f>IFERROR(SUMPRODUCT(((D22&lt;&gt;D8)*(E22="Y")*(F22&lt;&gt;F8)*(G22="Y")*(D22&lt;&gt;"")* (F22&lt;&gt;""))+((H22&lt;&gt;H8)*(I22="Y")*(J22&lt;&gt;J8)*(K22="Y")*(H22&lt;&gt;"")* (J22&lt;&gt;""))+((L22&lt;&gt;L8)*(M22="Y")*(N22&lt;&gt;N8)*(O22="Y")*(L22&lt;&gt;"")* (N22&lt;&gt;""))+((P22&lt;&gt;P8)*(Q22="Y")*(R22&lt;&gt;R8)*(S22="Y")*(P22&lt;&gt;"")* (R22&lt;&gt;""))),0)</f>
        <v/>
      </c>
      <c r="V22" s="37">
        <f>IFERROR(SUMPRODUCT(((D22=D8)*(E22="Y")*(F22&lt;&gt;F8)*(G22="Y")*(D22&lt;&gt;"")* (F22&lt;&gt;""))+((H22=H8)*(I22="Y")*(J22&lt;&gt;J8)*(K22="Y")*(H22&lt;&gt;"")* (J22&lt;&gt;""))+((L22=L8)*(M22="Y")*(N22&lt;&gt;N8)*(O22="Y")*(L22&lt;&gt;"")* (N22&lt;&gt;""))+((P22=P8)*(Q22="Y")*(R22&lt;&gt;R8)*(S22="Y")*(P22&lt;&gt;"")* (R22&lt;&gt;""))),0)</f>
        <v/>
      </c>
      <c r="W22" s="37">
        <f>IFERROR(SUMPRODUCT(((E22="N")*(D22&lt;&gt;"")* (F22&lt;&gt;""))+((I22="N")*(H22&lt;&gt;"")* (J22&lt;&gt;""))+((M22="N")*(L22&lt;&gt;"")* (N22&lt;&gt;""))+((Q22="N")*(P22&lt;&gt;"")* (R22&lt;&gt;""))),0)</f>
        <v/>
      </c>
      <c r="X22" s="50">
        <f>IFERROR(U22/4,0)</f>
        <v/>
      </c>
    </row>
    <row r="23" ht="18" customHeight="1">
      <c r="B23" s="46">
        <f>'📥 ข้อมูลนักเรียน'!B18</f>
        <v/>
      </c>
      <c r="C23" s="47">
        <f>'📥 ข้อมูลนักเรียน'!C18</f>
        <v/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37">
        <f>IFERROR(SUMPRODUCT(((D23=D8)*(E23="Y")*(F23=F8)*(G23="Y")*(D23&lt;&gt;"")*(F23&lt;&gt;""))+((H23=H8)*(I23="Y")*(J23=J8)*(K23="Y")*(H23&lt;&gt;"")*(J23&lt;&gt;""))+((L23=L8)*(M23="Y")*(N23=N8)*(O23="Y")*(L23&lt;&gt;"")*(N23&lt;&gt;""))+((P23=P8)*(Q23="Y")*(R23=R8)*(S23="Y")*(P23&lt;&gt;"")*(R23&lt;&gt;""))),0)</f>
        <v/>
      </c>
      <c r="U23" s="49">
        <f>IFERROR(SUMPRODUCT(((D23&lt;&gt;D8)*(E23="Y")*(F23&lt;&gt;F8)*(G23="Y")*(D23&lt;&gt;"")*(F23&lt;&gt;""))+((H23&lt;&gt;H8)*(I23="Y")*(J23&lt;&gt;J8)*(K23="Y")*(H23&lt;&gt;"")*(J23&lt;&gt;""))+((L23&lt;&gt;L8)*(M23="Y")*(N23&lt;&gt;N8)*(O23="Y")*(L23&lt;&gt;"")*(N23&lt;&gt;""))+((P23&lt;&gt;P8)*(Q23="Y")*(R23&lt;&gt;R8)*(S23="Y")*(P23&lt;&gt;"")*(R23&lt;&gt;""))),0)</f>
        <v/>
      </c>
      <c r="V23" s="37">
        <f>IFERROR(SUMPRODUCT(((D23=D8)*(E23="Y")*(F23&lt;&gt;F8)*(G23="Y")*(D23&lt;&gt;"")*(F23&lt;&gt;""))+((H23=H8)*(I23="Y")*(J23&lt;&gt;J8)*(K23="Y")*(H23&lt;&gt;"")*(J23&lt;&gt;""))+((L23=L8)*(M23="Y")*(N23&lt;&gt;N8)*(O23="Y")*(L23&lt;&gt;"")*(N23&lt;&gt;""))+((P23=P8)*(Q23="Y")*(R23&lt;&gt;R8)*(S23="Y")*(P23&lt;&gt;"")*(R23&lt;&gt;""))),0)</f>
        <v/>
      </c>
      <c r="W23" s="37">
        <f>IFERROR(SUMPRODUCT(((E23="N")*(D23&lt;&gt;"")*(F23&lt;&gt;""))+((I23="N")*(H23&lt;&gt;"")*(J23&lt;&gt;""))+((M23="N")*(L23&lt;&gt;"")*(N23&lt;&gt;""))+((Q23="N")*(P23&lt;&gt;"")*(R23&lt;&gt;""))),0)</f>
        <v/>
      </c>
      <c r="X23" s="50">
        <f>IFERROR(U23/4,0)</f>
        <v/>
      </c>
    </row>
    <row r="24" ht="18" customHeight="1">
      <c r="B24" s="46">
        <f>'📥 ข้อมูลนักเรียน'!B19</f>
        <v/>
      </c>
      <c r="C24" s="51">
        <f>'📥 ข้อมูลนักเรียน'!C19</f>
        <v/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37">
        <f>IFERROR(SUMPRODUCT(((D24=D8)*(E24="Y")*(F24=F8)*(G24="Y")*(D24&lt;&gt;"")*(F24&lt;&gt;""))+((H24=H8)*(I24="Y")*(J24=J8)*(K24="Y")*(H24&lt;&gt;"")*(J24&lt;&gt;""))+((L24=L8)*(M24="Y")*(N24=N8)*(O24="Y")*(L24&lt;&gt;"")*(N24&lt;&gt;""))+((P24=P8)*(Q24="Y")*(R24=R8)*(S24="Y")*(P24&lt;&gt;"")*(R24&lt;&gt;""))),0)</f>
        <v/>
      </c>
      <c r="U24" s="49">
        <f>IFERROR(SUMPRODUCT(((D24&lt;&gt;D8)*(E24="Y")*(F24&lt;&gt;F8)*(G24="Y")*(D24&lt;&gt;"")*(F24&lt;&gt;""))+((H24&lt;&gt;H8)*(I24="Y")*(J24&lt;&gt;J8)*(K24="Y")*(H24&lt;&gt;"")*(J24&lt;&gt;""))+((L24&lt;&gt;L8)*(M24="Y")*(N24&lt;&gt;N8)*(O24="Y")*(L24&lt;&gt;"")*(N24&lt;&gt;""))+((P24&lt;&gt;P8)*(Q24="Y")*(R24&lt;&gt;R8)*(S24="Y")*(P24&lt;&gt;"")*(R24&lt;&gt;""))),0)</f>
        <v/>
      </c>
      <c r="V24" s="37">
        <f>IFERROR(SUMPRODUCT(((D24=D8)*(E24="Y")*(F24&lt;&gt;F8)*(G24="Y")*(D24&lt;&gt;"")*(F24&lt;&gt;""))+((H24=H8)*(I24="Y")*(J24&lt;&gt;J8)*(K24="Y")*(H24&lt;&gt;"")*(J24&lt;&gt;""))+((L24=L8)*(M24="Y")*(N24&lt;&gt;N8)*(O24="Y")*(L24&lt;&gt;"")*(N24&lt;&gt;""))+((P24=P8)*(Q24="Y")*(R24&lt;&gt;R8)*(S24="Y")*(P24&lt;&gt;"")*(R24&lt;&gt;""))),0)</f>
        <v/>
      </c>
      <c r="W24" s="37">
        <f>IFERROR(SUMPRODUCT(((E24="N")*(D24&lt;&gt;"")*(F24&lt;&gt;""))+((I24="N")*(H24&lt;&gt;"")*(J24&lt;&gt;""))+((M24="N")*(L24&lt;&gt;"")*(N24&lt;&gt;""))+((Q24="N")*(P24&lt;&gt;"")*(R24&lt;&gt;""))),0)</f>
        <v/>
      </c>
      <c r="X24" s="50">
        <f>IFERROR(U24/4,0)</f>
        <v/>
      </c>
    </row>
    <row r="25" ht="18" customHeight="1">
      <c r="B25" s="46">
        <f>'📥 ข้อมูลนักเรียน'!B20</f>
        <v/>
      </c>
      <c r="C25" s="47">
        <f>'📥 ข้อมูลนักเรียน'!C20</f>
        <v/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37">
        <f>IFERROR(SUMPRODUCT(((D25=D8)*(E25="Y")*(F25=F8)*(G25="Y")*(D25&lt;&gt;"")*(F25&lt;&gt;""))+((H25=H8)*(I25="Y")*(J25=J8)*(K25="Y")*(H25&lt;&gt;"")*(J25&lt;&gt;""))+((L25=L8)*(M25="Y")*(N25=N8)*(O25="Y")*(L25&lt;&gt;"")*(N25&lt;&gt;""))+((P25=P8)*(Q25="Y")*(R25=R8)*(S25="Y")*(P25&lt;&gt;"")*(R25&lt;&gt;""))),0)</f>
        <v/>
      </c>
      <c r="U25" s="49">
        <f>IFERROR(SUMPRODUCT(((D25&lt;&gt;D8)*(E25="Y")*(F25&lt;&gt;F8)*(G25="Y")*(D25&lt;&gt;"")*(F25&lt;&gt;""))+((H25&lt;&gt;H8)*(I25="Y")*(J25&lt;&gt;J8)*(K25="Y")*(H25&lt;&gt;"")*(J25&lt;&gt;""))+((L25&lt;&gt;L8)*(M25="Y")*(N25&lt;&gt;N8)*(O25="Y")*(L25&lt;&gt;"")*(N25&lt;&gt;""))+((P25&lt;&gt;P8)*(Q25="Y")*(R25&lt;&gt;R8)*(S25="Y")*(P25&lt;&gt;"")*(R25&lt;&gt;""))),0)</f>
        <v/>
      </c>
      <c r="V25" s="37">
        <f>IFERROR(SUMPRODUCT(((D25=D8)*(E25="Y")*(F25&lt;&gt;F8)*(G25="Y")*(D25&lt;&gt;"")*(F25&lt;&gt;""))+((H25=H8)*(I25="Y")*(J25&lt;&gt;J8)*(K25="Y")*(H25&lt;&gt;"")*(J25&lt;&gt;""))+((L25=L8)*(M25="Y")*(N25&lt;&gt;N8)*(O25="Y")*(L25&lt;&gt;"")*(N25&lt;&gt;""))+((P25=P8)*(Q25="Y")*(R25&lt;&gt;R8)*(S25="Y")*(P25&lt;&gt;"")*(R25&lt;&gt;""))),0)</f>
        <v/>
      </c>
      <c r="W25" s="37">
        <f>IFERROR(SUMPRODUCT(((E25="N")*(D25&lt;&gt;"")*(F25&lt;&gt;""))+((I25="N")*(H25&lt;&gt;"")*(J25&lt;&gt;""))+((M25="N")*(L25&lt;&gt;"")*(N25&lt;&gt;""))+((Q25="N")*(P25&lt;&gt;"")*(R25&lt;&gt;""))),0)</f>
        <v/>
      </c>
      <c r="X25" s="50">
        <f>IFERROR(U25/4,0)</f>
        <v/>
      </c>
    </row>
    <row r="26" ht="18" customHeight="1">
      <c r="B26" s="46">
        <f>'📥 ข้อมูลนักเรียน'!B21</f>
        <v/>
      </c>
      <c r="C26" s="51">
        <f>'📥 ข้อมูลนักเรียน'!C21</f>
        <v/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37">
        <f>IFERROR(SUMPRODUCT(((D26=D8)*(E26="Y")*(F26=F8)*(G26="Y")*(D26&lt;&gt;"")*(F26&lt;&gt;""))+((H26=H8)*(I26="Y")*(J26=J8)*(K26="Y")*(H26&lt;&gt;"")*(J26&lt;&gt;""))+((L26=L8)*(M26="Y")*(N26=N8)*(O26="Y")*(L26&lt;&gt;"")*(N26&lt;&gt;""))+((P26=P8)*(Q26="Y")*(R26=R8)*(S26="Y")*(P26&lt;&gt;"")*(R26&lt;&gt;""))),0)</f>
        <v/>
      </c>
      <c r="U26" s="49">
        <f>IFERROR(SUMPRODUCT(((D26&lt;&gt;D8)*(E26="Y")*(F26&lt;&gt;F8)*(G26="Y")*(D26&lt;&gt;"")*(F26&lt;&gt;""))+((H26&lt;&gt;H8)*(I26="Y")*(J26&lt;&gt;J8)*(K26="Y")*(H26&lt;&gt;"")*(J26&lt;&gt;""))+((L26&lt;&gt;L8)*(M26="Y")*(N26&lt;&gt;N8)*(O26="Y")*(L26&lt;&gt;"")*(N26&lt;&gt;""))+((P26&lt;&gt;P8)*(Q26="Y")*(R26&lt;&gt;R8)*(S26="Y")*(P26&lt;&gt;"")*(R26&lt;&gt;""))),0)</f>
        <v/>
      </c>
      <c r="V26" s="37">
        <f>IFERROR(SUMPRODUCT(((D26=D8)*(E26="Y")*(F26&lt;&gt;F8)*(G26="Y")*(D26&lt;&gt;"")*(F26&lt;&gt;""))+((H26=H8)*(I26="Y")*(J26&lt;&gt;J8)*(K26="Y")*(H26&lt;&gt;"")*(J26&lt;&gt;""))+((L26=L8)*(M26="Y")*(N26&lt;&gt;N8)*(O26="Y")*(L26&lt;&gt;"")*(N26&lt;&gt;""))+((P26=P8)*(Q26="Y")*(R26&lt;&gt;R8)*(S26="Y")*(P26&lt;&gt;"")*(R26&lt;&gt;""))),0)</f>
        <v/>
      </c>
      <c r="W26" s="37">
        <f>IFERROR(SUMPRODUCT(((E26="N")*(D26&lt;&gt;"")*(F26&lt;&gt;""))+((I26="N")*(H26&lt;&gt;"")*(J26&lt;&gt;""))+((M26="N")*(L26&lt;&gt;"")*(N26&lt;&gt;""))+((Q26="N")*(P26&lt;&gt;"")*(R26&lt;&gt;""))),0)</f>
        <v/>
      </c>
      <c r="X26" s="50">
        <f>IFERROR(U26/4,0)</f>
        <v/>
      </c>
    </row>
    <row r="27" ht="18" customHeight="1">
      <c r="B27" s="46">
        <f>'📥 ข้อมูลนักเรียน'!B22</f>
        <v/>
      </c>
      <c r="C27" s="47">
        <f>'📥 ข้อมูลนักเรียน'!C22</f>
        <v/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37">
        <f>IFERROR(SUMPRODUCT(((D27=D8)*(E27="Y")*(F27=F8)*(G27="Y")*(D27&lt;&gt;"")*(F27&lt;&gt;""))+((H27=H8)*(I27="Y")*(J27=J8)*(K27="Y")*(H27&lt;&gt;"")*(J27&lt;&gt;""))+((L27=L8)*(M27="Y")*(N27=N8)*(O27="Y")*(L27&lt;&gt;"")*(N27&lt;&gt;""))+((P27=P8)*(Q27="Y")*(R27=R8)*(S27="Y")*(P27&lt;&gt;"")*(R27&lt;&gt;""))),0)</f>
        <v/>
      </c>
      <c r="U27" s="49">
        <f>IFERROR(SUMPRODUCT(((D27&lt;&gt;D8)*(E27="Y")*(F27&lt;&gt;F8)*(G27="Y")*(D27&lt;&gt;"")*(F27&lt;&gt;""))+((H27&lt;&gt;H8)*(I27="Y")*(J27&lt;&gt;J8)*(K27="Y")*(H27&lt;&gt;"")*(J27&lt;&gt;""))+((L27&lt;&gt;L8)*(M27="Y")*(N27&lt;&gt;N8)*(O27="Y")*(L27&lt;&gt;"")*(N27&lt;&gt;""))+((P27&lt;&gt;P8)*(Q27="Y")*(R27&lt;&gt;R8)*(S27="Y")*(P27&lt;&gt;"")*(R27&lt;&gt;""))),0)</f>
        <v/>
      </c>
      <c r="V27" s="37">
        <f>IFERROR(SUMPRODUCT(((D27=D8)*(E27="Y")*(F27&lt;&gt;F8)*(G27="Y")*(D27&lt;&gt;"")*(F27&lt;&gt;""))+((H27=H8)*(I27="Y")*(J27&lt;&gt;J8)*(K27="Y")*(H27&lt;&gt;"")*(J27&lt;&gt;""))+((L27=L8)*(M27="Y")*(N27&lt;&gt;N8)*(O27="Y")*(L27&lt;&gt;"")*(N27&lt;&gt;""))+((P27=P8)*(Q27="Y")*(R27&lt;&gt;R8)*(S27="Y")*(P27&lt;&gt;"")*(R27&lt;&gt;""))),0)</f>
        <v/>
      </c>
      <c r="W27" s="37">
        <f>IFERROR(SUMPRODUCT(((E27="N")*(D27&lt;&gt;"")*(F27&lt;&gt;""))+((I27="N")*(H27&lt;&gt;"")*(J27&lt;&gt;""))+((M27="N")*(L27&lt;&gt;"")*(N27&lt;&gt;""))+((Q27="N")*(P27&lt;&gt;"")*(R27&lt;&gt;""))),0)</f>
        <v/>
      </c>
      <c r="X27" s="50">
        <f>IFERROR(U27/4,0)</f>
        <v/>
      </c>
    </row>
    <row r="28" ht="18" customHeight="1">
      <c r="B28" s="46">
        <f>'📥 ข้อมูลนักเรียน'!B23</f>
        <v/>
      </c>
      <c r="C28" s="51">
        <f>'📥 ข้อมูลนักเรียน'!C23</f>
        <v/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37">
        <f>IFERROR(SUMPRODUCT(((D28=D8)*(E28="Y")*(F28=F8)*(G28="Y")*(D28&lt;&gt;"")*(F28&lt;&gt;""))+((H28=H8)*(I28="Y")*(J28=J8)*(K28="Y")*(H28&lt;&gt;"")*(J28&lt;&gt;""))+((L28=L8)*(M28="Y")*(N28=N8)*(O28="Y")*(L28&lt;&gt;"")*(N28&lt;&gt;""))+((P28=P8)*(Q28="Y")*(R28=R8)*(S28="Y")*(P28&lt;&gt;"")*(R28&lt;&gt;""))),0)</f>
        <v/>
      </c>
      <c r="U28" s="49">
        <f>IFERROR(SUMPRODUCT(((D28&lt;&gt;D8)*(E28="Y")*(F28&lt;&gt;F8)*(G28="Y")*(D28&lt;&gt;"")*(F28&lt;&gt;""))+((H28&lt;&gt;H8)*(I28="Y")*(J28&lt;&gt;J8)*(K28="Y")*(H28&lt;&gt;"")*(J28&lt;&gt;""))+((L28&lt;&gt;L8)*(M28="Y")*(N28&lt;&gt;N8)*(O28="Y")*(L28&lt;&gt;"")*(N28&lt;&gt;""))+((P28&lt;&gt;P8)*(Q28="Y")*(R28&lt;&gt;R8)*(S28="Y")*(P28&lt;&gt;"")*(R28&lt;&gt;""))),0)</f>
        <v/>
      </c>
      <c r="V28" s="37">
        <f>IFERROR(SUMPRODUCT(((D28=D8)*(E28="Y")*(F28&lt;&gt;F8)*(G28="Y")*(D28&lt;&gt;"")*(F28&lt;&gt;""))+((H28=H8)*(I28="Y")*(J28&lt;&gt;J8)*(K28="Y")*(H28&lt;&gt;"")*(J28&lt;&gt;""))+((L28=L8)*(M28="Y")*(N28&lt;&gt;N8)*(O28="Y")*(L28&lt;&gt;"")*(N28&lt;&gt;""))+((P28=P8)*(Q28="Y")*(R28&lt;&gt;R8)*(S28="Y")*(P28&lt;&gt;"")*(R28&lt;&gt;""))),0)</f>
        <v/>
      </c>
      <c r="W28" s="37">
        <f>IFERROR(SUMPRODUCT(((E28="N")*(D28&lt;&gt;"")*(F28&lt;&gt;""))+((I28="N")*(H28&lt;&gt;"")*(J28&lt;&gt;""))+((M28="N")*(L28&lt;&gt;"")*(N28&lt;&gt;""))+((Q28="N")*(P28&lt;&gt;"")*(R28&lt;&gt;""))),0)</f>
        <v/>
      </c>
      <c r="X28" s="50">
        <f>IFERROR(U28/4,0)</f>
        <v/>
      </c>
    </row>
    <row r="29" ht="18" customHeight="1">
      <c r="B29" s="46">
        <f>'📥 ข้อมูลนักเรียน'!B24</f>
        <v/>
      </c>
      <c r="C29" s="47">
        <f>'📥 ข้อมูลนักเรียน'!C24</f>
        <v/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37">
        <f>IFERROR(SUMPRODUCT(((D29=D8)*(E29="Y")*(F29=F8)*(G29="Y")*(D29&lt;&gt;"")*(F29&lt;&gt;""))+((H29=H8)*(I29="Y")*(J29=J8)*(K29="Y")*(H29&lt;&gt;"")*(J29&lt;&gt;""))+((L29=L8)*(M29="Y")*(N29=N8)*(O29="Y")*(L29&lt;&gt;"")*(N29&lt;&gt;""))+((P29=P8)*(Q29="Y")*(R29=R8)*(S29="Y")*(P29&lt;&gt;"")*(R29&lt;&gt;""))),0)</f>
        <v/>
      </c>
      <c r="U29" s="49">
        <f>IFERROR(SUMPRODUCT(((D29&lt;&gt;D8)*(E29="Y")*(F29&lt;&gt;F8)*(G29="Y")*(D29&lt;&gt;"")*(F29&lt;&gt;""))+((H29&lt;&gt;H8)*(I29="Y")*(J29&lt;&gt;J8)*(K29="Y")*(H29&lt;&gt;"")*(J29&lt;&gt;""))+((L29&lt;&gt;L8)*(M29="Y")*(N29&lt;&gt;N8)*(O29="Y")*(L29&lt;&gt;"")*(N29&lt;&gt;""))+((P29&lt;&gt;P8)*(Q29="Y")*(R29&lt;&gt;R8)*(S29="Y")*(P29&lt;&gt;"")*(R29&lt;&gt;""))),0)</f>
        <v/>
      </c>
      <c r="V29" s="37">
        <f>IFERROR(SUMPRODUCT(((D29=D8)*(E29="Y")*(F29&lt;&gt;F8)*(G29="Y")*(D29&lt;&gt;"")*(F29&lt;&gt;""))+((H29=H8)*(I29="Y")*(J29&lt;&gt;J8)*(K29="Y")*(H29&lt;&gt;"")*(J29&lt;&gt;""))+((L29=L8)*(M29="Y")*(N29&lt;&gt;N8)*(O29="Y")*(L29&lt;&gt;"")*(N29&lt;&gt;""))+((P29=P8)*(Q29="Y")*(R29&lt;&gt;R8)*(S29="Y")*(P29&lt;&gt;"")*(R29&lt;&gt;""))),0)</f>
        <v/>
      </c>
      <c r="W29" s="37">
        <f>IFERROR(SUMPRODUCT(((E29="N")*(D29&lt;&gt;"")*(F29&lt;&gt;""))+((I29="N")*(H29&lt;&gt;"")*(J29&lt;&gt;""))+((M29="N")*(L29&lt;&gt;"")*(N29&lt;&gt;""))+((Q29="N")*(P29&lt;&gt;"")*(R29&lt;&gt;""))),0)</f>
        <v/>
      </c>
      <c r="X29" s="50">
        <f>IFERROR(U29/4,0)</f>
        <v/>
      </c>
    </row>
    <row r="30" ht="18" customHeight="1">
      <c r="B30" s="46">
        <f>'📥 ข้อมูลนักเรียน'!B25</f>
        <v/>
      </c>
      <c r="C30" s="51">
        <f>'📥 ข้อมูลนักเรียน'!C25</f>
        <v/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37">
        <f>IFERROR(SUMPRODUCT(((D30=D8)*(E30="Y")*(F30=F8)*(G30="Y")*(D30&lt;&gt;"")*(F30&lt;&gt;""))+((H30=H8)*(I30="Y")*(J30=J8)*(K30="Y")*(H30&lt;&gt;"")*(J30&lt;&gt;""))+((L30=L8)*(M30="Y")*(N30=N8)*(O30="Y")*(L30&lt;&gt;"")*(N30&lt;&gt;""))+((P30=P8)*(Q30="Y")*(R30=R8)*(S30="Y")*(P30&lt;&gt;"")*(R30&lt;&gt;""))),0)</f>
        <v/>
      </c>
      <c r="U30" s="49">
        <f>IFERROR(SUMPRODUCT(((D30&lt;&gt;D8)*(E30="Y")*(F30&lt;&gt;F8)*(G30="Y")*(D30&lt;&gt;"")*(F30&lt;&gt;""))+((H30&lt;&gt;H8)*(I30="Y")*(J30&lt;&gt;J8)*(K30="Y")*(H30&lt;&gt;"")*(J30&lt;&gt;""))+((L30&lt;&gt;L8)*(M30="Y")*(N30&lt;&gt;N8)*(O30="Y")*(L30&lt;&gt;"")*(N30&lt;&gt;""))+((P30&lt;&gt;P8)*(Q30="Y")*(R30&lt;&gt;R8)*(S30="Y")*(P30&lt;&gt;"")*(R30&lt;&gt;""))),0)</f>
        <v/>
      </c>
      <c r="V30" s="37">
        <f>IFERROR(SUMPRODUCT(((D30=D8)*(E30="Y")*(F30&lt;&gt;F8)*(G30="Y")*(D30&lt;&gt;"")*(F30&lt;&gt;""))+((H30=H8)*(I30="Y")*(J30&lt;&gt;J8)*(K30="Y")*(H30&lt;&gt;"")*(J30&lt;&gt;""))+((L30=L8)*(M30="Y")*(N30&lt;&gt;N8)*(O30="Y")*(L30&lt;&gt;"")*(N30&lt;&gt;""))+((P30=P8)*(Q30="Y")*(R30&lt;&gt;R8)*(S30="Y")*(P30&lt;&gt;"")*(R30&lt;&gt;""))),0)</f>
        <v/>
      </c>
      <c r="W30" s="37">
        <f>IFERROR(SUMPRODUCT(((E30="N")*(D30&lt;&gt;"")*(F30&lt;&gt;""))+((I30="N")*(H30&lt;&gt;"")*(J30&lt;&gt;""))+((M30="N")*(L30&lt;&gt;"")*(N30&lt;&gt;""))+((Q30="N")*(P30&lt;&gt;"")*(R30&lt;&gt;""))),0)</f>
        <v/>
      </c>
      <c r="X30" s="50">
        <f>IFERROR(U30/4,0)</f>
        <v/>
      </c>
    </row>
    <row r="31" ht="18" customHeight="1">
      <c r="B31" s="46">
        <f>'📥 ข้อมูลนักเรียน'!B26</f>
        <v/>
      </c>
      <c r="C31" s="47">
        <f>'📥 ข้อมูลนักเรียน'!C26</f>
        <v/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37">
        <f>IFERROR(SUMPRODUCT(((D31=D8)*(E31="Y")*(F31=F8)*(G31="Y")*(D31&lt;&gt;"")*(F31&lt;&gt;""))+((H31=H8)*(I31="Y")*(J31=J8)*(K31="Y")*(H31&lt;&gt;"")*(J31&lt;&gt;""))+((L31=L8)*(M31="Y")*(N31=N8)*(O31="Y")*(L31&lt;&gt;"")*(N31&lt;&gt;""))+((P31=P8)*(Q31="Y")*(R31=R8)*(S31="Y")*(P31&lt;&gt;"")*(R31&lt;&gt;""))),0)</f>
        <v/>
      </c>
      <c r="U31" s="49">
        <f>IFERROR(SUMPRODUCT(((D31&lt;&gt;D8)*(E31="Y")*(F31&lt;&gt;F8)*(G31="Y")*(D31&lt;&gt;"")*(F31&lt;&gt;""))+((H31&lt;&gt;H8)*(I31="Y")*(J31&lt;&gt;J8)*(K31="Y")*(H31&lt;&gt;"")*(J31&lt;&gt;""))+((L31&lt;&gt;L8)*(M31="Y")*(N31&lt;&gt;N8)*(O31="Y")*(L31&lt;&gt;"")*(N31&lt;&gt;""))+((P31&lt;&gt;P8)*(Q31="Y")*(R31&lt;&gt;R8)*(S31="Y")*(P31&lt;&gt;"")*(R31&lt;&gt;""))),0)</f>
        <v/>
      </c>
      <c r="V31" s="37">
        <f>IFERROR(SUMPRODUCT(((D31=D8)*(E31="Y")*(F31&lt;&gt;F8)*(G31="Y")*(D31&lt;&gt;"")*(F31&lt;&gt;""))+((H31=H8)*(I31="Y")*(J31&lt;&gt;J8)*(K31="Y")*(H31&lt;&gt;"")*(J31&lt;&gt;""))+((L31=L8)*(M31="Y")*(N31&lt;&gt;N8)*(O31="Y")*(L31&lt;&gt;"")*(N31&lt;&gt;""))+((P31=P8)*(Q31="Y")*(R31&lt;&gt;R8)*(S31="Y")*(P31&lt;&gt;"")*(R31&lt;&gt;""))),0)</f>
        <v/>
      </c>
      <c r="W31" s="37">
        <f>IFERROR(SUMPRODUCT(((E31="N")*(D31&lt;&gt;"")*(F31&lt;&gt;""))+((I31="N")*(H31&lt;&gt;"")*(J31&lt;&gt;""))+((M31="N")*(L31&lt;&gt;"")*(N31&lt;&gt;""))+((Q31="N")*(P31&lt;&gt;"")*(R31&lt;&gt;""))),0)</f>
        <v/>
      </c>
      <c r="X31" s="50">
        <f>IFERROR(U31/4,0)</f>
        <v/>
      </c>
    </row>
    <row r="32" ht="18" customHeight="1">
      <c r="B32" s="46">
        <f>'📥 ข้อมูลนักเรียน'!B27</f>
        <v/>
      </c>
      <c r="C32" s="51">
        <f>'📥 ข้อมูลนักเรียน'!C27</f>
        <v/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37">
        <f>IFERROR(SUMPRODUCT(((D32=D8)*(E32="Y")*(F32=F8)*(G32="Y")*(D32&lt;&gt;"")*(F32&lt;&gt;""))+((H32=H8)*(I32="Y")*(J32=J8)*(K32="Y")*(H32&lt;&gt;"")*(J32&lt;&gt;""))+((L32=L8)*(M32="Y")*(N32=N8)*(O32="Y")*(L32&lt;&gt;"")*(N32&lt;&gt;""))+((P32=P8)*(Q32="Y")*(R32=R8)*(S32="Y")*(P32&lt;&gt;"")*(R32&lt;&gt;""))),0)</f>
        <v/>
      </c>
      <c r="U32" s="49">
        <f>IFERROR(SUMPRODUCT(((D32&lt;&gt;D8)*(E32="Y")*(F32&lt;&gt;F8)*(G32="Y")*(D32&lt;&gt;"")*(F32&lt;&gt;""))+((H32&lt;&gt;H8)*(I32="Y")*(J32&lt;&gt;J8)*(K32="Y")*(H32&lt;&gt;"")*(J32&lt;&gt;""))+((L32&lt;&gt;L8)*(M32="Y")*(N32&lt;&gt;N8)*(O32="Y")*(L32&lt;&gt;"")*(N32&lt;&gt;""))+((P32&lt;&gt;P8)*(Q32="Y")*(R32&lt;&gt;R8)*(S32="Y")*(P32&lt;&gt;"")*(R32&lt;&gt;""))),0)</f>
        <v/>
      </c>
      <c r="V32" s="37">
        <f>IFERROR(SUMPRODUCT(((D32=D8)*(E32="Y")*(F32&lt;&gt;F8)*(G32="Y")*(D32&lt;&gt;"")*(F32&lt;&gt;""))+((H32=H8)*(I32="Y")*(J32&lt;&gt;J8)*(K32="Y")*(H32&lt;&gt;"")*(J32&lt;&gt;""))+((L32=L8)*(M32="Y")*(N32&lt;&gt;N8)*(O32="Y")*(L32&lt;&gt;"")*(N32&lt;&gt;""))+((P32=P8)*(Q32="Y")*(R32&lt;&gt;R8)*(S32="Y")*(P32&lt;&gt;"")*(R32&lt;&gt;""))),0)</f>
        <v/>
      </c>
      <c r="W32" s="37">
        <f>IFERROR(SUMPRODUCT(((E32="N")*(D32&lt;&gt;"")*(F32&lt;&gt;""))+((I32="N")*(H32&lt;&gt;"")*(J32&lt;&gt;""))+((M32="N")*(L32&lt;&gt;"")*(N32&lt;&gt;""))+((Q32="N")*(P32&lt;&gt;"")*(R32&lt;&gt;""))),0)</f>
        <v/>
      </c>
      <c r="X32" s="50">
        <f>IFERROR(U32/4,0)</f>
        <v/>
      </c>
    </row>
    <row r="33" ht="18" customHeight="1">
      <c r="B33" s="46">
        <f>'📥 ข้อมูลนักเรียน'!B28</f>
        <v/>
      </c>
      <c r="C33" s="47">
        <f>'📥 ข้อมูลนักเรียน'!C28</f>
        <v/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37">
        <f>IFERROR(SUMPRODUCT(((D33=D8)*(E33="Y")*(F33=F8)*(G33="Y")*(D33&lt;&gt;"")*(F33&lt;&gt;""))+((H33=H8)*(I33="Y")*(J33=J8)*(K33="Y")*(H33&lt;&gt;"")*(J33&lt;&gt;""))+((L33=L8)*(M33="Y")*(N33=N8)*(O33="Y")*(L33&lt;&gt;"")*(N33&lt;&gt;""))+((P33=P8)*(Q33="Y")*(R33=R8)*(S33="Y")*(P33&lt;&gt;"")*(R33&lt;&gt;""))),0)</f>
        <v/>
      </c>
      <c r="U33" s="49">
        <f>IFERROR(SUMPRODUCT(((D33&lt;&gt;D8)*(E33="Y")*(F33&lt;&gt;F8)*(G33="Y")*(D33&lt;&gt;"")*(F33&lt;&gt;""))+((H33&lt;&gt;H8)*(I33="Y")*(J33&lt;&gt;J8)*(K33="Y")*(H33&lt;&gt;"")*(J33&lt;&gt;""))+((L33&lt;&gt;L8)*(M33="Y")*(N33&lt;&gt;N8)*(O33="Y")*(L33&lt;&gt;"")*(N33&lt;&gt;""))+((P33&lt;&gt;P8)*(Q33="Y")*(R33&lt;&gt;R8)*(S33="Y")*(P33&lt;&gt;"")*(R33&lt;&gt;""))),0)</f>
        <v/>
      </c>
      <c r="V33" s="37">
        <f>IFERROR(SUMPRODUCT(((D33=D8)*(E33="Y")*(F33&lt;&gt;F8)*(G33="Y")*(D33&lt;&gt;"")*(F33&lt;&gt;""))+((H33=H8)*(I33="Y")*(J33&lt;&gt;J8)*(K33="Y")*(H33&lt;&gt;"")*(J33&lt;&gt;""))+((L33=L8)*(M33="Y")*(N33&lt;&gt;N8)*(O33="Y")*(L33&lt;&gt;"")*(N33&lt;&gt;""))+((P33=P8)*(Q33="Y")*(R33&lt;&gt;R8)*(S33="Y")*(P33&lt;&gt;"")*(R33&lt;&gt;""))),0)</f>
        <v/>
      </c>
      <c r="W33" s="37">
        <f>IFERROR(SUMPRODUCT(((E33="N")*(D33&lt;&gt;"")*(F33&lt;&gt;""))+((I33="N")*(H33&lt;&gt;"")*(J33&lt;&gt;""))+((M33="N")*(L33&lt;&gt;"")*(N33&lt;&gt;""))+((Q33="N")*(P33&lt;&gt;"")*(R33&lt;&gt;""))),0)</f>
        <v/>
      </c>
      <c r="X33" s="50">
        <f>IFERROR(U33/4,0)</f>
        <v/>
      </c>
    </row>
    <row r="34" ht="18" customHeight="1">
      <c r="B34" s="46">
        <f>'📥 ข้อมูลนักเรียน'!B29</f>
        <v/>
      </c>
      <c r="C34" s="51">
        <f>'📥 ข้อมูลนักเรียน'!C29</f>
        <v/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37">
        <f>IFERROR(SUMPRODUCT(((D34=D8)*(E34="Y")*(F34=F8)*(G34="Y")*(D34&lt;&gt;"")*(F34&lt;&gt;""))+((H34=H8)*(I34="Y")*(J34=J8)*(K34="Y")*(H34&lt;&gt;"")*(J34&lt;&gt;""))+((L34=L8)*(M34="Y")*(N34=N8)*(O34="Y")*(L34&lt;&gt;"")*(N34&lt;&gt;""))+((P34=P8)*(Q34="Y")*(R34=R8)*(S34="Y")*(P34&lt;&gt;"")*(R34&lt;&gt;""))),0)</f>
        <v/>
      </c>
      <c r="U34" s="49">
        <f>IFERROR(SUMPRODUCT(((D34&lt;&gt;D8)*(E34="Y")*(F34&lt;&gt;F8)*(G34="Y")*(D34&lt;&gt;"")*(F34&lt;&gt;""))+((H34&lt;&gt;H8)*(I34="Y")*(J34&lt;&gt;J8)*(K34="Y")*(H34&lt;&gt;"")*(J34&lt;&gt;""))+((L34&lt;&gt;L8)*(M34="Y")*(N34&lt;&gt;N8)*(O34="Y")*(L34&lt;&gt;"")*(N34&lt;&gt;""))+((P34&lt;&gt;P8)*(Q34="Y")*(R34&lt;&gt;R8)*(S34="Y")*(P34&lt;&gt;"")*(R34&lt;&gt;""))),0)</f>
        <v/>
      </c>
      <c r="V34" s="37">
        <f>IFERROR(SUMPRODUCT(((D34=D8)*(E34="Y")*(F34&lt;&gt;F8)*(G34="Y")*(D34&lt;&gt;"")*(F34&lt;&gt;""))+((H34=H8)*(I34="Y")*(J34&lt;&gt;J8)*(K34="Y")*(H34&lt;&gt;"")*(J34&lt;&gt;""))+((L34=L8)*(M34="Y")*(N34&lt;&gt;N8)*(O34="Y")*(L34&lt;&gt;"")*(N34&lt;&gt;""))+((P34=P8)*(Q34="Y")*(R34&lt;&gt;R8)*(S34="Y")*(P34&lt;&gt;"")*(R34&lt;&gt;""))),0)</f>
        <v/>
      </c>
      <c r="W34" s="37">
        <f>IFERROR(SUMPRODUCT(((E34="N")*(D34&lt;&gt;"")*(F34&lt;&gt;""))+((I34="N")*(H34&lt;&gt;"")*(J34&lt;&gt;""))+((M34="N")*(L34&lt;&gt;"")*(N34&lt;&gt;""))+((Q34="N")*(P34&lt;&gt;"")*(R34&lt;&gt;""))),0)</f>
        <v/>
      </c>
      <c r="X34" s="50">
        <f>IFERROR(U34/4,0)</f>
        <v/>
      </c>
    </row>
    <row r="35" ht="18" customHeight="1">
      <c r="B35" s="46">
        <f>'📥 ข้อมูลนักเรียน'!B30</f>
        <v/>
      </c>
      <c r="C35" s="47">
        <f>'📥 ข้อมูลนักเรียน'!C30</f>
        <v/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37">
        <f>IFERROR(SUMPRODUCT(((D35=D8)*(E35="Y")*(F35=F8)*(G35="Y")*(D35&lt;&gt;"")*(F35&lt;&gt;""))+((H35=H8)*(I35="Y")*(J35=J8)*(K35="Y")*(H35&lt;&gt;"")*(J35&lt;&gt;""))+((L35=L8)*(M35="Y")*(N35=N8)*(O35="Y")*(L35&lt;&gt;"")*(N35&lt;&gt;""))+((P35=P8)*(Q35="Y")*(R35=R8)*(S35="Y")*(P35&lt;&gt;"")*(R35&lt;&gt;""))),0)</f>
        <v/>
      </c>
      <c r="U35" s="49">
        <f>IFERROR(SUMPRODUCT(((D35&lt;&gt;D8)*(E35="Y")*(F35&lt;&gt;F8)*(G35="Y")*(D35&lt;&gt;"")*(F35&lt;&gt;""))+((H35&lt;&gt;H8)*(I35="Y")*(J35&lt;&gt;J8)*(K35="Y")*(H35&lt;&gt;"")*(J35&lt;&gt;""))+((L35&lt;&gt;L8)*(M35="Y")*(N35&lt;&gt;N8)*(O35="Y")*(L35&lt;&gt;"")*(N35&lt;&gt;""))+((P35&lt;&gt;P8)*(Q35="Y")*(R35&lt;&gt;R8)*(S35="Y")*(P35&lt;&gt;"")*(R35&lt;&gt;""))),0)</f>
        <v/>
      </c>
      <c r="V35" s="37">
        <f>IFERROR(SUMPRODUCT(((D35=D8)*(E35="Y")*(F35&lt;&gt;F8)*(G35="Y")*(D35&lt;&gt;"")*(F35&lt;&gt;""))+((H35=H8)*(I35="Y")*(J35&lt;&gt;J8)*(K35="Y")*(H35&lt;&gt;"")*(J35&lt;&gt;""))+((L35=L8)*(M35="Y")*(N35&lt;&gt;N8)*(O35="Y")*(L35&lt;&gt;"")*(N35&lt;&gt;""))+((P35=P8)*(Q35="Y")*(R35&lt;&gt;R8)*(S35="Y")*(P35&lt;&gt;"")*(R35&lt;&gt;""))),0)</f>
        <v/>
      </c>
      <c r="W35" s="37">
        <f>IFERROR(SUMPRODUCT(((E35="N")*(D35&lt;&gt;"")*(F35&lt;&gt;""))+((I35="N")*(H35&lt;&gt;"")*(J35&lt;&gt;""))+((M35="N")*(L35&lt;&gt;"")*(N35&lt;&gt;""))+((Q35="N")*(P35&lt;&gt;"")*(R35&lt;&gt;""))),0)</f>
        <v/>
      </c>
      <c r="X35" s="50">
        <f>IFERROR(U35/4,0)</f>
        <v/>
      </c>
    </row>
    <row r="36" ht="18" customHeight="1">
      <c r="B36" s="46">
        <f>'📥 ข้อมูลนักเรียน'!B31</f>
        <v/>
      </c>
      <c r="C36" s="51">
        <f>'📥 ข้อมูลนักเรียน'!C31</f>
        <v/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37">
        <f>IFERROR(SUMPRODUCT(((D36=D8)*(E36="Y")*(F36=F8)*(G36="Y")*(D36&lt;&gt;"")*(F36&lt;&gt;""))+((H36=H8)*(I36="Y")*(J36=J8)*(K36="Y")*(H36&lt;&gt;"")*(J36&lt;&gt;""))+((L36=L8)*(M36="Y")*(N36=N8)*(O36="Y")*(L36&lt;&gt;"")*(N36&lt;&gt;""))+((P36=P8)*(Q36="Y")*(R36=R8)*(S36="Y")*(P36&lt;&gt;"")*(R36&lt;&gt;""))),0)</f>
        <v/>
      </c>
      <c r="U36" s="49">
        <f>IFERROR(SUMPRODUCT(((D36&lt;&gt;D8)*(E36="Y")*(F36&lt;&gt;F8)*(G36="Y")*(D36&lt;&gt;"")*(F36&lt;&gt;""))+((H36&lt;&gt;H8)*(I36="Y")*(J36&lt;&gt;J8)*(K36="Y")*(H36&lt;&gt;"")*(J36&lt;&gt;""))+((L36&lt;&gt;L8)*(M36="Y")*(N36&lt;&gt;N8)*(O36="Y")*(L36&lt;&gt;"")*(N36&lt;&gt;""))+((P36&lt;&gt;P8)*(Q36="Y")*(R36&lt;&gt;R8)*(S36="Y")*(P36&lt;&gt;"")*(R36&lt;&gt;""))),0)</f>
        <v/>
      </c>
      <c r="V36" s="37">
        <f>IFERROR(SUMPRODUCT(((D36=D8)*(E36="Y")*(F36&lt;&gt;F8)*(G36="Y")*(D36&lt;&gt;"")*(F36&lt;&gt;""))+((H36=H8)*(I36="Y")*(J36&lt;&gt;J8)*(K36="Y")*(H36&lt;&gt;"")*(J36&lt;&gt;""))+((L36=L8)*(M36="Y")*(N36&lt;&gt;N8)*(O36="Y")*(L36&lt;&gt;"")*(N36&lt;&gt;""))+((P36=P8)*(Q36="Y")*(R36&lt;&gt;R8)*(S36="Y")*(P36&lt;&gt;"")*(R36&lt;&gt;""))),0)</f>
        <v/>
      </c>
      <c r="W36" s="37">
        <f>IFERROR(SUMPRODUCT(((E36="N")*(D36&lt;&gt;"")*(F36&lt;&gt;""))+((I36="N")*(H36&lt;&gt;"")*(J36&lt;&gt;""))+((M36="N")*(L36&lt;&gt;"")*(N36&lt;&gt;""))+((Q36="N")*(P36&lt;&gt;"")*(R36&lt;&gt;""))),0)</f>
        <v/>
      </c>
      <c r="X36" s="50">
        <f>IFERROR(U36/4,0)</f>
        <v/>
      </c>
    </row>
    <row r="37" ht="18" customHeight="1">
      <c r="B37" s="46">
        <f>'📥 ข้อมูลนักเรียน'!B32</f>
        <v/>
      </c>
      <c r="C37" s="47">
        <f>'📥 ข้อมูลนักเรียน'!C32</f>
        <v/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37">
        <f>IFERROR(SUMPRODUCT(((D37=D8)*(E37="Y")*(F37=F8)*(G37="Y")*(D37&lt;&gt;"")*(F37&lt;&gt;""))+((H37=H8)*(I37="Y")*(J37=J8)*(K37="Y")*(H37&lt;&gt;"")*(J37&lt;&gt;""))+((L37=L8)*(M37="Y")*(N37=N8)*(O37="Y")*(L37&lt;&gt;"")*(N37&lt;&gt;""))+((P37=P8)*(Q37="Y")*(R37=R8)*(S37="Y")*(P37&lt;&gt;"")*(R37&lt;&gt;""))),0)</f>
        <v/>
      </c>
      <c r="U37" s="49">
        <f>IFERROR(SUMPRODUCT(((D37&lt;&gt;D8)*(E37="Y")*(F37&lt;&gt;F8)*(G37="Y")*(D37&lt;&gt;"")*(F37&lt;&gt;""))+((H37&lt;&gt;H8)*(I37="Y")*(J37&lt;&gt;J8)*(K37="Y")*(H37&lt;&gt;"")*(J37&lt;&gt;""))+((L37&lt;&gt;L8)*(M37="Y")*(N37&lt;&gt;N8)*(O37="Y")*(L37&lt;&gt;"")*(N37&lt;&gt;""))+((P37&lt;&gt;P8)*(Q37="Y")*(R37&lt;&gt;R8)*(S37="Y")*(P37&lt;&gt;"")*(R37&lt;&gt;""))),0)</f>
        <v/>
      </c>
      <c r="V37" s="37">
        <f>IFERROR(SUMPRODUCT(((D37=D8)*(E37="Y")*(F37&lt;&gt;F8)*(G37="Y")*(D37&lt;&gt;"")*(F37&lt;&gt;""))+((H37=H8)*(I37="Y")*(J37&lt;&gt;J8)*(K37="Y")*(H37&lt;&gt;"")*(J37&lt;&gt;""))+((L37=L8)*(M37="Y")*(N37&lt;&gt;N8)*(O37="Y")*(L37&lt;&gt;"")*(N37&lt;&gt;""))+((P37=P8)*(Q37="Y")*(R37&lt;&gt;R8)*(S37="Y")*(P37&lt;&gt;"")*(R37&lt;&gt;""))),0)</f>
        <v/>
      </c>
      <c r="W37" s="37">
        <f>IFERROR(SUMPRODUCT(((E37="N")*(D37&lt;&gt;"")*(F37&lt;&gt;""))+((I37="N")*(H37&lt;&gt;"")*(J37&lt;&gt;""))+((M37="N")*(L37&lt;&gt;"")*(N37&lt;&gt;""))+((Q37="N")*(P37&lt;&gt;"")*(R37&lt;&gt;""))),0)</f>
        <v/>
      </c>
      <c r="X37" s="50">
        <f>IFERROR(U37/4,0)</f>
        <v/>
      </c>
    </row>
    <row r="38" ht="18" customHeight="1">
      <c r="B38" s="46">
        <f>'📥 ข้อมูลนักเรียน'!B33</f>
        <v/>
      </c>
      <c r="C38" s="51">
        <f>'📥 ข้อมูลนักเรียน'!C33</f>
        <v/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37">
        <f>IFERROR(SUMPRODUCT(((D38=D8)*(E38="Y")*(F38=F8)*(G38="Y")*(D38&lt;&gt;"")*(F38&lt;&gt;""))+((H38=H8)*(I38="Y")*(J38=J8)*(K38="Y")*(H38&lt;&gt;"")*(J38&lt;&gt;""))+((L38=L8)*(M38="Y")*(N38=N8)*(O38="Y")*(L38&lt;&gt;"")*(N38&lt;&gt;""))+((P38=P8)*(Q38="Y")*(R38=R8)*(S38="Y")*(P38&lt;&gt;"")*(R38&lt;&gt;""))),0)</f>
        <v/>
      </c>
      <c r="U38" s="49">
        <f>IFERROR(SUMPRODUCT(((D38&lt;&gt;D8)*(E38="Y")*(F38&lt;&gt;F8)*(G38="Y")*(D38&lt;&gt;"")*(F38&lt;&gt;""))+((H38&lt;&gt;H8)*(I38="Y")*(J38&lt;&gt;J8)*(K38="Y")*(H38&lt;&gt;"")*(J38&lt;&gt;""))+((L38&lt;&gt;L8)*(M38="Y")*(N38&lt;&gt;N8)*(O38="Y")*(L38&lt;&gt;"")*(N38&lt;&gt;""))+((P38&lt;&gt;P8)*(Q38="Y")*(R38&lt;&gt;R8)*(S38="Y")*(P38&lt;&gt;"")*(R38&lt;&gt;""))),0)</f>
        <v/>
      </c>
      <c r="V38" s="37">
        <f>IFERROR(SUMPRODUCT(((D38=D8)*(E38="Y")*(F38&lt;&gt;F8)*(G38="Y")*(D38&lt;&gt;"")*(F38&lt;&gt;""))+((H38=H8)*(I38="Y")*(J38&lt;&gt;J8)*(K38="Y")*(H38&lt;&gt;"")*(J38&lt;&gt;""))+((L38=L8)*(M38="Y")*(N38&lt;&gt;N8)*(O38="Y")*(L38&lt;&gt;"")*(N38&lt;&gt;""))+((P38=P8)*(Q38="Y")*(R38&lt;&gt;R8)*(S38="Y")*(P38&lt;&gt;"")*(R38&lt;&gt;""))),0)</f>
        <v/>
      </c>
      <c r="W38" s="37">
        <f>IFERROR(SUMPRODUCT(((E38="N")*(D38&lt;&gt;"")*(F38&lt;&gt;""))+((I38="N")*(H38&lt;&gt;"")*(J38&lt;&gt;""))+((M38="N")*(L38&lt;&gt;"")*(N38&lt;&gt;""))+((Q38="N")*(P38&lt;&gt;"")*(R38&lt;&gt;""))),0)</f>
        <v/>
      </c>
      <c r="X38" s="50">
        <f>IFERROR(U38/4,0)</f>
        <v/>
      </c>
    </row>
    <row r="39" ht="18" customHeight="1">
      <c r="B39" s="46">
        <f>'📥 ข้อมูลนักเรียน'!B34</f>
        <v/>
      </c>
      <c r="C39" s="47">
        <f>'📥 ข้อมูลนักเรียน'!C34</f>
        <v/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37">
        <f>IFERROR(SUMPRODUCT(((D39=D8)*(E39="Y")*(F39=F8)*(G39="Y")*(D39&lt;&gt;"")*(F39&lt;&gt;""))+((H39=H8)*(I39="Y")*(J39=J8)*(K39="Y")*(H39&lt;&gt;"")*(J39&lt;&gt;""))+((L39=L8)*(M39="Y")*(N39=N8)*(O39="Y")*(L39&lt;&gt;"")*(N39&lt;&gt;""))+((P39=P8)*(Q39="Y")*(R39=R8)*(S39="Y")*(P39&lt;&gt;"")*(R39&lt;&gt;""))),0)</f>
        <v/>
      </c>
      <c r="U39" s="49">
        <f>IFERROR(SUMPRODUCT(((D39&lt;&gt;D8)*(E39="Y")*(F39&lt;&gt;F8)*(G39="Y")*(D39&lt;&gt;"")*(F39&lt;&gt;""))+((H39&lt;&gt;H8)*(I39="Y")*(J39&lt;&gt;J8)*(K39="Y")*(H39&lt;&gt;"")*(J39&lt;&gt;""))+((L39&lt;&gt;L8)*(M39="Y")*(N39&lt;&gt;N8)*(O39="Y")*(L39&lt;&gt;"")*(N39&lt;&gt;""))+((P39&lt;&gt;P8)*(Q39="Y")*(R39&lt;&gt;R8)*(S39="Y")*(P39&lt;&gt;"")*(R39&lt;&gt;""))),0)</f>
        <v/>
      </c>
      <c r="V39" s="37">
        <f>IFERROR(SUMPRODUCT(((D39=D8)*(E39="Y")*(F39&lt;&gt;F8)*(G39="Y")*(D39&lt;&gt;"")*(F39&lt;&gt;""))+((H39=H8)*(I39="Y")*(J39&lt;&gt;J8)*(K39="Y")*(H39&lt;&gt;"")*(J39&lt;&gt;""))+((L39=L8)*(M39="Y")*(N39&lt;&gt;N8)*(O39="Y")*(L39&lt;&gt;"")*(N39&lt;&gt;""))+((P39=P8)*(Q39="Y")*(R39&lt;&gt;R8)*(S39="Y")*(P39&lt;&gt;"")*(R39&lt;&gt;""))),0)</f>
        <v/>
      </c>
      <c r="W39" s="37">
        <f>IFERROR(SUMPRODUCT(((E39="N")*(D39&lt;&gt;"")*(F39&lt;&gt;""))+((I39="N")*(H39&lt;&gt;"")*(J39&lt;&gt;""))+((M39="N")*(L39&lt;&gt;"")*(N39&lt;&gt;""))+((Q39="N")*(P39&lt;&gt;"")*(R39&lt;&gt;""))),0)</f>
        <v/>
      </c>
      <c r="X39" s="50">
        <f>IFERROR(U39/4,0)</f>
        <v/>
      </c>
    </row>
    <row r="40" ht="18" customHeight="1">
      <c r="B40" s="46">
        <f>'📥 ข้อมูลนักเรียน'!B35</f>
        <v/>
      </c>
      <c r="C40" s="51">
        <f>'📥 ข้อมูลนักเรียน'!C35</f>
        <v/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37">
        <f>IFERROR(SUMPRODUCT(((D40=D8)*(E40="Y")*(F40=F8)*(G40="Y")*(D40&lt;&gt;"")*(F40&lt;&gt;""))+((H40=H8)*(I40="Y")*(J40=J8)*(K40="Y")*(H40&lt;&gt;"")*(J40&lt;&gt;""))+((L40=L8)*(M40="Y")*(N40=N8)*(O40="Y")*(L40&lt;&gt;"")*(N40&lt;&gt;""))+((P40=P8)*(Q40="Y")*(R40=R8)*(S40="Y")*(P40&lt;&gt;"")*(R40&lt;&gt;""))),0)</f>
        <v/>
      </c>
      <c r="U40" s="49">
        <f>IFERROR(SUMPRODUCT(((D40&lt;&gt;D8)*(E40="Y")*(F40&lt;&gt;F8)*(G40="Y")*(D40&lt;&gt;"")*(F40&lt;&gt;""))+((H40&lt;&gt;H8)*(I40="Y")*(J40&lt;&gt;J8)*(K40="Y")*(H40&lt;&gt;"")*(J40&lt;&gt;""))+((L40&lt;&gt;L8)*(M40="Y")*(N40&lt;&gt;N8)*(O40="Y")*(L40&lt;&gt;"")*(N40&lt;&gt;""))+((P40&lt;&gt;P8)*(Q40="Y")*(R40&lt;&gt;R8)*(S40="Y")*(P40&lt;&gt;"")*(R40&lt;&gt;""))),0)</f>
        <v/>
      </c>
      <c r="V40" s="37">
        <f>IFERROR(SUMPRODUCT(((D40=D8)*(E40="Y")*(F40&lt;&gt;F8)*(G40="Y")*(D40&lt;&gt;"")*(F40&lt;&gt;""))+((H40=H8)*(I40="Y")*(J40&lt;&gt;J8)*(K40="Y")*(H40&lt;&gt;"")*(J40&lt;&gt;""))+((L40=L8)*(M40="Y")*(N40&lt;&gt;N8)*(O40="Y")*(L40&lt;&gt;"")*(N40&lt;&gt;""))+((P40=P8)*(Q40="Y")*(R40&lt;&gt;R8)*(S40="Y")*(P40&lt;&gt;"")*(R40&lt;&gt;""))),0)</f>
        <v/>
      </c>
      <c r="W40" s="37">
        <f>IFERROR(SUMPRODUCT(((E40="N")*(D40&lt;&gt;"")*(F40&lt;&gt;""))+((I40="N")*(H40&lt;&gt;"")*(J40&lt;&gt;""))+((M40="N")*(L40&lt;&gt;"")*(N40&lt;&gt;""))+((Q40="N")*(P40&lt;&gt;"")*(R40&lt;&gt;""))),0)</f>
        <v/>
      </c>
      <c r="X40" s="50">
        <f>IFERROR(U40/4,0)</f>
        <v/>
      </c>
    </row>
    <row r="41" ht="18" customHeight="1">
      <c r="B41" s="46">
        <f>'📥 ข้อมูลนักเรียน'!B36</f>
        <v/>
      </c>
      <c r="C41" s="47">
        <f>'📥 ข้อมูลนักเรียน'!C36</f>
        <v/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37">
        <f>IFERROR(SUMPRODUCT(((D41=D8)*(E41="Y")*(F41=F8)*(G41="Y")*(D41&lt;&gt;"")*(F41&lt;&gt;""))+((H41=H8)*(I41="Y")*(J41=J8)*(K41="Y")*(H41&lt;&gt;"")*(J41&lt;&gt;""))+((L41=L8)*(M41="Y")*(N41=N8)*(O41="Y")*(L41&lt;&gt;"")*(N41&lt;&gt;""))+((P41=P8)*(Q41="Y")*(R41=R8)*(S41="Y")*(P41&lt;&gt;"")*(R41&lt;&gt;""))),0)</f>
        <v/>
      </c>
      <c r="U41" s="49">
        <f>IFERROR(SUMPRODUCT(((D41&lt;&gt;D8)*(E41="Y")*(F41&lt;&gt;F8)*(G41="Y")*(D41&lt;&gt;"")*(F41&lt;&gt;""))+((H41&lt;&gt;H8)*(I41="Y")*(J41&lt;&gt;J8)*(K41="Y")*(H41&lt;&gt;"")*(J41&lt;&gt;""))+((L41&lt;&gt;L8)*(M41="Y")*(N41&lt;&gt;N8)*(O41="Y")*(L41&lt;&gt;"")*(N41&lt;&gt;""))+((P41&lt;&gt;P8)*(Q41="Y")*(R41&lt;&gt;R8)*(S41="Y")*(P41&lt;&gt;"")*(R41&lt;&gt;""))),0)</f>
        <v/>
      </c>
      <c r="V41" s="37">
        <f>IFERROR(SUMPRODUCT(((D41=D8)*(E41="Y")*(F41&lt;&gt;F8)*(G41="Y")*(D41&lt;&gt;"")*(F41&lt;&gt;""))+((H41=H8)*(I41="Y")*(J41&lt;&gt;J8)*(K41="Y")*(H41&lt;&gt;"")*(J41&lt;&gt;""))+((L41=L8)*(M41="Y")*(N41&lt;&gt;N8)*(O41="Y")*(L41&lt;&gt;"")*(N41&lt;&gt;""))+((P41=P8)*(Q41="Y")*(R41&lt;&gt;R8)*(S41="Y")*(P41&lt;&gt;"")*(R41&lt;&gt;""))),0)</f>
        <v/>
      </c>
      <c r="W41" s="37">
        <f>IFERROR(SUMPRODUCT(((E41="N")*(D41&lt;&gt;"")*(F41&lt;&gt;""))+((I41="N")*(H41&lt;&gt;"")*(J41&lt;&gt;""))+((M41="N")*(L41&lt;&gt;"")*(N41&lt;&gt;""))+((Q41="N")*(P41&lt;&gt;"")*(R41&lt;&gt;""))),0)</f>
        <v/>
      </c>
      <c r="X41" s="50">
        <f>IFERROR(U41/4,0)</f>
        <v/>
      </c>
    </row>
    <row r="42" ht="18" customHeight="1">
      <c r="B42" s="46">
        <f>'📥 ข้อมูลนักเรียน'!B37</f>
        <v/>
      </c>
      <c r="C42" s="51">
        <f>'📥 ข้อมูลนักเรียน'!C37</f>
        <v/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37">
        <f>IFERROR(SUMPRODUCT(((D42=D8)*(E42="Y")*(F42=F8)*(G42="Y")*(D42&lt;&gt;"")*(F42&lt;&gt;""))+((H42=H8)*(I42="Y")*(J42=J8)*(K42="Y")*(H42&lt;&gt;"")*(J42&lt;&gt;""))+((L42=L8)*(M42="Y")*(N42=N8)*(O42="Y")*(L42&lt;&gt;"")*(N42&lt;&gt;""))+((P42=P8)*(Q42="Y")*(R42=R8)*(S42="Y")*(P42&lt;&gt;"")*(R42&lt;&gt;""))),0)</f>
        <v/>
      </c>
      <c r="U42" s="49">
        <f>IFERROR(SUMPRODUCT(((D42&lt;&gt;D8)*(E42="Y")*(F42&lt;&gt;F8)*(G42="Y")*(D42&lt;&gt;"")*(F42&lt;&gt;""))+((H42&lt;&gt;H8)*(I42="Y")*(J42&lt;&gt;J8)*(K42="Y")*(H42&lt;&gt;"")*(J42&lt;&gt;""))+((L42&lt;&gt;L8)*(M42="Y")*(N42&lt;&gt;N8)*(O42="Y")*(L42&lt;&gt;"")*(N42&lt;&gt;""))+((P42&lt;&gt;P8)*(Q42="Y")*(R42&lt;&gt;R8)*(S42="Y")*(P42&lt;&gt;"")*(R42&lt;&gt;""))),0)</f>
        <v/>
      </c>
      <c r="V42" s="37">
        <f>IFERROR(SUMPRODUCT(((D42=D8)*(E42="Y")*(F42&lt;&gt;F8)*(G42="Y")*(D42&lt;&gt;"")*(F42&lt;&gt;""))+((H42=H8)*(I42="Y")*(J42&lt;&gt;J8)*(K42="Y")*(H42&lt;&gt;"")*(J42&lt;&gt;""))+((L42=L8)*(M42="Y")*(N42&lt;&gt;N8)*(O42="Y")*(L42&lt;&gt;"")*(N42&lt;&gt;""))+((P42=P8)*(Q42="Y")*(R42&lt;&gt;R8)*(S42="Y")*(P42&lt;&gt;"")*(R42&lt;&gt;""))),0)</f>
        <v/>
      </c>
      <c r="W42" s="37">
        <f>IFERROR(SUMPRODUCT(((E42="N")*(D42&lt;&gt;"")*(F42&lt;&gt;""))+((I42="N")*(H42&lt;&gt;"")*(J42&lt;&gt;""))+((M42="N")*(L42&lt;&gt;"")*(N42&lt;&gt;""))+((Q42="N")*(P42&lt;&gt;"")*(R42&lt;&gt;""))),0)</f>
        <v/>
      </c>
      <c r="X42" s="50">
        <f>IFERROR(U42/4,0)</f>
        <v/>
      </c>
    </row>
    <row r="43" ht="18" customHeight="1">
      <c r="B43" s="46">
        <f>'📥 ข้อมูลนักเรียน'!B38</f>
        <v/>
      </c>
      <c r="C43" s="47">
        <f>'📥 ข้อมูลนักเรียน'!C38</f>
        <v/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37">
        <f>IFERROR(SUMPRODUCT(((D43=D8)*(E43="Y")*(F43=F8)*(G43="Y")*(D43&lt;&gt;"")*(F43&lt;&gt;""))+((H43=H8)*(I43="Y")*(J43=J8)*(K43="Y")*(H43&lt;&gt;"")*(J43&lt;&gt;""))+((L43=L8)*(M43="Y")*(N43=N8)*(O43="Y")*(L43&lt;&gt;"")*(N43&lt;&gt;""))+((P43=P8)*(Q43="Y")*(R43=R8)*(S43="Y")*(P43&lt;&gt;"")*(R43&lt;&gt;""))),0)</f>
        <v/>
      </c>
      <c r="U43" s="49">
        <f>IFERROR(SUMPRODUCT(((D43&lt;&gt;D8)*(E43="Y")*(F43&lt;&gt;F8)*(G43="Y")*(D43&lt;&gt;"")*(F43&lt;&gt;""))+((H43&lt;&gt;H8)*(I43="Y")*(J43&lt;&gt;J8)*(K43="Y")*(H43&lt;&gt;"")*(J43&lt;&gt;""))+((L43&lt;&gt;L8)*(M43="Y")*(N43&lt;&gt;N8)*(O43="Y")*(L43&lt;&gt;"")*(N43&lt;&gt;""))+((P43&lt;&gt;P8)*(Q43="Y")*(R43&lt;&gt;R8)*(S43="Y")*(P43&lt;&gt;"")*(R43&lt;&gt;""))),0)</f>
        <v/>
      </c>
      <c r="V43" s="37">
        <f>IFERROR(SUMPRODUCT(((D43=D8)*(E43="Y")*(F43&lt;&gt;F8)*(G43="Y")*(D43&lt;&gt;"")*(F43&lt;&gt;""))+((H43=H8)*(I43="Y")*(J43&lt;&gt;J8)*(K43="Y")*(H43&lt;&gt;"")*(J43&lt;&gt;""))+((L43=L8)*(M43="Y")*(N43&lt;&gt;N8)*(O43="Y")*(L43&lt;&gt;"")*(N43&lt;&gt;""))+((P43=P8)*(Q43="Y")*(R43&lt;&gt;R8)*(S43="Y")*(P43&lt;&gt;"")*(R43&lt;&gt;""))),0)</f>
        <v/>
      </c>
      <c r="W43" s="37">
        <f>IFERROR(SUMPRODUCT(((E43="N")*(D43&lt;&gt;"")*(F43&lt;&gt;""))+((I43="N")*(H43&lt;&gt;"")*(J43&lt;&gt;""))+((M43="N")*(L43&lt;&gt;"")*(N43&lt;&gt;""))+((Q43="N")*(P43&lt;&gt;"")*(R43&lt;&gt;""))),0)</f>
        <v/>
      </c>
      <c r="X43" s="50">
        <f>IFERROR(U43/4,0)</f>
        <v/>
      </c>
    </row>
    <row r="44" ht="24" customHeight="1">
      <c r="B44" s="240" t="inlineStr">
        <is>
          <t>สรุป Pre แผน 1</t>
        </is>
      </c>
      <c r="C44" s="369" t="n"/>
      <c r="T44" s="52">
        <f>IFERROR(AVERAGE(T9:T43)*4,0)</f>
        <v/>
      </c>
      <c r="U44" s="53">
        <f>IFERROR(AVERAGE(U9:U43)*4,0)</f>
        <v/>
      </c>
      <c r="V44" s="54">
        <f>IFERROR(AVERAGE(V9:V43)*4,0)</f>
        <v/>
      </c>
      <c r="W44" s="55">
        <f>IFERROR(AVERAGE(W9:W43)*4,0)</f>
        <v/>
      </c>
      <c r="X44" s="56">
        <f>IFERROR(AVERAGE(X9:X43),0)</f>
        <v/>
      </c>
    </row>
    <row r="45" ht="19.5" customHeight="1">
      <c r="B45" s="241" t="inlineStr">
        <is>
          <t>🟢 POST-test — หลังสอน  (แผน 1 ข้อ 1–4)</t>
        </is>
      </c>
    </row>
    <row r="46" ht="27.75" customHeight="1">
      <c r="B46" s="27" t="inlineStr">
        <is>
          <t>ที่</t>
        </is>
      </c>
      <c r="C46" s="27" t="inlineStr">
        <is>
          <t>ชื่อนักเรียน</t>
        </is>
      </c>
      <c r="D46" s="242" t="inlineStr">
        <is>
          <t>ข้อ 1</t>
        </is>
      </c>
      <c r="E46" s="369" t="n"/>
      <c r="F46" s="369" t="n"/>
      <c r="G46" s="369" t="n"/>
      <c r="H46" s="242" t="inlineStr">
        <is>
          <t>ข้อ 2</t>
        </is>
      </c>
      <c r="I46" s="369" t="n"/>
      <c r="J46" s="369" t="n"/>
      <c r="K46" s="369" t="n"/>
      <c r="L46" s="242" t="inlineStr">
        <is>
          <t>ข้อ 3</t>
        </is>
      </c>
      <c r="M46" s="369" t="n"/>
      <c r="N46" s="369" t="n"/>
      <c r="O46" s="369" t="n"/>
      <c r="P46" s="242" t="inlineStr">
        <is>
          <t>ข้อ 4</t>
        </is>
      </c>
      <c r="Q46" s="369" t="n"/>
      <c r="R46" s="369" t="n"/>
      <c r="S46" s="369" t="n"/>
      <c r="T46" s="57" t="inlineStr">
        <is>
          <t>Sound
✅</t>
        </is>
      </c>
      <c r="U46" s="57" t="inlineStr">
        <is>
          <t>Misc
❌</t>
        </is>
      </c>
      <c r="V46" s="57" t="inlineStr">
        <is>
          <t>Guess
🎲</t>
        </is>
      </c>
      <c r="W46" s="57" t="inlineStr">
        <is>
          <t>NoK
❓</t>
        </is>
      </c>
      <c r="X46" s="57" t="inlineStr">
        <is>
          <t>% Misc
(Auto)</t>
        </is>
      </c>
    </row>
    <row r="47" ht="27.75" customHeight="1">
      <c r="B47" s="58" t="n"/>
      <c r="C47" s="59" t="inlineStr">
        <is>
          <t>← กรอกเฉลย T1 และ T3</t>
        </is>
      </c>
      <c r="D47" s="60" t="inlineStr">
        <is>
          <t>T1
(ก-ง)</t>
        </is>
      </c>
      <c r="E47" s="60" t="inlineStr">
        <is>
          <t>T2
(Y/N)</t>
        </is>
      </c>
      <c r="F47" s="60" t="inlineStr">
        <is>
          <t>T3
(ก-ง)</t>
        </is>
      </c>
      <c r="G47" s="60" t="inlineStr">
        <is>
          <t>T4
(Y/N)</t>
        </is>
      </c>
      <c r="H47" s="60" t="inlineStr">
        <is>
          <t>T1
(ก-ง)</t>
        </is>
      </c>
      <c r="I47" s="60" t="inlineStr">
        <is>
          <t>T2
(Y/N)</t>
        </is>
      </c>
      <c r="J47" s="60" t="inlineStr">
        <is>
          <t>T3
(ก-ง)</t>
        </is>
      </c>
      <c r="K47" s="60" t="inlineStr">
        <is>
          <t>T4
(Y/N)</t>
        </is>
      </c>
      <c r="L47" s="60" t="inlineStr">
        <is>
          <t>T1
(ก-ง)</t>
        </is>
      </c>
      <c r="M47" s="60" t="inlineStr">
        <is>
          <t>T2
(Y/N)</t>
        </is>
      </c>
      <c r="N47" s="60" t="inlineStr">
        <is>
          <t>T3
(ก-ง)</t>
        </is>
      </c>
      <c r="O47" s="60" t="inlineStr">
        <is>
          <t>T4
(Y/N)</t>
        </is>
      </c>
      <c r="P47" s="60" t="inlineStr">
        <is>
          <t>T1
(ก-ง)</t>
        </is>
      </c>
      <c r="Q47" s="60" t="inlineStr">
        <is>
          <t>T2
(Y/N)</t>
        </is>
      </c>
      <c r="R47" s="60" t="inlineStr">
        <is>
          <t>T3
(ก-ง)</t>
        </is>
      </c>
      <c r="S47" s="60" t="inlineStr">
        <is>
          <t>T4
(Y/N)</t>
        </is>
      </c>
      <c r="T47" s="61" t="inlineStr">
        <is>
          <t>—</t>
        </is>
      </c>
      <c r="U47" s="61" t="inlineStr">
        <is>
          <t>—</t>
        </is>
      </c>
      <c r="V47" s="61" t="inlineStr">
        <is>
          <t>—</t>
        </is>
      </c>
      <c r="W47" s="61" t="inlineStr">
        <is>
          <t>—</t>
        </is>
      </c>
      <c r="X47" s="61" t="inlineStr">
        <is>
          <t>—</t>
        </is>
      </c>
    </row>
    <row r="48" ht="18" customHeight="1">
      <c r="B48" s="44" t="inlineStr">
        <is>
          <t>KEY</t>
        </is>
      </c>
      <c r="C48" s="45" t="inlineStr">
        <is>
          <t>← กรอกเฉลยที่ถูกต้อง</t>
        </is>
      </c>
      <c r="D48" s="9" t="n"/>
      <c r="E48" s="21" t="inlineStr">
        <is>
          <t>—</t>
        </is>
      </c>
      <c r="F48" s="9" t="n"/>
      <c r="G48" s="21" t="inlineStr">
        <is>
          <t>—</t>
        </is>
      </c>
      <c r="H48" s="9" t="n"/>
      <c r="I48" s="21" t="inlineStr">
        <is>
          <t>—</t>
        </is>
      </c>
      <c r="J48" s="9" t="n"/>
      <c r="K48" s="21" t="inlineStr">
        <is>
          <t>—</t>
        </is>
      </c>
      <c r="L48" s="9" t="n"/>
      <c r="M48" s="21" t="inlineStr">
        <is>
          <t>—</t>
        </is>
      </c>
      <c r="N48" s="9" t="n"/>
      <c r="O48" s="21" t="inlineStr">
        <is>
          <t>—</t>
        </is>
      </c>
      <c r="P48" s="9" t="n"/>
      <c r="Q48" s="21" t="inlineStr">
        <is>
          <t>—</t>
        </is>
      </c>
      <c r="R48" s="9" t="n"/>
      <c r="S48" s="21" t="inlineStr">
        <is>
          <t>—</t>
        </is>
      </c>
      <c r="T48" s="21" t="inlineStr">
        <is>
          <t>—</t>
        </is>
      </c>
      <c r="U48" s="21" t="inlineStr">
        <is>
          <t>—</t>
        </is>
      </c>
      <c r="V48" s="21" t="inlineStr">
        <is>
          <t>—</t>
        </is>
      </c>
      <c r="W48" s="21" t="inlineStr">
        <is>
          <t>—</t>
        </is>
      </c>
      <c r="X48" s="21" t="inlineStr">
        <is>
          <t>—</t>
        </is>
      </c>
    </row>
    <row r="49" ht="18" customHeight="1">
      <c r="B49" s="46">
        <f>'📥 ข้อมูลนักเรียน'!B4</f>
        <v/>
      </c>
      <c r="C49" s="47">
        <f>'📥 ข้อมูลนักเรียน'!C4</f>
        <v/>
      </c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37">
        <f>IFERROR(SUMPRODUCT(((D49=D48)*(E49="Y")*(F49=F48)*(G49="Y")*(D49&lt;&gt;"")* (F49&lt;&gt;""))+((H49=H48)*(I49="Y")*(J49=J48)*(K49="Y")*(H49&lt;&gt;"")* (J49&lt;&gt;""))+((L49=L48)*(M49="Y")*(N49=N48)*(O49="Y")*(L49&lt;&gt;"")* (N49&lt;&gt;""))+((P49=P48)*(Q49="Y")*(R49=R48)*(S49="Y")*(P49&lt;&gt;"")* (R49&lt;&gt;""))),0)</f>
        <v/>
      </c>
      <c r="U49" s="49">
        <f>IFERROR(SUMPRODUCT(((D49&lt;&gt;D48)*(E49="Y")*(F49&lt;&gt;F48)*(G49="Y")*(D49&lt;&gt;"")* (F49&lt;&gt;""))+((H49&lt;&gt;H48)*(I49="Y")*(J49&lt;&gt;J48)*(K49="Y")*(H49&lt;&gt;"")* (J49&lt;&gt;""))+((L49&lt;&gt;L48)*(M49="Y")*(N49&lt;&gt;N48)*(O49="Y")*(L49&lt;&gt;"")* (N49&lt;&gt;""))+((P49&lt;&gt;P48)*(Q49="Y")*(R49&lt;&gt;R48)*(S49="Y")*(P49&lt;&gt;"")* (R49&lt;&gt;""))),0)</f>
        <v/>
      </c>
      <c r="V49" s="37">
        <f>IFERROR(SUMPRODUCT(((D49=D48)*(E49="Y")*(F49&lt;&gt;F48)*(G49="Y")*(D49&lt;&gt;"")* (F49&lt;&gt;""))+((H49=H48)*(I49="Y")*(J49&lt;&gt;J48)*(K49="Y")*(H49&lt;&gt;"")* (J49&lt;&gt;""))+((L49=L48)*(M49="Y")*(N49&lt;&gt;N48)*(O49="Y")*(L49&lt;&gt;"")* (N49&lt;&gt;""))+((P49=P48)*(Q49="Y")*(R49&lt;&gt;R48)*(S49="Y")*(P49&lt;&gt;"")* (R49&lt;&gt;""))),0)</f>
        <v/>
      </c>
      <c r="W49" s="37">
        <f>IFERROR(SUMPRODUCT(((E49="N")*(D49&lt;&gt;"")* (F49&lt;&gt;""))+((I49="N")*(H49&lt;&gt;"")* (J49&lt;&gt;""))+((M49="N")*(L49&lt;&gt;"")* (N49&lt;&gt;""))+((Q49="N")*(P49&lt;&gt;"")* (R49&lt;&gt;""))),0)</f>
        <v/>
      </c>
      <c r="X49" s="50">
        <f>IFERROR(U49/4,0)</f>
        <v/>
      </c>
    </row>
    <row r="50" ht="18" customHeight="1">
      <c r="B50" s="46">
        <f>'📥 ข้อมูลนักเรียน'!B5</f>
        <v/>
      </c>
      <c r="C50" s="51">
        <f>'📥 ข้อมูลนักเรียน'!C5</f>
        <v/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37">
        <f>IFERROR(SUMPRODUCT(((D50=D48)*(E50="Y")*(F50=F48)*(G50="Y")*(D50&lt;&gt;"")* (F50&lt;&gt;""))+((H50=H48)*(I50="Y")*(J50=J48)*(K50="Y")*(H50&lt;&gt;"")* (J50&lt;&gt;""))+((L50=L48)*(M50="Y")*(N50=N48)*(O50="Y")*(L50&lt;&gt;"")* (N50&lt;&gt;""))+((P50=P48)*(Q50="Y")*(R50=R48)*(S50="Y")*(P50&lt;&gt;"")* (R50&lt;&gt;""))),0)</f>
        <v/>
      </c>
      <c r="U50" s="49">
        <f>IFERROR(SUMPRODUCT(((D50&lt;&gt;D48)*(E50="Y")*(F50&lt;&gt;F48)*(G50="Y")*(D50&lt;&gt;"")* (F50&lt;&gt;""))+((H50&lt;&gt;H48)*(I50="Y")*(J50&lt;&gt;J48)*(K50="Y")*(H50&lt;&gt;"")* (J50&lt;&gt;""))+((L50&lt;&gt;L48)*(M50="Y")*(N50&lt;&gt;N48)*(O50="Y")*(L50&lt;&gt;"")* (N50&lt;&gt;""))+((P50&lt;&gt;P48)*(Q50="Y")*(R50&lt;&gt;R48)*(S50="Y")*(P50&lt;&gt;"")* (R50&lt;&gt;""))),0)</f>
        <v/>
      </c>
      <c r="V50" s="37">
        <f>IFERROR(SUMPRODUCT(((D50=D48)*(E50="Y")*(F50&lt;&gt;F48)*(G50="Y")*(D50&lt;&gt;"")* (F50&lt;&gt;""))+((H50=H48)*(I50="Y")*(J50&lt;&gt;J48)*(K50="Y")*(H50&lt;&gt;"")* (J50&lt;&gt;""))+((L50=L48)*(M50="Y")*(N50&lt;&gt;N48)*(O50="Y")*(L50&lt;&gt;"")* (N50&lt;&gt;""))+((P50=P48)*(Q50="Y")*(R50&lt;&gt;R48)*(S50="Y")*(P50&lt;&gt;"")* (R50&lt;&gt;""))),0)</f>
        <v/>
      </c>
      <c r="W50" s="37">
        <f>IFERROR(SUMPRODUCT(((E50="N")*(D50&lt;&gt;"")* (F50&lt;&gt;""))+((I50="N")*(H50&lt;&gt;"")* (J50&lt;&gt;""))+((M50="N")*(L50&lt;&gt;"")* (N50&lt;&gt;""))+((Q50="N")*(P50&lt;&gt;"")* (R50&lt;&gt;""))),0)</f>
        <v/>
      </c>
      <c r="X50" s="50">
        <f>IFERROR(U50/4,0)</f>
        <v/>
      </c>
    </row>
    <row r="51" ht="18" customHeight="1">
      <c r="B51" s="46">
        <f>'📥 ข้อมูลนักเรียน'!B6</f>
        <v/>
      </c>
      <c r="C51" s="47">
        <f>'📥 ข้อมูลนักเรียน'!C6</f>
        <v/>
      </c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37">
        <f>IFERROR(SUMPRODUCT(((D51=D48)*(E51="Y")*(F51=F48)*(G51="Y")*(D51&lt;&gt;"")* (F51&lt;&gt;""))+((H51=H48)*(I51="Y")*(J51=J48)*(K51="Y")*(H51&lt;&gt;"")* (J51&lt;&gt;""))+((L51=L48)*(M51="Y")*(N51=N48)*(O51="Y")*(L51&lt;&gt;"")* (N51&lt;&gt;""))+((P51=P48)*(Q51="Y")*(R51=R48)*(S51="Y")*(P51&lt;&gt;"")* (R51&lt;&gt;""))),0)</f>
        <v/>
      </c>
      <c r="U51" s="49">
        <f>IFERROR(SUMPRODUCT(((D51&lt;&gt;D48)*(E51="Y")*(F51&lt;&gt;F48)*(G51="Y")*(D51&lt;&gt;"")* (F51&lt;&gt;""))+((H51&lt;&gt;H48)*(I51="Y")*(J51&lt;&gt;J48)*(K51="Y")*(H51&lt;&gt;"")* (J51&lt;&gt;""))+((L51&lt;&gt;L48)*(M51="Y")*(N51&lt;&gt;N48)*(O51="Y")*(L51&lt;&gt;"")* (N51&lt;&gt;""))+((P51&lt;&gt;P48)*(Q51="Y")*(R51&lt;&gt;R48)*(S51="Y")*(P51&lt;&gt;"")* (R51&lt;&gt;""))),0)</f>
        <v/>
      </c>
      <c r="V51" s="37">
        <f>IFERROR(SUMPRODUCT(((D51=D48)*(E51="Y")*(F51&lt;&gt;F48)*(G51="Y")*(D51&lt;&gt;"")* (F51&lt;&gt;""))+((H51=H48)*(I51="Y")*(J51&lt;&gt;J48)*(K51="Y")*(H51&lt;&gt;"")* (J51&lt;&gt;""))+((L51=L48)*(M51="Y")*(N51&lt;&gt;N48)*(O51="Y")*(L51&lt;&gt;"")* (N51&lt;&gt;""))+((P51=P48)*(Q51="Y")*(R51&lt;&gt;R48)*(S51="Y")*(P51&lt;&gt;"")* (R51&lt;&gt;""))),0)</f>
        <v/>
      </c>
      <c r="W51" s="37">
        <f>IFERROR(SUMPRODUCT(((E51="N")*(D51&lt;&gt;"")* (F51&lt;&gt;""))+((I51="N")*(H51&lt;&gt;"")* (J51&lt;&gt;""))+((M51="N")*(L51&lt;&gt;"")* (N51&lt;&gt;""))+((Q51="N")*(P51&lt;&gt;"")* (R51&lt;&gt;""))),0)</f>
        <v/>
      </c>
      <c r="X51" s="50">
        <f>IFERROR(U51/4,0)</f>
        <v/>
      </c>
    </row>
    <row r="52" ht="18" customHeight="1">
      <c r="B52" s="46">
        <f>'📥 ข้อมูลนักเรียน'!B7</f>
        <v/>
      </c>
      <c r="C52" s="51">
        <f>'📥 ข้อมูลนักเรียน'!C7</f>
        <v/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37">
        <f>IFERROR(SUMPRODUCT(((D52=D48)*(E52="Y")*(F52=F48)*(G52="Y")*(D52&lt;&gt;"")* (F52&lt;&gt;""))+((H52=H48)*(I52="Y")*(J52=J48)*(K52="Y")*(H52&lt;&gt;"")* (J52&lt;&gt;""))+((L52=L48)*(M52="Y")*(N52=N48)*(O52="Y")*(L52&lt;&gt;"")* (N52&lt;&gt;""))+((P52=P48)*(Q52="Y")*(R52=R48)*(S52="Y")*(P52&lt;&gt;"")* (R52&lt;&gt;""))),0)</f>
        <v/>
      </c>
      <c r="U52" s="49">
        <f>IFERROR(SUMPRODUCT(((D52&lt;&gt;D48)*(E52="Y")*(F52&lt;&gt;F48)*(G52="Y")*(D52&lt;&gt;"")* (F52&lt;&gt;""))+((H52&lt;&gt;H48)*(I52="Y")*(J52&lt;&gt;J48)*(K52="Y")*(H52&lt;&gt;"")* (J52&lt;&gt;""))+((L52&lt;&gt;L48)*(M52="Y")*(N52&lt;&gt;N48)*(O52="Y")*(L52&lt;&gt;"")* (N52&lt;&gt;""))+((P52&lt;&gt;P48)*(Q52="Y")*(R52&lt;&gt;R48)*(S52="Y")*(P52&lt;&gt;"")* (R52&lt;&gt;""))),0)</f>
        <v/>
      </c>
      <c r="V52" s="37">
        <f>IFERROR(SUMPRODUCT(((D52=D48)*(E52="Y")*(F52&lt;&gt;F48)*(G52="Y")*(D52&lt;&gt;"")* (F52&lt;&gt;""))+((H52=H48)*(I52="Y")*(J52&lt;&gt;J48)*(K52="Y")*(H52&lt;&gt;"")* (J52&lt;&gt;""))+((L52=L48)*(M52="Y")*(N52&lt;&gt;N48)*(O52="Y")*(L52&lt;&gt;"")* (N52&lt;&gt;""))+((P52=P48)*(Q52="Y")*(R52&lt;&gt;R48)*(S52="Y")*(P52&lt;&gt;"")* (R52&lt;&gt;""))),0)</f>
        <v/>
      </c>
      <c r="W52" s="37">
        <f>IFERROR(SUMPRODUCT(((E52="N")*(D52&lt;&gt;"")* (F52&lt;&gt;""))+((I52="N")*(H52&lt;&gt;"")* (J52&lt;&gt;""))+((M52="N")*(L52&lt;&gt;"")* (N52&lt;&gt;""))+((Q52="N")*(P52&lt;&gt;"")* (R52&lt;&gt;""))),0)</f>
        <v/>
      </c>
      <c r="X52" s="50">
        <f>IFERROR(U52/4,0)</f>
        <v/>
      </c>
    </row>
    <row r="53" ht="18" customHeight="1">
      <c r="B53" s="46">
        <f>'📥 ข้อมูลนักเรียน'!B8</f>
        <v/>
      </c>
      <c r="C53" s="47">
        <f>'📥 ข้อมูลนักเรียน'!C8</f>
        <v/>
      </c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37">
        <f>IFERROR(SUMPRODUCT(((D53=D48)*(E53="Y")*(F53=F48)*(G53="Y")*(D53&lt;&gt;"")* (F53&lt;&gt;""))+((H53=H48)*(I53="Y")*(J53=J48)*(K53="Y")*(H53&lt;&gt;"")* (J53&lt;&gt;""))+((L53=L48)*(M53="Y")*(N53=N48)*(O53="Y")*(L53&lt;&gt;"")* (N53&lt;&gt;""))+((P53=P48)*(Q53="Y")*(R53=R48)*(S53="Y")*(P53&lt;&gt;"")* (R53&lt;&gt;""))),0)</f>
        <v/>
      </c>
      <c r="U53" s="49">
        <f>IFERROR(SUMPRODUCT(((D53&lt;&gt;D48)*(E53="Y")*(F53&lt;&gt;F48)*(G53="Y")*(D53&lt;&gt;"")* (F53&lt;&gt;""))+((H53&lt;&gt;H48)*(I53="Y")*(J53&lt;&gt;J48)*(K53="Y")*(H53&lt;&gt;"")* (J53&lt;&gt;""))+((L53&lt;&gt;L48)*(M53="Y")*(N53&lt;&gt;N48)*(O53="Y")*(L53&lt;&gt;"")* (N53&lt;&gt;""))+((P53&lt;&gt;P48)*(Q53="Y")*(R53&lt;&gt;R48)*(S53="Y")*(P53&lt;&gt;"")* (R53&lt;&gt;""))),0)</f>
        <v/>
      </c>
      <c r="V53" s="37">
        <f>IFERROR(SUMPRODUCT(((D53=D48)*(E53="Y")*(F53&lt;&gt;F48)*(G53="Y")*(D53&lt;&gt;"")* (F53&lt;&gt;""))+((H53=H48)*(I53="Y")*(J53&lt;&gt;J48)*(K53="Y")*(H53&lt;&gt;"")* (J53&lt;&gt;""))+((L53=L48)*(M53="Y")*(N53&lt;&gt;N48)*(O53="Y")*(L53&lt;&gt;"")* (N53&lt;&gt;""))+((P53=P48)*(Q53="Y")*(R53&lt;&gt;R48)*(S53="Y")*(P53&lt;&gt;"")* (R53&lt;&gt;""))),0)</f>
        <v/>
      </c>
      <c r="W53" s="37">
        <f>IFERROR(SUMPRODUCT(((E53="N")*(D53&lt;&gt;"")* (F53&lt;&gt;""))+((I53="N")*(H53&lt;&gt;"")* (J53&lt;&gt;""))+((M53="N")*(L53&lt;&gt;"")* (N53&lt;&gt;""))+((Q53="N")*(P53&lt;&gt;"")* (R53&lt;&gt;""))),0)</f>
        <v/>
      </c>
      <c r="X53" s="50">
        <f>IFERROR(U53/4,0)</f>
        <v/>
      </c>
    </row>
    <row r="54" ht="18" customHeight="1">
      <c r="B54" s="46">
        <f>'📥 ข้อมูลนักเรียน'!B9</f>
        <v/>
      </c>
      <c r="C54" s="51">
        <f>'📥 ข้อมูลนักเรียน'!C9</f>
        <v/>
      </c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37">
        <f>IFERROR(SUMPRODUCT(((D54=D48)*(E54="Y")*(F54=F48)*(G54="Y")*(D54&lt;&gt;"")* (F54&lt;&gt;""))+((H54=H48)*(I54="Y")*(J54=J48)*(K54="Y")*(H54&lt;&gt;"")* (J54&lt;&gt;""))+((L54=L48)*(M54="Y")*(N54=N48)*(O54="Y")*(L54&lt;&gt;"")* (N54&lt;&gt;""))+((P54=P48)*(Q54="Y")*(R54=R48)*(S54="Y")*(P54&lt;&gt;"")* (R54&lt;&gt;""))),0)</f>
        <v/>
      </c>
      <c r="U54" s="49">
        <f>IFERROR(SUMPRODUCT(((D54&lt;&gt;D48)*(E54="Y")*(F54&lt;&gt;F48)*(G54="Y")*(D54&lt;&gt;"")* (F54&lt;&gt;""))+((H54&lt;&gt;H48)*(I54="Y")*(J54&lt;&gt;J48)*(K54="Y")*(H54&lt;&gt;"")* (J54&lt;&gt;""))+((L54&lt;&gt;L48)*(M54="Y")*(N54&lt;&gt;N48)*(O54="Y")*(L54&lt;&gt;"")* (N54&lt;&gt;""))+((P54&lt;&gt;P48)*(Q54="Y")*(R54&lt;&gt;R48)*(S54="Y")*(P54&lt;&gt;"")* (R54&lt;&gt;""))),0)</f>
        <v/>
      </c>
      <c r="V54" s="37">
        <f>IFERROR(SUMPRODUCT(((D54=D48)*(E54="Y")*(F54&lt;&gt;F48)*(G54="Y")*(D54&lt;&gt;"")* (F54&lt;&gt;""))+((H54=H48)*(I54="Y")*(J54&lt;&gt;J48)*(K54="Y")*(H54&lt;&gt;"")* (J54&lt;&gt;""))+((L54=L48)*(M54="Y")*(N54&lt;&gt;N48)*(O54="Y")*(L54&lt;&gt;"")* (N54&lt;&gt;""))+((P54=P48)*(Q54="Y")*(R54&lt;&gt;R48)*(S54="Y")*(P54&lt;&gt;"")* (R54&lt;&gt;""))),0)</f>
        <v/>
      </c>
      <c r="W54" s="37">
        <f>IFERROR(SUMPRODUCT(((E54="N")*(D54&lt;&gt;"")* (F54&lt;&gt;""))+((I54="N")*(H54&lt;&gt;"")* (J54&lt;&gt;""))+((M54="N")*(L54&lt;&gt;"")* (N54&lt;&gt;""))+((Q54="N")*(P54&lt;&gt;"")* (R54&lt;&gt;""))),0)</f>
        <v/>
      </c>
      <c r="X54" s="50">
        <f>IFERROR(U54/4,0)</f>
        <v/>
      </c>
    </row>
    <row r="55" ht="18" customHeight="1">
      <c r="B55" s="46">
        <f>'📥 ข้อมูลนักเรียน'!B10</f>
        <v/>
      </c>
      <c r="C55" s="47">
        <f>'📥 ข้อมูลนักเรียน'!C10</f>
        <v/>
      </c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37">
        <f>IFERROR(SUMPRODUCT(((D55=D48)*(E55="Y")*(F55=F48)*(G55="Y")*(D55&lt;&gt;"")* (F55&lt;&gt;""))+((H55=H48)*(I55="Y")*(J55=J48)*(K55="Y")*(H55&lt;&gt;"")* (J55&lt;&gt;""))+((L55=L48)*(M55="Y")*(N55=N48)*(O55="Y")*(L55&lt;&gt;"")* (N55&lt;&gt;""))+((P55=P48)*(Q55="Y")*(R55=R48)*(S55="Y")*(P55&lt;&gt;"")* (R55&lt;&gt;""))),0)</f>
        <v/>
      </c>
      <c r="U55" s="49">
        <f>IFERROR(SUMPRODUCT(((D55&lt;&gt;D48)*(E55="Y")*(F55&lt;&gt;F48)*(G55="Y")*(D55&lt;&gt;"")* (F55&lt;&gt;""))+((H55&lt;&gt;H48)*(I55="Y")*(J55&lt;&gt;J48)*(K55="Y")*(H55&lt;&gt;"")* (J55&lt;&gt;""))+((L55&lt;&gt;L48)*(M55="Y")*(N55&lt;&gt;N48)*(O55="Y")*(L55&lt;&gt;"")* (N55&lt;&gt;""))+((P55&lt;&gt;P48)*(Q55="Y")*(R55&lt;&gt;R48)*(S55="Y")*(P55&lt;&gt;"")* (R55&lt;&gt;""))),0)</f>
        <v/>
      </c>
      <c r="V55" s="37">
        <f>IFERROR(SUMPRODUCT(((D55=D48)*(E55="Y")*(F55&lt;&gt;F48)*(G55="Y")*(D55&lt;&gt;"")* (F55&lt;&gt;""))+((H55=H48)*(I55="Y")*(J55&lt;&gt;J48)*(K55="Y")*(H55&lt;&gt;"")* (J55&lt;&gt;""))+((L55=L48)*(M55="Y")*(N55&lt;&gt;N48)*(O55="Y")*(L55&lt;&gt;"")* (N55&lt;&gt;""))+((P55=P48)*(Q55="Y")*(R55&lt;&gt;R48)*(S55="Y")*(P55&lt;&gt;"")* (R55&lt;&gt;""))),0)</f>
        <v/>
      </c>
      <c r="W55" s="37">
        <f>IFERROR(SUMPRODUCT(((E55="N")*(D55&lt;&gt;"")* (F55&lt;&gt;""))+((I55="N")*(H55&lt;&gt;"")* (J55&lt;&gt;""))+((M55="N")*(L55&lt;&gt;"")* (N55&lt;&gt;""))+((Q55="N")*(P55&lt;&gt;"")* (R55&lt;&gt;""))),0)</f>
        <v/>
      </c>
      <c r="X55" s="50">
        <f>IFERROR(U55/4,0)</f>
        <v/>
      </c>
    </row>
    <row r="56" ht="18" customHeight="1">
      <c r="B56" s="46">
        <f>'📥 ข้อมูลนักเรียน'!B11</f>
        <v/>
      </c>
      <c r="C56" s="51">
        <f>'📥 ข้อมูลนักเรียน'!C11</f>
        <v/>
      </c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37">
        <f>IFERROR(SUMPRODUCT(((D56=D48)*(E56="Y")*(F56=F48)*(G56="Y")*(D56&lt;&gt;"")* (F56&lt;&gt;""))+((H56=H48)*(I56="Y")*(J56=J48)*(K56="Y")*(H56&lt;&gt;"")* (J56&lt;&gt;""))+((L56=L48)*(M56="Y")*(N56=N48)*(O56="Y")*(L56&lt;&gt;"")* (N56&lt;&gt;""))+((P56=P48)*(Q56="Y")*(R56=R48)*(S56="Y")*(P56&lt;&gt;"")* (R56&lt;&gt;""))),0)</f>
        <v/>
      </c>
      <c r="U56" s="49">
        <f>IFERROR(SUMPRODUCT(((D56&lt;&gt;D48)*(E56="Y")*(F56&lt;&gt;F48)*(G56="Y")*(D56&lt;&gt;"")* (F56&lt;&gt;""))+((H56&lt;&gt;H48)*(I56="Y")*(J56&lt;&gt;J48)*(K56="Y")*(H56&lt;&gt;"")* (J56&lt;&gt;""))+((L56&lt;&gt;L48)*(M56="Y")*(N56&lt;&gt;N48)*(O56="Y")*(L56&lt;&gt;"")* (N56&lt;&gt;""))+((P56&lt;&gt;P48)*(Q56="Y")*(R56&lt;&gt;R48)*(S56="Y")*(P56&lt;&gt;"")* (R56&lt;&gt;""))),0)</f>
        <v/>
      </c>
      <c r="V56" s="37">
        <f>IFERROR(SUMPRODUCT(((D56=D48)*(E56="Y")*(F56&lt;&gt;F48)*(G56="Y")*(D56&lt;&gt;"")* (F56&lt;&gt;""))+((H56=H48)*(I56="Y")*(J56&lt;&gt;J48)*(K56="Y")*(H56&lt;&gt;"")* (J56&lt;&gt;""))+((L56=L48)*(M56="Y")*(N56&lt;&gt;N48)*(O56="Y")*(L56&lt;&gt;"")* (N56&lt;&gt;""))+((P56=P48)*(Q56="Y")*(R56&lt;&gt;R48)*(S56="Y")*(P56&lt;&gt;"")* (R56&lt;&gt;""))),0)</f>
        <v/>
      </c>
      <c r="W56" s="37">
        <f>IFERROR(SUMPRODUCT(((E56="N")*(D56&lt;&gt;"")* (F56&lt;&gt;""))+((I56="N")*(H56&lt;&gt;"")* (J56&lt;&gt;""))+((M56="N")*(L56&lt;&gt;"")* (N56&lt;&gt;""))+((Q56="N")*(P56&lt;&gt;"")* (R56&lt;&gt;""))),0)</f>
        <v/>
      </c>
      <c r="X56" s="50">
        <f>IFERROR(U56/4,0)</f>
        <v/>
      </c>
    </row>
    <row r="57" ht="18" customHeight="1">
      <c r="B57" s="46">
        <f>'📥 ข้อมูลนักเรียน'!B12</f>
        <v/>
      </c>
      <c r="C57" s="47">
        <f>'📥 ข้อมูลนักเรียน'!C12</f>
        <v/>
      </c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37">
        <f>IFERROR(SUMPRODUCT(((D57=D48)*(E57="Y")*(F57=F48)*(G57="Y")*(D57&lt;&gt;"")* (F57&lt;&gt;""))+((H57=H48)*(I57="Y")*(J57=J48)*(K57="Y")*(H57&lt;&gt;"")* (J57&lt;&gt;""))+((L57=L48)*(M57="Y")*(N57=N48)*(O57="Y")*(L57&lt;&gt;"")* (N57&lt;&gt;""))+((P57=P48)*(Q57="Y")*(R57=R48)*(S57="Y")*(P57&lt;&gt;"")* (R57&lt;&gt;""))),0)</f>
        <v/>
      </c>
      <c r="U57" s="49">
        <f>IFERROR(SUMPRODUCT(((D57&lt;&gt;D48)*(E57="Y")*(F57&lt;&gt;F48)*(G57="Y")*(D57&lt;&gt;"")* (F57&lt;&gt;""))+((H57&lt;&gt;H48)*(I57="Y")*(J57&lt;&gt;J48)*(K57="Y")*(H57&lt;&gt;"")* (J57&lt;&gt;""))+((L57&lt;&gt;L48)*(M57="Y")*(N57&lt;&gt;N48)*(O57="Y")*(L57&lt;&gt;"")* (N57&lt;&gt;""))+((P57&lt;&gt;P48)*(Q57="Y")*(R57&lt;&gt;R48)*(S57="Y")*(P57&lt;&gt;"")* (R57&lt;&gt;""))),0)</f>
        <v/>
      </c>
      <c r="V57" s="37">
        <f>IFERROR(SUMPRODUCT(((D57=D48)*(E57="Y")*(F57&lt;&gt;F48)*(G57="Y")*(D57&lt;&gt;"")* (F57&lt;&gt;""))+((H57=H48)*(I57="Y")*(J57&lt;&gt;J48)*(K57="Y")*(H57&lt;&gt;"")* (J57&lt;&gt;""))+((L57=L48)*(M57="Y")*(N57&lt;&gt;N48)*(O57="Y")*(L57&lt;&gt;"")* (N57&lt;&gt;""))+((P57=P48)*(Q57="Y")*(R57&lt;&gt;R48)*(S57="Y")*(P57&lt;&gt;"")* (R57&lt;&gt;""))),0)</f>
        <v/>
      </c>
      <c r="W57" s="37">
        <f>IFERROR(SUMPRODUCT(((E57="N")*(D57&lt;&gt;"")* (F57&lt;&gt;""))+((I57="N")*(H57&lt;&gt;"")* (J57&lt;&gt;""))+((M57="N")*(L57&lt;&gt;"")* (N57&lt;&gt;""))+((Q57="N")*(P57&lt;&gt;"")* (R57&lt;&gt;""))),0)</f>
        <v/>
      </c>
      <c r="X57" s="50">
        <f>IFERROR(U57/4,0)</f>
        <v/>
      </c>
    </row>
    <row r="58" ht="18" customHeight="1">
      <c r="B58" s="46">
        <f>'📥 ข้อมูลนักเรียน'!B13</f>
        <v/>
      </c>
      <c r="C58" s="51">
        <f>'📥 ข้อมูลนักเรียน'!C13</f>
        <v/>
      </c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37">
        <f>IFERROR(SUMPRODUCT(((D58=D48)*(E58="Y")*(F58=F48)*(G58="Y")*(D58&lt;&gt;"")* (F58&lt;&gt;""))+((H58=H48)*(I58="Y")*(J58=J48)*(K58="Y")*(H58&lt;&gt;"")* (J58&lt;&gt;""))+((L58=L48)*(M58="Y")*(N58=N48)*(O58="Y")*(L58&lt;&gt;"")* (N58&lt;&gt;""))+((P58=P48)*(Q58="Y")*(R58=R48)*(S58="Y")*(P58&lt;&gt;"")* (R58&lt;&gt;""))),0)</f>
        <v/>
      </c>
      <c r="U58" s="49">
        <f>IFERROR(SUMPRODUCT(((D58&lt;&gt;D48)*(E58="Y")*(F58&lt;&gt;F48)*(G58="Y")*(D58&lt;&gt;"")* (F58&lt;&gt;""))+((H58&lt;&gt;H48)*(I58="Y")*(J58&lt;&gt;J48)*(K58="Y")*(H58&lt;&gt;"")* (J58&lt;&gt;""))+((L58&lt;&gt;L48)*(M58="Y")*(N58&lt;&gt;N48)*(O58="Y")*(L58&lt;&gt;"")* (N58&lt;&gt;""))+((P58&lt;&gt;P48)*(Q58="Y")*(R58&lt;&gt;R48)*(S58="Y")*(P58&lt;&gt;"")* (R58&lt;&gt;""))),0)</f>
        <v/>
      </c>
      <c r="V58" s="37">
        <f>IFERROR(SUMPRODUCT(((D58=D48)*(E58="Y")*(F58&lt;&gt;F48)*(G58="Y")*(D58&lt;&gt;"")* (F58&lt;&gt;""))+((H58=H48)*(I58="Y")*(J58&lt;&gt;J48)*(K58="Y")*(H58&lt;&gt;"")* (J58&lt;&gt;""))+((L58=L48)*(M58="Y")*(N58&lt;&gt;N48)*(O58="Y")*(L58&lt;&gt;"")* (N58&lt;&gt;""))+((P58=P48)*(Q58="Y")*(R58&lt;&gt;R48)*(S58="Y")*(P58&lt;&gt;"")* (R58&lt;&gt;""))),0)</f>
        <v/>
      </c>
      <c r="W58" s="37">
        <f>IFERROR(SUMPRODUCT(((E58="N")*(D58&lt;&gt;"")* (F58&lt;&gt;""))+((I58="N")*(H58&lt;&gt;"")* (J58&lt;&gt;""))+((M58="N")*(L58&lt;&gt;"")* (N58&lt;&gt;""))+((Q58="N")*(P58&lt;&gt;"")* (R58&lt;&gt;""))),0)</f>
        <v/>
      </c>
      <c r="X58" s="50">
        <f>IFERROR(U58/4,0)</f>
        <v/>
      </c>
    </row>
    <row r="59" ht="18" customHeight="1">
      <c r="B59" s="46">
        <f>'📥 ข้อมูลนักเรียน'!B14</f>
        <v/>
      </c>
      <c r="C59" s="47">
        <f>'📥 ข้อมูลนักเรียน'!C14</f>
        <v/>
      </c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37">
        <f>IFERROR(SUMPRODUCT(((D59=D48)*(E59="Y")*(F59=F48)*(G59="Y")*(D59&lt;&gt;"")* (F59&lt;&gt;""))+((H59=H48)*(I59="Y")*(J59=J48)*(K59="Y")*(H59&lt;&gt;"")* (J59&lt;&gt;""))+((L59=L48)*(M59="Y")*(N59=N48)*(O59="Y")*(L59&lt;&gt;"")* (N59&lt;&gt;""))+((P59=P48)*(Q59="Y")*(R59=R48)*(S59="Y")*(P59&lt;&gt;"")* (R59&lt;&gt;""))),0)</f>
        <v/>
      </c>
      <c r="U59" s="49">
        <f>IFERROR(SUMPRODUCT(((D59&lt;&gt;D48)*(E59="Y")*(F59&lt;&gt;F48)*(G59="Y")*(D59&lt;&gt;"")* (F59&lt;&gt;""))+((H59&lt;&gt;H48)*(I59="Y")*(J59&lt;&gt;J48)*(K59="Y")*(H59&lt;&gt;"")* (J59&lt;&gt;""))+((L59&lt;&gt;L48)*(M59="Y")*(N59&lt;&gt;N48)*(O59="Y")*(L59&lt;&gt;"")* (N59&lt;&gt;""))+((P59&lt;&gt;P48)*(Q59="Y")*(R59&lt;&gt;R48)*(S59="Y")*(P59&lt;&gt;"")* (R59&lt;&gt;""))),0)</f>
        <v/>
      </c>
      <c r="V59" s="37">
        <f>IFERROR(SUMPRODUCT(((D59=D48)*(E59="Y")*(F59&lt;&gt;F48)*(G59="Y")*(D59&lt;&gt;"")* (F59&lt;&gt;""))+((H59=H48)*(I59="Y")*(J59&lt;&gt;J48)*(K59="Y")*(H59&lt;&gt;"")* (J59&lt;&gt;""))+((L59=L48)*(M59="Y")*(N59&lt;&gt;N48)*(O59="Y")*(L59&lt;&gt;"")* (N59&lt;&gt;""))+((P59=P48)*(Q59="Y")*(R59&lt;&gt;R48)*(S59="Y")*(P59&lt;&gt;"")* (R59&lt;&gt;""))),0)</f>
        <v/>
      </c>
      <c r="W59" s="37">
        <f>IFERROR(SUMPRODUCT(((E59="N")*(D59&lt;&gt;"")* (F59&lt;&gt;""))+((I59="N")*(H59&lt;&gt;"")* (J59&lt;&gt;""))+((M59="N")*(L59&lt;&gt;"")* (N59&lt;&gt;""))+((Q59="N")*(P59&lt;&gt;"")* (R59&lt;&gt;""))),0)</f>
        <v/>
      </c>
      <c r="X59" s="50">
        <f>IFERROR(U59/4,0)</f>
        <v/>
      </c>
    </row>
    <row r="60" ht="18" customHeight="1">
      <c r="B60" s="46">
        <f>'📥 ข้อมูลนักเรียน'!B15</f>
        <v/>
      </c>
      <c r="C60" s="51">
        <f>'📥 ข้อมูลนักเรียน'!C15</f>
        <v/>
      </c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37">
        <f>IFERROR(SUMPRODUCT(((D60=D48)*(E60="Y")*(F60=F48)*(G60="Y")*(D60&lt;&gt;"")* (F60&lt;&gt;""))+((H60=H48)*(I60="Y")*(J60=J48)*(K60="Y")*(H60&lt;&gt;"")* (J60&lt;&gt;""))+((L60=L48)*(M60="Y")*(N60=N48)*(O60="Y")*(L60&lt;&gt;"")* (N60&lt;&gt;""))+((P60=P48)*(Q60="Y")*(R60=R48)*(S60="Y")*(P60&lt;&gt;"")* (R60&lt;&gt;""))),0)</f>
        <v/>
      </c>
      <c r="U60" s="49">
        <f>IFERROR(SUMPRODUCT(((D60&lt;&gt;D48)*(E60="Y")*(F60&lt;&gt;F48)*(G60="Y")*(D60&lt;&gt;"")* (F60&lt;&gt;""))+((H60&lt;&gt;H48)*(I60="Y")*(J60&lt;&gt;J48)*(K60="Y")*(H60&lt;&gt;"")* (J60&lt;&gt;""))+((L60&lt;&gt;L48)*(M60="Y")*(N60&lt;&gt;N48)*(O60="Y")*(L60&lt;&gt;"")* (N60&lt;&gt;""))+((P60&lt;&gt;P48)*(Q60="Y")*(R60&lt;&gt;R48)*(S60="Y")*(P60&lt;&gt;"")* (R60&lt;&gt;""))),0)</f>
        <v/>
      </c>
      <c r="V60" s="37">
        <f>IFERROR(SUMPRODUCT(((D60=D48)*(E60="Y")*(F60&lt;&gt;F48)*(G60="Y")*(D60&lt;&gt;"")* (F60&lt;&gt;""))+((H60=H48)*(I60="Y")*(J60&lt;&gt;J48)*(K60="Y")*(H60&lt;&gt;"")* (J60&lt;&gt;""))+((L60=L48)*(M60="Y")*(N60&lt;&gt;N48)*(O60="Y")*(L60&lt;&gt;"")* (N60&lt;&gt;""))+((P60=P48)*(Q60="Y")*(R60&lt;&gt;R48)*(S60="Y")*(P60&lt;&gt;"")* (R60&lt;&gt;""))),0)</f>
        <v/>
      </c>
      <c r="W60" s="37">
        <f>IFERROR(SUMPRODUCT(((E60="N")*(D60&lt;&gt;"")* (F60&lt;&gt;""))+((I60="N")*(H60&lt;&gt;"")* (J60&lt;&gt;""))+((M60="N")*(L60&lt;&gt;"")* (N60&lt;&gt;""))+((Q60="N")*(P60&lt;&gt;"")* (R60&lt;&gt;""))),0)</f>
        <v/>
      </c>
      <c r="X60" s="50">
        <f>IFERROR(U60/4,0)</f>
        <v/>
      </c>
    </row>
    <row r="61" ht="18" customHeight="1">
      <c r="B61" s="46">
        <f>'📥 ข้อมูลนักเรียน'!B16</f>
        <v/>
      </c>
      <c r="C61" s="47">
        <f>'📥 ข้อมูลนักเรียน'!C16</f>
        <v/>
      </c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37">
        <f>IFERROR(SUMPRODUCT(((D61=D48)*(E61="Y")*(F61=F48)*(G61="Y")*(D61&lt;&gt;"")* (F61&lt;&gt;""))+((H61=H48)*(I61="Y")*(J61=J48)*(K61="Y")*(H61&lt;&gt;"")* (J61&lt;&gt;""))+((L61=L48)*(M61="Y")*(N61=N48)*(O61="Y")*(L61&lt;&gt;"")* (N61&lt;&gt;""))+((P61=P48)*(Q61="Y")*(R61=R48)*(S61="Y")*(P61&lt;&gt;"")* (R61&lt;&gt;""))),0)</f>
        <v/>
      </c>
      <c r="U61" s="49">
        <f>IFERROR(SUMPRODUCT(((D61&lt;&gt;D48)*(E61="Y")*(F61&lt;&gt;F48)*(G61="Y")*(D61&lt;&gt;"")* (F61&lt;&gt;""))+((H61&lt;&gt;H48)*(I61="Y")*(J61&lt;&gt;J48)*(K61="Y")*(H61&lt;&gt;"")* (J61&lt;&gt;""))+((L61&lt;&gt;L48)*(M61="Y")*(N61&lt;&gt;N48)*(O61="Y")*(L61&lt;&gt;"")* (N61&lt;&gt;""))+((P61&lt;&gt;P48)*(Q61="Y")*(R61&lt;&gt;R48)*(S61="Y")*(P61&lt;&gt;"")* (R61&lt;&gt;""))),0)</f>
        <v/>
      </c>
      <c r="V61" s="37">
        <f>IFERROR(SUMPRODUCT(((D61=D48)*(E61="Y")*(F61&lt;&gt;F48)*(G61="Y")*(D61&lt;&gt;"")* (F61&lt;&gt;""))+((H61=H48)*(I61="Y")*(J61&lt;&gt;J48)*(K61="Y")*(H61&lt;&gt;"")* (J61&lt;&gt;""))+((L61=L48)*(M61="Y")*(N61&lt;&gt;N48)*(O61="Y")*(L61&lt;&gt;"")* (N61&lt;&gt;""))+((P61=P48)*(Q61="Y")*(R61&lt;&gt;R48)*(S61="Y")*(P61&lt;&gt;"")* (R61&lt;&gt;""))),0)</f>
        <v/>
      </c>
      <c r="W61" s="37">
        <f>IFERROR(SUMPRODUCT(((E61="N")*(D61&lt;&gt;"")* (F61&lt;&gt;""))+((I61="N")*(H61&lt;&gt;"")* (J61&lt;&gt;""))+((M61="N")*(L61&lt;&gt;"")* (N61&lt;&gt;""))+((Q61="N")*(P61&lt;&gt;"")* (R61&lt;&gt;""))),0)</f>
        <v/>
      </c>
      <c r="X61" s="50">
        <f>IFERROR(U61/4,0)</f>
        <v/>
      </c>
    </row>
    <row r="62" ht="18" customHeight="1">
      <c r="B62" s="46">
        <f>'📥 ข้อมูลนักเรียน'!B17</f>
        <v/>
      </c>
      <c r="C62" s="51">
        <f>'📥 ข้อมูลนักเรียน'!C17</f>
        <v/>
      </c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37">
        <f>IFERROR(SUMPRODUCT(((D62=D48)*(E62="Y")*(F62=F48)*(G62="Y")*(D62&lt;&gt;"")* (F62&lt;&gt;""))+((H62=H48)*(I62="Y")*(J62=J48)*(K62="Y")*(H62&lt;&gt;"")* (J62&lt;&gt;""))+((L62=L48)*(M62="Y")*(N62=N48)*(O62="Y")*(L62&lt;&gt;"")* (N62&lt;&gt;""))+((P62=P48)*(Q62="Y")*(R62=R48)*(S62="Y")*(P62&lt;&gt;"")* (R62&lt;&gt;""))),0)</f>
        <v/>
      </c>
      <c r="U62" s="49">
        <f>IFERROR(SUMPRODUCT(((D62&lt;&gt;D48)*(E62="Y")*(F62&lt;&gt;F48)*(G62="Y")*(D62&lt;&gt;"")* (F62&lt;&gt;""))+((H62&lt;&gt;H48)*(I62="Y")*(J62&lt;&gt;J48)*(K62="Y")*(H62&lt;&gt;"")* (J62&lt;&gt;""))+((L62&lt;&gt;L48)*(M62="Y")*(N62&lt;&gt;N48)*(O62="Y")*(L62&lt;&gt;"")* (N62&lt;&gt;""))+((P62&lt;&gt;P48)*(Q62="Y")*(R62&lt;&gt;R48)*(S62="Y")*(P62&lt;&gt;"")* (R62&lt;&gt;""))),0)</f>
        <v/>
      </c>
      <c r="V62" s="37">
        <f>IFERROR(SUMPRODUCT(((D62=D48)*(E62="Y")*(F62&lt;&gt;F48)*(G62="Y")*(D62&lt;&gt;"")* (F62&lt;&gt;""))+((H62=H48)*(I62="Y")*(J62&lt;&gt;J48)*(K62="Y")*(H62&lt;&gt;"")* (J62&lt;&gt;""))+((L62=L48)*(M62="Y")*(N62&lt;&gt;N48)*(O62="Y")*(L62&lt;&gt;"")* (N62&lt;&gt;""))+((P62=P48)*(Q62="Y")*(R62&lt;&gt;R48)*(S62="Y")*(P62&lt;&gt;"")* (R62&lt;&gt;""))),0)</f>
        <v/>
      </c>
      <c r="W62" s="37">
        <f>IFERROR(SUMPRODUCT(((E62="N")*(D62&lt;&gt;"")* (F62&lt;&gt;""))+((I62="N")*(H62&lt;&gt;"")* (J62&lt;&gt;""))+((M62="N")*(L62&lt;&gt;"")* (N62&lt;&gt;""))+((Q62="N")*(P62&lt;&gt;"")* (R62&lt;&gt;""))),0)</f>
        <v/>
      </c>
      <c r="X62" s="50">
        <f>IFERROR(U62/4,0)</f>
        <v/>
      </c>
    </row>
    <row r="63" ht="18" customHeight="1">
      <c r="B63" s="46">
        <f>'📥 ข้อมูลนักเรียน'!B18</f>
        <v/>
      </c>
      <c r="C63" s="47">
        <f>'📥 ข้อมูลนักเรียน'!C18</f>
        <v/>
      </c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37">
        <f>IFERROR(SUMPRODUCT(((D63=D48)*(E63="Y")*(F63=F48)*(G63="Y")*(D63&lt;&gt;"")*(F63&lt;&gt;""))+((H63=H48)*(I63="Y")*(J63=J48)*(K63="Y")*(H63&lt;&gt;"")*(J63&lt;&gt;""))+((L63=L48)*(M63="Y")*(N63=N48)*(O63="Y")*(L63&lt;&gt;"")*(N63&lt;&gt;""))+((P63=P48)*(Q63="Y")*(R63=R48)*(S63="Y")*(P63&lt;&gt;"")*(R63&lt;&gt;""))),0)</f>
        <v/>
      </c>
      <c r="U63" s="49">
        <f>IFERROR(SUMPRODUCT(((D63&lt;&gt;D48)*(E63="Y")*(F63&lt;&gt;F48)*(G63="Y")*(D63&lt;&gt;"")*(F63&lt;&gt;""))+((H63&lt;&gt;H48)*(I63="Y")*(J63&lt;&gt;J48)*(K63="Y")*(H63&lt;&gt;"")*(J63&lt;&gt;""))+((L63&lt;&gt;L48)*(M63="Y")*(N63&lt;&gt;N48)*(O63="Y")*(L63&lt;&gt;"")*(N63&lt;&gt;""))+((P63&lt;&gt;P48)*(Q63="Y")*(R63&lt;&gt;R48)*(S63="Y")*(P63&lt;&gt;"")*(R63&lt;&gt;""))),0)</f>
        <v/>
      </c>
      <c r="V63" s="37">
        <f>IFERROR(SUMPRODUCT(((D63=D48)*(E63="Y")*(F63&lt;&gt;F48)*(G63="Y")*(D63&lt;&gt;"")*(F63&lt;&gt;""))+((H63=H48)*(I63="Y")*(J63&lt;&gt;J48)*(K63="Y")*(H63&lt;&gt;"")*(J63&lt;&gt;""))+((L63=L48)*(M63="Y")*(N63&lt;&gt;N48)*(O63="Y")*(L63&lt;&gt;"")*(N63&lt;&gt;""))+((P63=P48)*(Q63="Y")*(R63&lt;&gt;R48)*(S63="Y")*(P63&lt;&gt;"")*(R63&lt;&gt;""))),0)</f>
        <v/>
      </c>
      <c r="W63" s="37">
        <f>IFERROR(SUMPRODUCT(((E63="N")*(D63&lt;&gt;"")*(F63&lt;&gt;""))+((I63="N")*(H63&lt;&gt;"")*(J63&lt;&gt;""))+((M63="N")*(L63&lt;&gt;"")*(N63&lt;&gt;""))+((Q63="N")*(P63&lt;&gt;"")*(R63&lt;&gt;""))),0)</f>
        <v/>
      </c>
      <c r="X63" s="50">
        <f>IFERROR(U63/4,0)</f>
        <v/>
      </c>
    </row>
    <row r="64" ht="18" customHeight="1">
      <c r="B64" s="46">
        <f>'📥 ข้อมูลนักเรียน'!B19</f>
        <v/>
      </c>
      <c r="C64" s="51">
        <f>'📥 ข้อมูลนักเรียน'!C19</f>
        <v/>
      </c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37">
        <f>IFERROR(SUMPRODUCT(((D64=D48)*(E64="Y")*(F64=F48)*(G64="Y")*(D64&lt;&gt;"")*(F64&lt;&gt;""))+((H64=H48)*(I64="Y")*(J64=J48)*(K64="Y")*(H64&lt;&gt;"")*(J64&lt;&gt;""))+((L64=L48)*(M64="Y")*(N64=N48)*(O64="Y")*(L64&lt;&gt;"")*(N64&lt;&gt;""))+((P64=P48)*(Q64="Y")*(R64=R48)*(S64="Y")*(P64&lt;&gt;"")*(R64&lt;&gt;""))),0)</f>
        <v/>
      </c>
      <c r="U64" s="49">
        <f>IFERROR(SUMPRODUCT(((D64&lt;&gt;D48)*(E64="Y")*(F64&lt;&gt;F48)*(G64="Y")*(D64&lt;&gt;"")*(F64&lt;&gt;""))+((H64&lt;&gt;H48)*(I64="Y")*(J64&lt;&gt;J48)*(K64="Y")*(H64&lt;&gt;"")*(J64&lt;&gt;""))+((L64&lt;&gt;L48)*(M64="Y")*(N64&lt;&gt;N48)*(O64="Y")*(L64&lt;&gt;"")*(N64&lt;&gt;""))+((P64&lt;&gt;P48)*(Q64="Y")*(R64&lt;&gt;R48)*(S64="Y")*(P64&lt;&gt;"")*(R64&lt;&gt;""))),0)</f>
        <v/>
      </c>
      <c r="V64" s="37">
        <f>IFERROR(SUMPRODUCT(((D64=D48)*(E64="Y")*(F64&lt;&gt;F48)*(G64="Y")*(D64&lt;&gt;"")*(F64&lt;&gt;""))+((H64=H48)*(I64="Y")*(J64&lt;&gt;J48)*(K64="Y")*(H64&lt;&gt;"")*(J64&lt;&gt;""))+((L64=L48)*(M64="Y")*(N64&lt;&gt;N48)*(O64="Y")*(L64&lt;&gt;"")*(N64&lt;&gt;""))+((P64=P48)*(Q64="Y")*(R64&lt;&gt;R48)*(S64="Y")*(P64&lt;&gt;"")*(R64&lt;&gt;""))),0)</f>
        <v/>
      </c>
      <c r="W64" s="37">
        <f>IFERROR(SUMPRODUCT(((E64="N")*(D64&lt;&gt;"")*(F64&lt;&gt;""))+((I64="N")*(H64&lt;&gt;"")*(J64&lt;&gt;""))+((M64="N")*(L64&lt;&gt;"")*(N64&lt;&gt;""))+((Q64="N")*(P64&lt;&gt;"")*(R64&lt;&gt;""))),0)</f>
        <v/>
      </c>
      <c r="X64" s="50">
        <f>IFERROR(U64/4,0)</f>
        <v/>
      </c>
    </row>
    <row r="65" ht="18" customHeight="1">
      <c r="B65" s="46">
        <f>'📥 ข้อมูลนักเรียน'!B20</f>
        <v/>
      </c>
      <c r="C65" s="47">
        <f>'📥 ข้อมูลนักเรียน'!C20</f>
        <v/>
      </c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37">
        <f>IFERROR(SUMPRODUCT(((D65=D48)*(E65="Y")*(F65=F48)*(G65="Y")*(D65&lt;&gt;"")*(F65&lt;&gt;""))+((H65=H48)*(I65="Y")*(J65=J48)*(K65="Y")*(H65&lt;&gt;"")*(J65&lt;&gt;""))+((L65=L48)*(M65="Y")*(N65=N48)*(O65="Y")*(L65&lt;&gt;"")*(N65&lt;&gt;""))+((P65=P48)*(Q65="Y")*(R65=R48)*(S65="Y")*(P65&lt;&gt;"")*(R65&lt;&gt;""))),0)</f>
        <v/>
      </c>
      <c r="U65" s="49">
        <f>IFERROR(SUMPRODUCT(((D65&lt;&gt;D48)*(E65="Y")*(F65&lt;&gt;F48)*(G65="Y")*(D65&lt;&gt;"")*(F65&lt;&gt;""))+((H65&lt;&gt;H48)*(I65="Y")*(J65&lt;&gt;J48)*(K65="Y")*(H65&lt;&gt;"")*(J65&lt;&gt;""))+((L65&lt;&gt;L48)*(M65="Y")*(N65&lt;&gt;N48)*(O65="Y")*(L65&lt;&gt;"")*(N65&lt;&gt;""))+((P65&lt;&gt;P48)*(Q65="Y")*(R65&lt;&gt;R48)*(S65="Y")*(P65&lt;&gt;"")*(R65&lt;&gt;""))),0)</f>
        <v/>
      </c>
      <c r="V65" s="37">
        <f>IFERROR(SUMPRODUCT(((D65=D48)*(E65="Y")*(F65&lt;&gt;F48)*(G65="Y")*(D65&lt;&gt;"")*(F65&lt;&gt;""))+((H65=H48)*(I65="Y")*(J65&lt;&gt;J48)*(K65="Y")*(H65&lt;&gt;"")*(J65&lt;&gt;""))+((L65=L48)*(M65="Y")*(N65&lt;&gt;N48)*(O65="Y")*(L65&lt;&gt;"")*(N65&lt;&gt;""))+((P65=P48)*(Q65="Y")*(R65&lt;&gt;R48)*(S65="Y")*(P65&lt;&gt;"")*(R65&lt;&gt;""))),0)</f>
        <v/>
      </c>
      <c r="W65" s="37">
        <f>IFERROR(SUMPRODUCT(((E65="N")*(D65&lt;&gt;"")*(F65&lt;&gt;""))+((I65="N")*(H65&lt;&gt;"")*(J65&lt;&gt;""))+((M65="N")*(L65&lt;&gt;"")*(N65&lt;&gt;""))+((Q65="N")*(P65&lt;&gt;"")*(R65&lt;&gt;""))),0)</f>
        <v/>
      </c>
      <c r="X65" s="50">
        <f>IFERROR(U65/4,0)</f>
        <v/>
      </c>
    </row>
    <row r="66" ht="18" customHeight="1">
      <c r="B66" s="46">
        <f>'📥 ข้อมูลนักเรียน'!B21</f>
        <v/>
      </c>
      <c r="C66" s="51">
        <f>'📥 ข้อมูลนักเรียน'!C21</f>
        <v/>
      </c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37">
        <f>IFERROR(SUMPRODUCT(((D66=D48)*(E66="Y")*(F66=F48)*(G66="Y")*(D66&lt;&gt;"")*(F66&lt;&gt;""))+((H66=H48)*(I66="Y")*(J66=J48)*(K66="Y")*(H66&lt;&gt;"")*(J66&lt;&gt;""))+((L66=L48)*(M66="Y")*(N66=N48)*(O66="Y")*(L66&lt;&gt;"")*(N66&lt;&gt;""))+((P66=P48)*(Q66="Y")*(R66=R48)*(S66="Y")*(P66&lt;&gt;"")*(R66&lt;&gt;""))),0)</f>
        <v/>
      </c>
      <c r="U66" s="49">
        <f>IFERROR(SUMPRODUCT(((D66&lt;&gt;D48)*(E66="Y")*(F66&lt;&gt;F48)*(G66="Y")*(D66&lt;&gt;"")*(F66&lt;&gt;""))+((H66&lt;&gt;H48)*(I66="Y")*(J66&lt;&gt;J48)*(K66="Y")*(H66&lt;&gt;"")*(J66&lt;&gt;""))+((L66&lt;&gt;L48)*(M66="Y")*(N66&lt;&gt;N48)*(O66="Y")*(L66&lt;&gt;"")*(N66&lt;&gt;""))+((P66&lt;&gt;P48)*(Q66="Y")*(R66&lt;&gt;R48)*(S66="Y")*(P66&lt;&gt;"")*(R66&lt;&gt;""))),0)</f>
        <v/>
      </c>
      <c r="V66" s="37">
        <f>IFERROR(SUMPRODUCT(((D66=D48)*(E66="Y")*(F66&lt;&gt;F48)*(G66="Y")*(D66&lt;&gt;"")*(F66&lt;&gt;""))+((H66=H48)*(I66="Y")*(J66&lt;&gt;J48)*(K66="Y")*(H66&lt;&gt;"")*(J66&lt;&gt;""))+((L66=L48)*(M66="Y")*(N66&lt;&gt;N48)*(O66="Y")*(L66&lt;&gt;"")*(N66&lt;&gt;""))+((P66=P48)*(Q66="Y")*(R66&lt;&gt;R48)*(S66="Y")*(P66&lt;&gt;"")*(R66&lt;&gt;""))),0)</f>
        <v/>
      </c>
      <c r="W66" s="37">
        <f>IFERROR(SUMPRODUCT(((E66="N")*(D66&lt;&gt;"")*(F66&lt;&gt;""))+((I66="N")*(H66&lt;&gt;"")*(J66&lt;&gt;""))+((M66="N")*(L66&lt;&gt;"")*(N66&lt;&gt;""))+((Q66="N")*(P66&lt;&gt;"")*(R66&lt;&gt;""))),0)</f>
        <v/>
      </c>
      <c r="X66" s="50">
        <f>IFERROR(U66/4,0)</f>
        <v/>
      </c>
    </row>
    <row r="67" ht="18" customHeight="1">
      <c r="B67" s="46">
        <f>'📥 ข้อมูลนักเรียน'!B22</f>
        <v/>
      </c>
      <c r="C67" s="47">
        <f>'📥 ข้อมูลนักเรียน'!C22</f>
        <v/>
      </c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37">
        <f>IFERROR(SUMPRODUCT(((D67=D48)*(E67="Y")*(F67=F48)*(G67="Y")*(D67&lt;&gt;"")*(F67&lt;&gt;""))+((H67=H48)*(I67="Y")*(J67=J48)*(K67="Y")*(H67&lt;&gt;"")*(J67&lt;&gt;""))+((L67=L48)*(M67="Y")*(N67=N48)*(O67="Y")*(L67&lt;&gt;"")*(N67&lt;&gt;""))+((P67=P48)*(Q67="Y")*(R67=R48)*(S67="Y")*(P67&lt;&gt;"")*(R67&lt;&gt;""))),0)</f>
        <v/>
      </c>
      <c r="U67" s="49">
        <f>IFERROR(SUMPRODUCT(((D67&lt;&gt;D48)*(E67="Y")*(F67&lt;&gt;F48)*(G67="Y")*(D67&lt;&gt;"")*(F67&lt;&gt;""))+((H67&lt;&gt;H48)*(I67="Y")*(J67&lt;&gt;J48)*(K67="Y")*(H67&lt;&gt;"")*(J67&lt;&gt;""))+((L67&lt;&gt;L48)*(M67="Y")*(N67&lt;&gt;N48)*(O67="Y")*(L67&lt;&gt;"")*(N67&lt;&gt;""))+((P67&lt;&gt;P48)*(Q67="Y")*(R67&lt;&gt;R48)*(S67="Y")*(P67&lt;&gt;"")*(R67&lt;&gt;""))),0)</f>
        <v/>
      </c>
      <c r="V67" s="37">
        <f>IFERROR(SUMPRODUCT(((D67=D48)*(E67="Y")*(F67&lt;&gt;F48)*(G67="Y")*(D67&lt;&gt;"")*(F67&lt;&gt;""))+((H67=H48)*(I67="Y")*(J67&lt;&gt;J48)*(K67="Y")*(H67&lt;&gt;"")*(J67&lt;&gt;""))+((L67=L48)*(M67="Y")*(N67&lt;&gt;N48)*(O67="Y")*(L67&lt;&gt;"")*(N67&lt;&gt;""))+((P67=P48)*(Q67="Y")*(R67&lt;&gt;R48)*(S67="Y")*(P67&lt;&gt;"")*(R67&lt;&gt;""))),0)</f>
        <v/>
      </c>
      <c r="W67" s="37">
        <f>IFERROR(SUMPRODUCT(((E67="N")*(D67&lt;&gt;"")*(F67&lt;&gt;""))+((I67="N")*(H67&lt;&gt;"")*(J67&lt;&gt;""))+((M67="N")*(L67&lt;&gt;"")*(N67&lt;&gt;""))+((Q67="N")*(P67&lt;&gt;"")*(R67&lt;&gt;""))),0)</f>
        <v/>
      </c>
      <c r="X67" s="50">
        <f>IFERROR(U67/4,0)</f>
        <v/>
      </c>
    </row>
    <row r="68" ht="18" customHeight="1">
      <c r="B68" s="46">
        <f>'📥 ข้อมูลนักเรียน'!B23</f>
        <v/>
      </c>
      <c r="C68" s="51">
        <f>'📥 ข้อมูลนักเรียน'!C23</f>
        <v/>
      </c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37">
        <f>IFERROR(SUMPRODUCT(((D68=D48)*(E68="Y")*(F68=F48)*(G68="Y")*(D68&lt;&gt;"")*(F68&lt;&gt;""))+((H68=H48)*(I68="Y")*(J68=J48)*(K68="Y")*(H68&lt;&gt;"")*(J68&lt;&gt;""))+((L68=L48)*(M68="Y")*(N68=N48)*(O68="Y")*(L68&lt;&gt;"")*(N68&lt;&gt;""))+((P68=P48)*(Q68="Y")*(R68=R48)*(S68="Y")*(P68&lt;&gt;"")*(R68&lt;&gt;""))),0)</f>
        <v/>
      </c>
      <c r="U68" s="49">
        <f>IFERROR(SUMPRODUCT(((D68&lt;&gt;D48)*(E68="Y")*(F68&lt;&gt;F48)*(G68="Y")*(D68&lt;&gt;"")*(F68&lt;&gt;""))+((H68&lt;&gt;H48)*(I68="Y")*(J68&lt;&gt;J48)*(K68="Y")*(H68&lt;&gt;"")*(J68&lt;&gt;""))+((L68&lt;&gt;L48)*(M68="Y")*(N68&lt;&gt;N48)*(O68="Y")*(L68&lt;&gt;"")*(N68&lt;&gt;""))+((P68&lt;&gt;P48)*(Q68="Y")*(R68&lt;&gt;R48)*(S68="Y")*(P68&lt;&gt;"")*(R68&lt;&gt;""))),0)</f>
        <v/>
      </c>
      <c r="V68" s="37">
        <f>IFERROR(SUMPRODUCT(((D68=D48)*(E68="Y")*(F68&lt;&gt;F48)*(G68="Y")*(D68&lt;&gt;"")*(F68&lt;&gt;""))+((H68=H48)*(I68="Y")*(J68&lt;&gt;J48)*(K68="Y")*(H68&lt;&gt;"")*(J68&lt;&gt;""))+((L68=L48)*(M68="Y")*(N68&lt;&gt;N48)*(O68="Y")*(L68&lt;&gt;"")*(N68&lt;&gt;""))+((P68=P48)*(Q68="Y")*(R68&lt;&gt;R48)*(S68="Y")*(P68&lt;&gt;"")*(R68&lt;&gt;""))),0)</f>
        <v/>
      </c>
      <c r="W68" s="37">
        <f>IFERROR(SUMPRODUCT(((E68="N")*(D68&lt;&gt;"")*(F68&lt;&gt;""))+((I68="N")*(H68&lt;&gt;"")*(J68&lt;&gt;""))+((M68="N")*(L68&lt;&gt;"")*(N68&lt;&gt;""))+((Q68="N")*(P68&lt;&gt;"")*(R68&lt;&gt;""))),0)</f>
        <v/>
      </c>
      <c r="X68" s="50">
        <f>IFERROR(U68/4,0)</f>
        <v/>
      </c>
    </row>
    <row r="69" ht="18" customHeight="1">
      <c r="B69" s="46">
        <f>'📥 ข้อมูลนักเรียน'!B24</f>
        <v/>
      </c>
      <c r="C69" s="47">
        <f>'📥 ข้อมูลนักเรียน'!C24</f>
        <v/>
      </c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37">
        <f>IFERROR(SUMPRODUCT(((D69=D48)*(E69="Y")*(F69=F48)*(G69="Y")*(D69&lt;&gt;"")*(F69&lt;&gt;""))+((H69=H48)*(I69="Y")*(J69=J48)*(K69="Y")*(H69&lt;&gt;"")*(J69&lt;&gt;""))+((L69=L48)*(M69="Y")*(N69=N48)*(O69="Y")*(L69&lt;&gt;"")*(N69&lt;&gt;""))+((P69=P48)*(Q69="Y")*(R69=R48)*(S69="Y")*(P69&lt;&gt;"")*(R69&lt;&gt;""))),0)</f>
        <v/>
      </c>
      <c r="U69" s="49">
        <f>IFERROR(SUMPRODUCT(((D69&lt;&gt;D48)*(E69="Y")*(F69&lt;&gt;F48)*(G69="Y")*(D69&lt;&gt;"")*(F69&lt;&gt;""))+((H69&lt;&gt;H48)*(I69="Y")*(J69&lt;&gt;J48)*(K69="Y")*(H69&lt;&gt;"")*(J69&lt;&gt;""))+((L69&lt;&gt;L48)*(M69="Y")*(N69&lt;&gt;N48)*(O69="Y")*(L69&lt;&gt;"")*(N69&lt;&gt;""))+((P69&lt;&gt;P48)*(Q69="Y")*(R69&lt;&gt;R48)*(S69="Y")*(P69&lt;&gt;"")*(R69&lt;&gt;""))),0)</f>
        <v/>
      </c>
      <c r="V69" s="37">
        <f>IFERROR(SUMPRODUCT(((D69=D48)*(E69="Y")*(F69&lt;&gt;F48)*(G69="Y")*(D69&lt;&gt;"")*(F69&lt;&gt;""))+((H69=H48)*(I69="Y")*(J69&lt;&gt;J48)*(K69="Y")*(H69&lt;&gt;"")*(J69&lt;&gt;""))+((L69=L48)*(M69="Y")*(N69&lt;&gt;N48)*(O69="Y")*(L69&lt;&gt;"")*(N69&lt;&gt;""))+((P69=P48)*(Q69="Y")*(R69&lt;&gt;R48)*(S69="Y")*(P69&lt;&gt;"")*(R69&lt;&gt;""))),0)</f>
        <v/>
      </c>
      <c r="W69" s="37">
        <f>IFERROR(SUMPRODUCT(((E69="N")*(D69&lt;&gt;"")*(F69&lt;&gt;""))+((I69="N")*(H69&lt;&gt;"")*(J69&lt;&gt;""))+((M69="N")*(L69&lt;&gt;"")*(N69&lt;&gt;""))+((Q69="N")*(P69&lt;&gt;"")*(R69&lt;&gt;""))),0)</f>
        <v/>
      </c>
      <c r="X69" s="50">
        <f>IFERROR(U69/4,0)</f>
        <v/>
      </c>
    </row>
    <row r="70" ht="18" customHeight="1">
      <c r="B70" s="46">
        <f>'📥 ข้อมูลนักเรียน'!B25</f>
        <v/>
      </c>
      <c r="C70" s="51">
        <f>'📥 ข้อมูลนักเรียน'!C25</f>
        <v/>
      </c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37">
        <f>IFERROR(SUMPRODUCT(((D70=D48)*(E70="Y")*(F70=F48)*(G70="Y")*(D70&lt;&gt;"")*(F70&lt;&gt;""))+((H70=H48)*(I70="Y")*(J70=J48)*(K70="Y")*(H70&lt;&gt;"")*(J70&lt;&gt;""))+((L70=L48)*(M70="Y")*(N70=N48)*(O70="Y")*(L70&lt;&gt;"")*(N70&lt;&gt;""))+((P70=P48)*(Q70="Y")*(R70=R48)*(S70="Y")*(P70&lt;&gt;"")*(R70&lt;&gt;""))),0)</f>
        <v/>
      </c>
      <c r="U70" s="49">
        <f>IFERROR(SUMPRODUCT(((D70&lt;&gt;D48)*(E70="Y")*(F70&lt;&gt;F48)*(G70="Y")*(D70&lt;&gt;"")*(F70&lt;&gt;""))+((H70&lt;&gt;H48)*(I70="Y")*(J70&lt;&gt;J48)*(K70="Y")*(H70&lt;&gt;"")*(J70&lt;&gt;""))+((L70&lt;&gt;L48)*(M70="Y")*(N70&lt;&gt;N48)*(O70="Y")*(L70&lt;&gt;"")*(N70&lt;&gt;""))+((P70&lt;&gt;P48)*(Q70="Y")*(R70&lt;&gt;R48)*(S70="Y")*(P70&lt;&gt;"")*(R70&lt;&gt;""))),0)</f>
        <v/>
      </c>
      <c r="V70" s="37">
        <f>IFERROR(SUMPRODUCT(((D70=D48)*(E70="Y")*(F70&lt;&gt;F48)*(G70="Y")*(D70&lt;&gt;"")*(F70&lt;&gt;""))+((H70=H48)*(I70="Y")*(J70&lt;&gt;J48)*(K70="Y")*(H70&lt;&gt;"")*(J70&lt;&gt;""))+((L70=L48)*(M70="Y")*(N70&lt;&gt;N48)*(O70="Y")*(L70&lt;&gt;"")*(N70&lt;&gt;""))+((P70=P48)*(Q70="Y")*(R70&lt;&gt;R48)*(S70="Y")*(P70&lt;&gt;"")*(R70&lt;&gt;""))),0)</f>
        <v/>
      </c>
      <c r="W70" s="37">
        <f>IFERROR(SUMPRODUCT(((E70="N")*(D70&lt;&gt;"")*(F70&lt;&gt;""))+((I70="N")*(H70&lt;&gt;"")*(J70&lt;&gt;""))+((M70="N")*(L70&lt;&gt;"")*(N70&lt;&gt;""))+((Q70="N")*(P70&lt;&gt;"")*(R70&lt;&gt;""))),0)</f>
        <v/>
      </c>
      <c r="X70" s="50">
        <f>IFERROR(U70/4,0)</f>
        <v/>
      </c>
    </row>
    <row r="71" ht="18" customHeight="1">
      <c r="B71" s="46">
        <f>'📥 ข้อมูลนักเรียน'!B26</f>
        <v/>
      </c>
      <c r="C71" s="47">
        <f>'📥 ข้อมูลนักเรียน'!C26</f>
        <v/>
      </c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37">
        <f>IFERROR(SUMPRODUCT(((D71=D48)*(E71="Y")*(F71=F48)*(G71="Y")*(D71&lt;&gt;"")*(F71&lt;&gt;""))+((H71=H48)*(I71="Y")*(J71=J48)*(K71="Y")*(H71&lt;&gt;"")*(J71&lt;&gt;""))+((L71=L48)*(M71="Y")*(N71=N48)*(O71="Y")*(L71&lt;&gt;"")*(N71&lt;&gt;""))+((P71=P48)*(Q71="Y")*(R71=R48)*(S71="Y")*(P71&lt;&gt;"")*(R71&lt;&gt;""))),0)</f>
        <v/>
      </c>
      <c r="U71" s="49">
        <f>IFERROR(SUMPRODUCT(((D71&lt;&gt;D48)*(E71="Y")*(F71&lt;&gt;F48)*(G71="Y")*(D71&lt;&gt;"")*(F71&lt;&gt;""))+((H71&lt;&gt;H48)*(I71="Y")*(J71&lt;&gt;J48)*(K71="Y")*(H71&lt;&gt;"")*(J71&lt;&gt;""))+((L71&lt;&gt;L48)*(M71="Y")*(N71&lt;&gt;N48)*(O71="Y")*(L71&lt;&gt;"")*(N71&lt;&gt;""))+((P71&lt;&gt;P48)*(Q71="Y")*(R71&lt;&gt;R48)*(S71="Y")*(P71&lt;&gt;"")*(R71&lt;&gt;""))),0)</f>
        <v/>
      </c>
      <c r="V71" s="37">
        <f>IFERROR(SUMPRODUCT(((D71=D48)*(E71="Y")*(F71&lt;&gt;F48)*(G71="Y")*(D71&lt;&gt;"")*(F71&lt;&gt;""))+((H71=H48)*(I71="Y")*(J71&lt;&gt;J48)*(K71="Y")*(H71&lt;&gt;"")*(J71&lt;&gt;""))+((L71=L48)*(M71="Y")*(N71&lt;&gt;N48)*(O71="Y")*(L71&lt;&gt;"")*(N71&lt;&gt;""))+((P71=P48)*(Q71="Y")*(R71&lt;&gt;R48)*(S71="Y")*(P71&lt;&gt;"")*(R71&lt;&gt;""))),0)</f>
        <v/>
      </c>
      <c r="W71" s="37">
        <f>IFERROR(SUMPRODUCT(((E71="N")*(D71&lt;&gt;"")*(F71&lt;&gt;""))+((I71="N")*(H71&lt;&gt;"")*(J71&lt;&gt;""))+((M71="N")*(L71&lt;&gt;"")*(N71&lt;&gt;""))+((Q71="N")*(P71&lt;&gt;"")*(R71&lt;&gt;""))),0)</f>
        <v/>
      </c>
      <c r="X71" s="50">
        <f>IFERROR(U71/4,0)</f>
        <v/>
      </c>
    </row>
    <row r="72" ht="18" customHeight="1">
      <c r="B72" s="46">
        <f>'📥 ข้อมูลนักเรียน'!B27</f>
        <v/>
      </c>
      <c r="C72" s="51">
        <f>'📥 ข้อมูลนักเรียน'!C27</f>
        <v/>
      </c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37">
        <f>IFERROR(SUMPRODUCT(((D72=D48)*(E72="Y")*(F72=F48)*(G72="Y")*(D72&lt;&gt;"")*(F72&lt;&gt;""))+((H72=H48)*(I72="Y")*(J72=J48)*(K72="Y")*(H72&lt;&gt;"")*(J72&lt;&gt;""))+((L72=L48)*(M72="Y")*(N72=N48)*(O72="Y")*(L72&lt;&gt;"")*(N72&lt;&gt;""))+((P72=P48)*(Q72="Y")*(R72=R48)*(S72="Y")*(P72&lt;&gt;"")*(R72&lt;&gt;""))),0)</f>
        <v/>
      </c>
      <c r="U72" s="49">
        <f>IFERROR(SUMPRODUCT(((D72&lt;&gt;D48)*(E72="Y")*(F72&lt;&gt;F48)*(G72="Y")*(D72&lt;&gt;"")*(F72&lt;&gt;""))+((H72&lt;&gt;H48)*(I72="Y")*(J72&lt;&gt;J48)*(K72="Y")*(H72&lt;&gt;"")*(J72&lt;&gt;""))+((L72&lt;&gt;L48)*(M72="Y")*(N72&lt;&gt;N48)*(O72="Y")*(L72&lt;&gt;"")*(N72&lt;&gt;""))+((P72&lt;&gt;P48)*(Q72="Y")*(R72&lt;&gt;R48)*(S72="Y")*(P72&lt;&gt;"")*(R72&lt;&gt;""))),0)</f>
        <v/>
      </c>
      <c r="V72" s="37">
        <f>IFERROR(SUMPRODUCT(((D72=D48)*(E72="Y")*(F72&lt;&gt;F48)*(G72="Y")*(D72&lt;&gt;"")*(F72&lt;&gt;""))+((H72=H48)*(I72="Y")*(J72&lt;&gt;J48)*(K72="Y")*(H72&lt;&gt;"")*(J72&lt;&gt;""))+((L72=L48)*(M72="Y")*(N72&lt;&gt;N48)*(O72="Y")*(L72&lt;&gt;"")*(N72&lt;&gt;""))+((P72=P48)*(Q72="Y")*(R72&lt;&gt;R48)*(S72="Y")*(P72&lt;&gt;"")*(R72&lt;&gt;""))),0)</f>
        <v/>
      </c>
      <c r="W72" s="37">
        <f>IFERROR(SUMPRODUCT(((E72="N")*(D72&lt;&gt;"")*(F72&lt;&gt;""))+((I72="N")*(H72&lt;&gt;"")*(J72&lt;&gt;""))+((M72="N")*(L72&lt;&gt;"")*(N72&lt;&gt;""))+((Q72="N")*(P72&lt;&gt;"")*(R72&lt;&gt;""))),0)</f>
        <v/>
      </c>
      <c r="X72" s="50">
        <f>IFERROR(U72/4,0)</f>
        <v/>
      </c>
    </row>
    <row r="73" ht="18" customHeight="1">
      <c r="B73" s="46">
        <f>'📥 ข้อมูลนักเรียน'!B28</f>
        <v/>
      </c>
      <c r="C73" s="47">
        <f>'📥 ข้อมูลนักเรียน'!C28</f>
        <v/>
      </c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37">
        <f>IFERROR(SUMPRODUCT(((D73=D48)*(E73="Y")*(F73=F48)*(G73="Y")*(D73&lt;&gt;"")*(F73&lt;&gt;""))+((H73=H48)*(I73="Y")*(J73=J48)*(K73="Y")*(H73&lt;&gt;"")*(J73&lt;&gt;""))+((L73=L48)*(M73="Y")*(N73=N48)*(O73="Y")*(L73&lt;&gt;"")*(N73&lt;&gt;""))+((P73=P48)*(Q73="Y")*(R73=R48)*(S73="Y")*(P73&lt;&gt;"")*(R73&lt;&gt;""))),0)</f>
        <v/>
      </c>
      <c r="U73" s="49">
        <f>IFERROR(SUMPRODUCT(((D73&lt;&gt;D48)*(E73="Y")*(F73&lt;&gt;F48)*(G73="Y")*(D73&lt;&gt;"")*(F73&lt;&gt;""))+((H73&lt;&gt;H48)*(I73="Y")*(J73&lt;&gt;J48)*(K73="Y")*(H73&lt;&gt;"")*(J73&lt;&gt;""))+((L73&lt;&gt;L48)*(M73="Y")*(N73&lt;&gt;N48)*(O73="Y")*(L73&lt;&gt;"")*(N73&lt;&gt;""))+((P73&lt;&gt;P48)*(Q73="Y")*(R73&lt;&gt;R48)*(S73="Y")*(P73&lt;&gt;"")*(R73&lt;&gt;""))),0)</f>
        <v/>
      </c>
      <c r="V73" s="37">
        <f>IFERROR(SUMPRODUCT(((D73=D48)*(E73="Y")*(F73&lt;&gt;F48)*(G73="Y")*(D73&lt;&gt;"")*(F73&lt;&gt;""))+((H73=H48)*(I73="Y")*(J73&lt;&gt;J48)*(K73="Y")*(H73&lt;&gt;"")*(J73&lt;&gt;""))+((L73=L48)*(M73="Y")*(N73&lt;&gt;N48)*(O73="Y")*(L73&lt;&gt;"")*(N73&lt;&gt;""))+((P73=P48)*(Q73="Y")*(R73&lt;&gt;R48)*(S73="Y")*(P73&lt;&gt;"")*(R73&lt;&gt;""))),0)</f>
        <v/>
      </c>
      <c r="W73" s="37">
        <f>IFERROR(SUMPRODUCT(((E73="N")*(D73&lt;&gt;"")*(F73&lt;&gt;""))+((I73="N")*(H73&lt;&gt;"")*(J73&lt;&gt;""))+((M73="N")*(L73&lt;&gt;"")*(N73&lt;&gt;""))+((Q73="N")*(P73&lt;&gt;"")*(R73&lt;&gt;""))),0)</f>
        <v/>
      </c>
      <c r="X73" s="50">
        <f>IFERROR(U73/4,0)</f>
        <v/>
      </c>
    </row>
    <row r="74" ht="18" customHeight="1">
      <c r="B74" s="46">
        <f>'📥 ข้อมูลนักเรียน'!B29</f>
        <v/>
      </c>
      <c r="C74" s="51">
        <f>'📥 ข้อมูลนักเรียน'!C29</f>
        <v/>
      </c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37">
        <f>IFERROR(SUMPRODUCT(((D74=D48)*(E74="Y")*(F74=F48)*(G74="Y")*(D74&lt;&gt;"")*(F74&lt;&gt;""))+((H74=H48)*(I74="Y")*(J74=J48)*(K74="Y")*(H74&lt;&gt;"")*(J74&lt;&gt;""))+((L74=L48)*(M74="Y")*(N74=N48)*(O74="Y")*(L74&lt;&gt;"")*(N74&lt;&gt;""))+((P74=P48)*(Q74="Y")*(R74=R48)*(S74="Y")*(P74&lt;&gt;"")*(R74&lt;&gt;""))),0)</f>
        <v/>
      </c>
      <c r="U74" s="49">
        <f>IFERROR(SUMPRODUCT(((D74&lt;&gt;D48)*(E74="Y")*(F74&lt;&gt;F48)*(G74="Y")*(D74&lt;&gt;"")*(F74&lt;&gt;""))+((H74&lt;&gt;H48)*(I74="Y")*(J74&lt;&gt;J48)*(K74="Y")*(H74&lt;&gt;"")*(J74&lt;&gt;""))+((L74&lt;&gt;L48)*(M74="Y")*(N74&lt;&gt;N48)*(O74="Y")*(L74&lt;&gt;"")*(N74&lt;&gt;""))+((P74&lt;&gt;P48)*(Q74="Y")*(R74&lt;&gt;R48)*(S74="Y")*(P74&lt;&gt;"")*(R74&lt;&gt;""))),0)</f>
        <v/>
      </c>
      <c r="V74" s="37">
        <f>IFERROR(SUMPRODUCT(((D74=D48)*(E74="Y")*(F74&lt;&gt;F48)*(G74="Y")*(D74&lt;&gt;"")*(F74&lt;&gt;""))+((H74=H48)*(I74="Y")*(J74&lt;&gt;J48)*(K74="Y")*(H74&lt;&gt;"")*(J74&lt;&gt;""))+((L74=L48)*(M74="Y")*(N74&lt;&gt;N48)*(O74="Y")*(L74&lt;&gt;"")*(N74&lt;&gt;""))+((P74=P48)*(Q74="Y")*(R74&lt;&gt;R48)*(S74="Y")*(P74&lt;&gt;"")*(R74&lt;&gt;""))),0)</f>
        <v/>
      </c>
      <c r="W74" s="37">
        <f>IFERROR(SUMPRODUCT(((E74="N")*(D74&lt;&gt;"")*(F74&lt;&gt;""))+((I74="N")*(H74&lt;&gt;"")*(J74&lt;&gt;""))+((M74="N")*(L74&lt;&gt;"")*(N74&lt;&gt;""))+((Q74="N")*(P74&lt;&gt;"")*(R74&lt;&gt;""))),0)</f>
        <v/>
      </c>
      <c r="X74" s="50">
        <f>IFERROR(U74/4,0)</f>
        <v/>
      </c>
    </row>
    <row r="75" ht="18" customHeight="1">
      <c r="B75" s="46">
        <f>'📥 ข้อมูลนักเรียน'!B30</f>
        <v/>
      </c>
      <c r="C75" s="47">
        <f>'📥 ข้อมูลนักเรียน'!C30</f>
        <v/>
      </c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37">
        <f>IFERROR(SUMPRODUCT(((D75=D48)*(E75="Y")*(F75=F48)*(G75="Y")*(D75&lt;&gt;"")*(F75&lt;&gt;""))+((H75=H48)*(I75="Y")*(J75=J48)*(K75="Y")*(H75&lt;&gt;"")*(J75&lt;&gt;""))+((L75=L48)*(M75="Y")*(N75=N48)*(O75="Y")*(L75&lt;&gt;"")*(N75&lt;&gt;""))+((P75=P48)*(Q75="Y")*(R75=R48)*(S75="Y")*(P75&lt;&gt;"")*(R75&lt;&gt;""))),0)</f>
        <v/>
      </c>
      <c r="U75" s="49">
        <f>IFERROR(SUMPRODUCT(((D75&lt;&gt;D48)*(E75="Y")*(F75&lt;&gt;F48)*(G75="Y")*(D75&lt;&gt;"")*(F75&lt;&gt;""))+((H75&lt;&gt;H48)*(I75="Y")*(J75&lt;&gt;J48)*(K75="Y")*(H75&lt;&gt;"")*(J75&lt;&gt;""))+((L75&lt;&gt;L48)*(M75="Y")*(N75&lt;&gt;N48)*(O75="Y")*(L75&lt;&gt;"")*(N75&lt;&gt;""))+((P75&lt;&gt;P48)*(Q75="Y")*(R75&lt;&gt;R48)*(S75="Y")*(P75&lt;&gt;"")*(R75&lt;&gt;""))),0)</f>
        <v/>
      </c>
      <c r="V75" s="37">
        <f>IFERROR(SUMPRODUCT(((D75=D48)*(E75="Y")*(F75&lt;&gt;F48)*(G75="Y")*(D75&lt;&gt;"")*(F75&lt;&gt;""))+((H75=H48)*(I75="Y")*(J75&lt;&gt;J48)*(K75="Y")*(H75&lt;&gt;"")*(J75&lt;&gt;""))+((L75=L48)*(M75="Y")*(N75&lt;&gt;N48)*(O75="Y")*(L75&lt;&gt;"")*(N75&lt;&gt;""))+((P75=P48)*(Q75="Y")*(R75&lt;&gt;R48)*(S75="Y")*(P75&lt;&gt;"")*(R75&lt;&gt;""))),0)</f>
        <v/>
      </c>
      <c r="W75" s="37">
        <f>IFERROR(SUMPRODUCT(((E75="N")*(D75&lt;&gt;"")*(F75&lt;&gt;""))+((I75="N")*(H75&lt;&gt;"")*(J75&lt;&gt;""))+((M75="N")*(L75&lt;&gt;"")*(N75&lt;&gt;""))+((Q75="N")*(P75&lt;&gt;"")*(R75&lt;&gt;""))),0)</f>
        <v/>
      </c>
      <c r="X75" s="50">
        <f>IFERROR(U75/4,0)</f>
        <v/>
      </c>
    </row>
    <row r="76" ht="18" customHeight="1">
      <c r="B76" s="46">
        <f>'📥 ข้อมูลนักเรียน'!B31</f>
        <v/>
      </c>
      <c r="C76" s="51">
        <f>'📥 ข้อมูลนักเรียน'!C31</f>
        <v/>
      </c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37">
        <f>IFERROR(SUMPRODUCT(((D76=D48)*(E76="Y")*(F76=F48)*(G76="Y")*(D76&lt;&gt;"")*(F76&lt;&gt;""))+((H76=H48)*(I76="Y")*(J76=J48)*(K76="Y")*(H76&lt;&gt;"")*(J76&lt;&gt;""))+((L76=L48)*(M76="Y")*(N76=N48)*(O76="Y")*(L76&lt;&gt;"")*(N76&lt;&gt;""))+((P76=P48)*(Q76="Y")*(R76=R48)*(S76="Y")*(P76&lt;&gt;"")*(R76&lt;&gt;""))),0)</f>
        <v/>
      </c>
      <c r="U76" s="49">
        <f>IFERROR(SUMPRODUCT(((D76&lt;&gt;D48)*(E76="Y")*(F76&lt;&gt;F48)*(G76="Y")*(D76&lt;&gt;"")*(F76&lt;&gt;""))+((H76&lt;&gt;H48)*(I76="Y")*(J76&lt;&gt;J48)*(K76="Y")*(H76&lt;&gt;"")*(J76&lt;&gt;""))+((L76&lt;&gt;L48)*(M76="Y")*(N76&lt;&gt;N48)*(O76="Y")*(L76&lt;&gt;"")*(N76&lt;&gt;""))+((P76&lt;&gt;P48)*(Q76="Y")*(R76&lt;&gt;R48)*(S76="Y")*(P76&lt;&gt;"")*(R76&lt;&gt;""))),0)</f>
        <v/>
      </c>
      <c r="V76" s="37">
        <f>IFERROR(SUMPRODUCT(((D76=D48)*(E76="Y")*(F76&lt;&gt;F48)*(G76="Y")*(D76&lt;&gt;"")*(F76&lt;&gt;""))+((H76=H48)*(I76="Y")*(J76&lt;&gt;J48)*(K76="Y")*(H76&lt;&gt;"")*(J76&lt;&gt;""))+((L76=L48)*(M76="Y")*(N76&lt;&gt;N48)*(O76="Y")*(L76&lt;&gt;"")*(N76&lt;&gt;""))+((P76=P48)*(Q76="Y")*(R76&lt;&gt;R48)*(S76="Y")*(P76&lt;&gt;"")*(R76&lt;&gt;""))),0)</f>
        <v/>
      </c>
      <c r="W76" s="37">
        <f>IFERROR(SUMPRODUCT(((E76="N")*(D76&lt;&gt;"")*(F76&lt;&gt;""))+((I76="N")*(H76&lt;&gt;"")*(J76&lt;&gt;""))+((M76="N")*(L76&lt;&gt;"")*(N76&lt;&gt;""))+((Q76="N")*(P76&lt;&gt;"")*(R76&lt;&gt;""))),0)</f>
        <v/>
      </c>
      <c r="X76" s="50">
        <f>IFERROR(U76/4,0)</f>
        <v/>
      </c>
    </row>
    <row r="77" ht="18" customHeight="1">
      <c r="B77" s="46">
        <f>'📥 ข้อมูลนักเรียน'!B32</f>
        <v/>
      </c>
      <c r="C77" s="47">
        <f>'📥 ข้อมูลนักเรียน'!C32</f>
        <v/>
      </c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37">
        <f>IFERROR(SUMPRODUCT(((D77=D48)*(E77="Y")*(F77=F48)*(G77="Y")*(D77&lt;&gt;"")*(F77&lt;&gt;""))+((H77=H48)*(I77="Y")*(J77=J48)*(K77="Y")*(H77&lt;&gt;"")*(J77&lt;&gt;""))+((L77=L48)*(M77="Y")*(N77=N48)*(O77="Y")*(L77&lt;&gt;"")*(N77&lt;&gt;""))+((P77=P48)*(Q77="Y")*(R77=R48)*(S77="Y")*(P77&lt;&gt;"")*(R77&lt;&gt;""))),0)</f>
        <v/>
      </c>
      <c r="U77" s="49">
        <f>IFERROR(SUMPRODUCT(((D77&lt;&gt;D48)*(E77="Y")*(F77&lt;&gt;F48)*(G77="Y")*(D77&lt;&gt;"")*(F77&lt;&gt;""))+((H77&lt;&gt;H48)*(I77="Y")*(J77&lt;&gt;J48)*(K77="Y")*(H77&lt;&gt;"")*(J77&lt;&gt;""))+((L77&lt;&gt;L48)*(M77="Y")*(N77&lt;&gt;N48)*(O77="Y")*(L77&lt;&gt;"")*(N77&lt;&gt;""))+((P77&lt;&gt;P48)*(Q77="Y")*(R77&lt;&gt;R48)*(S77="Y")*(P77&lt;&gt;"")*(R77&lt;&gt;""))),0)</f>
        <v/>
      </c>
      <c r="V77" s="37">
        <f>IFERROR(SUMPRODUCT(((D77=D48)*(E77="Y")*(F77&lt;&gt;F48)*(G77="Y")*(D77&lt;&gt;"")*(F77&lt;&gt;""))+((H77=H48)*(I77="Y")*(J77&lt;&gt;J48)*(K77="Y")*(H77&lt;&gt;"")*(J77&lt;&gt;""))+((L77=L48)*(M77="Y")*(N77&lt;&gt;N48)*(O77="Y")*(L77&lt;&gt;"")*(N77&lt;&gt;""))+((P77=P48)*(Q77="Y")*(R77&lt;&gt;R48)*(S77="Y")*(P77&lt;&gt;"")*(R77&lt;&gt;""))),0)</f>
        <v/>
      </c>
      <c r="W77" s="37">
        <f>IFERROR(SUMPRODUCT(((E77="N")*(D77&lt;&gt;"")*(F77&lt;&gt;""))+((I77="N")*(H77&lt;&gt;"")*(J77&lt;&gt;""))+((M77="N")*(L77&lt;&gt;"")*(N77&lt;&gt;""))+((Q77="N")*(P77&lt;&gt;"")*(R77&lt;&gt;""))),0)</f>
        <v/>
      </c>
      <c r="X77" s="50">
        <f>IFERROR(U77/4,0)</f>
        <v/>
      </c>
    </row>
    <row r="78" ht="18" customHeight="1">
      <c r="B78" s="46">
        <f>'📥 ข้อมูลนักเรียน'!B33</f>
        <v/>
      </c>
      <c r="C78" s="51">
        <f>'📥 ข้อมูลนักเรียน'!C33</f>
        <v/>
      </c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37">
        <f>IFERROR(SUMPRODUCT(((D78=D48)*(E78="Y")*(F78=F48)*(G78="Y")*(D78&lt;&gt;"")*(F78&lt;&gt;""))+((H78=H48)*(I78="Y")*(J78=J48)*(K78="Y")*(H78&lt;&gt;"")*(J78&lt;&gt;""))+((L78=L48)*(M78="Y")*(N78=N48)*(O78="Y")*(L78&lt;&gt;"")*(N78&lt;&gt;""))+((P78=P48)*(Q78="Y")*(R78=R48)*(S78="Y")*(P78&lt;&gt;"")*(R78&lt;&gt;""))),0)</f>
        <v/>
      </c>
      <c r="U78" s="49">
        <f>IFERROR(SUMPRODUCT(((D78&lt;&gt;D48)*(E78="Y")*(F78&lt;&gt;F48)*(G78="Y")*(D78&lt;&gt;"")*(F78&lt;&gt;""))+((H78&lt;&gt;H48)*(I78="Y")*(J78&lt;&gt;J48)*(K78="Y")*(H78&lt;&gt;"")*(J78&lt;&gt;""))+((L78&lt;&gt;L48)*(M78="Y")*(N78&lt;&gt;N48)*(O78="Y")*(L78&lt;&gt;"")*(N78&lt;&gt;""))+((P78&lt;&gt;P48)*(Q78="Y")*(R78&lt;&gt;R48)*(S78="Y")*(P78&lt;&gt;"")*(R78&lt;&gt;""))),0)</f>
        <v/>
      </c>
      <c r="V78" s="37">
        <f>IFERROR(SUMPRODUCT(((D78=D48)*(E78="Y")*(F78&lt;&gt;F48)*(G78="Y")*(D78&lt;&gt;"")*(F78&lt;&gt;""))+((H78=H48)*(I78="Y")*(J78&lt;&gt;J48)*(K78="Y")*(H78&lt;&gt;"")*(J78&lt;&gt;""))+((L78=L48)*(M78="Y")*(N78&lt;&gt;N48)*(O78="Y")*(L78&lt;&gt;"")*(N78&lt;&gt;""))+((P78=P48)*(Q78="Y")*(R78&lt;&gt;R48)*(S78="Y")*(P78&lt;&gt;"")*(R78&lt;&gt;""))),0)</f>
        <v/>
      </c>
      <c r="W78" s="37">
        <f>IFERROR(SUMPRODUCT(((E78="N")*(D78&lt;&gt;"")*(F78&lt;&gt;""))+((I78="N")*(H78&lt;&gt;"")*(J78&lt;&gt;""))+((M78="N")*(L78&lt;&gt;"")*(N78&lt;&gt;""))+((Q78="N")*(P78&lt;&gt;"")*(R78&lt;&gt;""))),0)</f>
        <v/>
      </c>
      <c r="X78" s="50">
        <f>IFERROR(U78/4,0)</f>
        <v/>
      </c>
    </row>
    <row r="79" ht="18" customHeight="1">
      <c r="B79" s="46">
        <f>'📥 ข้อมูลนักเรียน'!B34</f>
        <v/>
      </c>
      <c r="C79" s="47">
        <f>'📥 ข้อมูลนักเรียน'!C34</f>
        <v/>
      </c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37">
        <f>IFERROR(SUMPRODUCT(((D79=D48)*(E79="Y")*(F79=F48)*(G79="Y")*(D79&lt;&gt;"")*(F79&lt;&gt;""))+((H79=H48)*(I79="Y")*(J79=J48)*(K79="Y")*(H79&lt;&gt;"")*(J79&lt;&gt;""))+((L79=L48)*(M79="Y")*(N79=N48)*(O79="Y")*(L79&lt;&gt;"")*(N79&lt;&gt;""))+((P79=P48)*(Q79="Y")*(R79=R48)*(S79="Y")*(P79&lt;&gt;"")*(R79&lt;&gt;""))),0)</f>
        <v/>
      </c>
      <c r="U79" s="49">
        <f>IFERROR(SUMPRODUCT(((D79&lt;&gt;D48)*(E79="Y")*(F79&lt;&gt;F48)*(G79="Y")*(D79&lt;&gt;"")*(F79&lt;&gt;""))+((H79&lt;&gt;H48)*(I79="Y")*(J79&lt;&gt;J48)*(K79="Y")*(H79&lt;&gt;"")*(J79&lt;&gt;""))+((L79&lt;&gt;L48)*(M79="Y")*(N79&lt;&gt;N48)*(O79="Y")*(L79&lt;&gt;"")*(N79&lt;&gt;""))+((P79&lt;&gt;P48)*(Q79="Y")*(R79&lt;&gt;R48)*(S79="Y")*(P79&lt;&gt;"")*(R79&lt;&gt;""))),0)</f>
        <v/>
      </c>
      <c r="V79" s="37">
        <f>IFERROR(SUMPRODUCT(((D79=D48)*(E79="Y")*(F79&lt;&gt;F48)*(G79="Y")*(D79&lt;&gt;"")*(F79&lt;&gt;""))+((H79=H48)*(I79="Y")*(J79&lt;&gt;J48)*(K79="Y")*(H79&lt;&gt;"")*(J79&lt;&gt;""))+((L79=L48)*(M79="Y")*(N79&lt;&gt;N48)*(O79="Y")*(L79&lt;&gt;"")*(N79&lt;&gt;""))+((P79=P48)*(Q79="Y")*(R79&lt;&gt;R48)*(S79="Y")*(P79&lt;&gt;"")*(R79&lt;&gt;""))),0)</f>
        <v/>
      </c>
      <c r="W79" s="37">
        <f>IFERROR(SUMPRODUCT(((E79="N")*(D79&lt;&gt;"")*(F79&lt;&gt;""))+((I79="N")*(H79&lt;&gt;"")*(J79&lt;&gt;""))+((M79="N")*(L79&lt;&gt;"")*(N79&lt;&gt;""))+((Q79="N")*(P79&lt;&gt;"")*(R79&lt;&gt;""))),0)</f>
        <v/>
      </c>
      <c r="X79" s="50">
        <f>IFERROR(U79/4,0)</f>
        <v/>
      </c>
    </row>
    <row r="80" ht="18" customHeight="1">
      <c r="B80" s="46">
        <f>'📥 ข้อมูลนักเรียน'!B35</f>
        <v/>
      </c>
      <c r="C80" s="51">
        <f>'📥 ข้อมูลนักเรียน'!C35</f>
        <v/>
      </c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37">
        <f>IFERROR(SUMPRODUCT(((D80=D48)*(E80="Y")*(F80=F48)*(G80="Y")*(D80&lt;&gt;"")*(F80&lt;&gt;""))+((H80=H48)*(I80="Y")*(J80=J48)*(K80="Y")*(H80&lt;&gt;"")*(J80&lt;&gt;""))+((L80=L48)*(M80="Y")*(N80=N48)*(O80="Y")*(L80&lt;&gt;"")*(N80&lt;&gt;""))+((P80=P48)*(Q80="Y")*(R80=R48)*(S80="Y")*(P80&lt;&gt;"")*(R80&lt;&gt;""))),0)</f>
        <v/>
      </c>
      <c r="U80" s="49">
        <f>IFERROR(SUMPRODUCT(((D80&lt;&gt;D48)*(E80="Y")*(F80&lt;&gt;F48)*(G80="Y")*(D80&lt;&gt;"")*(F80&lt;&gt;""))+((H80&lt;&gt;H48)*(I80="Y")*(J80&lt;&gt;J48)*(K80="Y")*(H80&lt;&gt;"")*(J80&lt;&gt;""))+((L80&lt;&gt;L48)*(M80="Y")*(N80&lt;&gt;N48)*(O80="Y")*(L80&lt;&gt;"")*(N80&lt;&gt;""))+((P80&lt;&gt;P48)*(Q80="Y")*(R80&lt;&gt;R48)*(S80="Y")*(P80&lt;&gt;"")*(R80&lt;&gt;""))),0)</f>
        <v/>
      </c>
      <c r="V80" s="37">
        <f>IFERROR(SUMPRODUCT(((D80=D48)*(E80="Y")*(F80&lt;&gt;F48)*(G80="Y")*(D80&lt;&gt;"")*(F80&lt;&gt;""))+((H80=H48)*(I80="Y")*(J80&lt;&gt;J48)*(K80="Y")*(H80&lt;&gt;"")*(J80&lt;&gt;""))+((L80=L48)*(M80="Y")*(N80&lt;&gt;N48)*(O80="Y")*(L80&lt;&gt;"")*(N80&lt;&gt;""))+((P80=P48)*(Q80="Y")*(R80&lt;&gt;R48)*(S80="Y")*(P80&lt;&gt;"")*(R80&lt;&gt;""))),0)</f>
        <v/>
      </c>
      <c r="W80" s="37">
        <f>IFERROR(SUMPRODUCT(((E80="N")*(D80&lt;&gt;"")*(F80&lt;&gt;""))+((I80="N")*(H80&lt;&gt;"")*(J80&lt;&gt;""))+((M80="N")*(L80&lt;&gt;"")*(N80&lt;&gt;""))+((Q80="N")*(P80&lt;&gt;"")*(R80&lt;&gt;""))),0)</f>
        <v/>
      </c>
      <c r="X80" s="50">
        <f>IFERROR(U80/4,0)</f>
        <v/>
      </c>
    </row>
    <row r="81" ht="18" customHeight="1">
      <c r="B81" s="46">
        <f>'📥 ข้อมูลนักเรียน'!B36</f>
        <v/>
      </c>
      <c r="C81" s="47">
        <f>'📥 ข้อมูลนักเรียน'!C36</f>
        <v/>
      </c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37">
        <f>IFERROR(SUMPRODUCT(((D81=D48)*(E81="Y")*(F81=F48)*(G81="Y")*(D81&lt;&gt;"")*(F81&lt;&gt;""))+((H81=H48)*(I81="Y")*(J81=J48)*(K81="Y")*(H81&lt;&gt;"")*(J81&lt;&gt;""))+((L81=L48)*(M81="Y")*(N81=N48)*(O81="Y")*(L81&lt;&gt;"")*(N81&lt;&gt;""))+((P81=P48)*(Q81="Y")*(R81=R48)*(S81="Y")*(P81&lt;&gt;"")*(R81&lt;&gt;""))),0)</f>
        <v/>
      </c>
      <c r="U81" s="49">
        <f>IFERROR(SUMPRODUCT(((D81&lt;&gt;D48)*(E81="Y")*(F81&lt;&gt;F48)*(G81="Y")*(D81&lt;&gt;"")*(F81&lt;&gt;""))+((H81&lt;&gt;H48)*(I81="Y")*(J81&lt;&gt;J48)*(K81="Y")*(H81&lt;&gt;"")*(J81&lt;&gt;""))+((L81&lt;&gt;L48)*(M81="Y")*(N81&lt;&gt;N48)*(O81="Y")*(L81&lt;&gt;"")*(N81&lt;&gt;""))+((P81&lt;&gt;P48)*(Q81="Y")*(R81&lt;&gt;R48)*(S81="Y")*(P81&lt;&gt;"")*(R81&lt;&gt;""))),0)</f>
        <v/>
      </c>
      <c r="V81" s="37">
        <f>IFERROR(SUMPRODUCT(((D81=D48)*(E81="Y")*(F81&lt;&gt;F48)*(G81="Y")*(D81&lt;&gt;"")*(F81&lt;&gt;""))+((H81=H48)*(I81="Y")*(J81&lt;&gt;J48)*(K81="Y")*(H81&lt;&gt;"")*(J81&lt;&gt;""))+((L81=L48)*(M81="Y")*(N81&lt;&gt;N48)*(O81="Y")*(L81&lt;&gt;"")*(N81&lt;&gt;""))+((P81=P48)*(Q81="Y")*(R81&lt;&gt;R48)*(S81="Y")*(P81&lt;&gt;"")*(R81&lt;&gt;""))),0)</f>
        <v/>
      </c>
      <c r="W81" s="37">
        <f>IFERROR(SUMPRODUCT(((E81="N")*(D81&lt;&gt;"")*(F81&lt;&gt;""))+((I81="N")*(H81&lt;&gt;"")*(J81&lt;&gt;""))+((M81="N")*(L81&lt;&gt;"")*(N81&lt;&gt;""))+((Q81="N")*(P81&lt;&gt;"")*(R81&lt;&gt;""))),0)</f>
        <v/>
      </c>
      <c r="X81" s="50">
        <f>IFERROR(U81/4,0)</f>
        <v/>
      </c>
    </row>
    <row r="82" ht="18" customHeight="1">
      <c r="B82" s="46">
        <f>'📥 ข้อมูลนักเรียน'!B37</f>
        <v/>
      </c>
      <c r="C82" s="51">
        <f>'📥 ข้อมูลนักเรียน'!C37</f>
        <v/>
      </c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37">
        <f>IFERROR(SUMPRODUCT(((D82=D48)*(E82="Y")*(F82=F48)*(G82="Y")*(D82&lt;&gt;"")*(F82&lt;&gt;""))+((H82=H48)*(I82="Y")*(J82=J48)*(K82="Y")*(H82&lt;&gt;"")*(J82&lt;&gt;""))+((L82=L48)*(M82="Y")*(N82=N48)*(O82="Y")*(L82&lt;&gt;"")*(N82&lt;&gt;""))+((P82=P48)*(Q82="Y")*(R82=R48)*(S82="Y")*(P82&lt;&gt;"")*(R82&lt;&gt;""))),0)</f>
        <v/>
      </c>
      <c r="U82" s="49">
        <f>IFERROR(SUMPRODUCT(((D82&lt;&gt;D48)*(E82="Y")*(F82&lt;&gt;F48)*(G82="Y")*(D82&lt;&gt;"")*(F82&lt;&gt;""))+((H82&lt;&gt;H48)*(I82="Y")*(J82&lt;&gt;J48)*(K82="Y")*(H82&lt;&gt;"")*(J82&lt;&gt;""))+((L82&lt;&gt;L48)*(M82="Y")*(N82&lt;&gt;N48)*(O82="Y")*(L82&lt;&gt;"")*(N82&lt;&gt;""))+((P82&lt;&gt;P48)*(Q82="Y")*(R82&lt;&gt;R48)*(S82="Y")*(P82&lt;&gt;"")*(R82&lt;&gt;""))),0)</f>
        <v/>
      </c>
      <c r="V82" s="37">
        <f>IFERROR(SUMPRODUCT(((D82=D48)*(E82="Y")*(F82&lt;&gt;F48)*(G82="Y")*(D82&lt;&gt;"")*(F82&lt;&gt;""))+((H82=H48)*(I82="Y")*(J82&lt;&gt;J48)*(K82="Y")*(H82&lt;&gt;"")*(J82&lt;&gt;""))+((L82=L48)*(M82="Y")*(N82&lt;&gt;N48)*(O82="Y")*(L82&lt;&gt;"")*(N82&lt;&gt;""))+((P82=P48)*(Q82="Y")*(R82&lt;&gt;R48)*(S82="Y")*(P82&lt;&gt;"")*(R82&lt;&gt;""))),0)</f>
        <v/>
      </c>
      <c r="W82" s="37">
        <f>IFERROR(SUMPRODUCT(((E82="N")*(D82&lt;&gt;"")*(F82&lt;&gt;""))+((I82="N")*(H82&lt;&gt;"")*(J82&lt;&gt;""))+((M82="N")*(L82&lt;&gt;"")*(N82&lt;&gt;""))+((Q82="N")*(P82&lt;&gt;"")*(R82&lt;&gt;""))),0)</f>
        <v/>
      </c>
      <c r="X82" s="50">
        <f>IFERROR(U82/4,0)</f>
        <v/>
      </c>
    </row>
    <row r="83" ht="18" customHeight="1">
      <c r="B83" s="46">
        <f>'📥 ข้อมูลนักเรียน'!B38</f>
        <v/>
      </c>
      <c r="C83" s="47">
        <f>'📥 ข้อมูลนักเรียน'!C38</f>
        <v/>
      </c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37">
        <f>IFERROR(SUMPRODUCT(((D83=D48)*(E83="Y")*(F83=F48)*(G83="Y")*(D83&lt;&gt;"")*(F83&lt;&gt;""))+((H83=H48)*(I83="Y")*(J83=J48)*(K83="Y")*(H83&lt;&gt;"")*(J83&lt;&gt;""))+((L83=L48)*(M83="Y")*(N83=N48)*(O83="Y")*(L83&lt;&gt;"")*(N83&lt;&gt;""))+((P83=P48)*(Q83="Y")*(R83=R48)*(S83="Y")*(P83&lt;&gt;"")*(R83&lt;&gt;""))),0)</f>
        <v/>
      </c>
      <c r="U83" s="49">
        <f>IFERROR(SUMPRODUCT(((D83&lt;&gt;D48)*(E83="Y")*(F83&lt;&gt;F48)*(G83="Y")*(D83&lt;&gt;"")*(F83&lt;&gt;""))+((H83&lt;&gt;H48)*(I83="Y")*(J83&lt;&gt;J48)*(K83="Y")*(H83&lt;&gt;"")*(J83&lt;&gt;""))+((L83&lt;&gt;L48)*(M83="Y")*(N83&lt;&gt;N48)*(O83="Y")*(L83&lt;&gt;"")*(N83&lt;&gt;""))+((P83&lt;&gt;P48)*(Q83="Y")*(R83&lt;&gt;R48)*(S83="Y")*(P83&lt;&gt;"")*(R83&lt;&gt;""))),0)</f>
        <v/>
      </c>
      <c r="V83" s="37">
        <f>IFERROR(SUMPRODUCT(((D83=D48)*(E83="Y")*(F83&lt;&gt;F48)*(G83="Y")*(D83&lt;&gt;"")*(F83&lt;&gt;""))+((H83=H48)*(I83="Y")*(J83&lt;&gt;J48)*(K83="Y")*(H83&lt;&gt;"")*(J83&lt;&gt;""))+((L83=L48)*(M83="Y")*(N83&lt;&gt;N48)*(O83="Y")*(L83&lt;&gt;"")*(N83&lt;&gt;""))+((P83=P48)*(Q83="Y")*(R83&lt;&gt;R48)*(S83="Y")*(P83&lt;&gt;"")*(R83&lt;&gt;""))),0)</f>
        <v/>
      </c>
      <c r="W83" s="37">
        <f>IFERROR(SUMPRODUCT(((E83="N")*(D83&lt;&gt;"")*(F83&lt;&gt;""))+((I83="N")*(H83&lt;&gt;"")*(J83&lt;&gt;""))+((M83="N")*(L83&lt;&gt;"")*(N83&lt;&gt;""))+((Q83="N")*(P83&lt;&gt;"")*(R83&lt;&gt;""))),0)</f>
        <v/>
      </c>
      <c r="X83" s="50">
        <f>IFERROR(U83/4,0)</f>
        <v/>
      </c>
    </row>
    <row r="84" ht="24" customHeight="1">
      <c r="B84" s="226" t="inlineStr">
        <is>
          <t>สรุป Post แผน 1</t>
        </is>
      </c>
      <c r="C84" s="369" t="n"/>
      <c r="T84" s="52">
        <f>IFERROR(AVERAGE(T49:T83)*4,0)</f>
        <v/>
      </c>
      <c r="U84" s="53">
        <f>IFERROR(AVERAGE(U49:U83)*4,0)</f>
        <v/>
      </c>
      <c r="V84" s="54">
        <f>IFERROR(AVERAGE(V49:V83)*4,0)</f>
        <v/>
      </c>
      <c r="W84" s="55">
        <f>IFERROR(AVERAGE(W49:W83)*4,0)</f>
        <v/>
      </c>
      <c r="X84" s="56">
        <f>IFERROR(AVERAGE(X49:X83),0)</f>
        <v/>
      </c>
    </row>
    <row r="85" ht="7.5" customHeight="1"/>
    <row r="86" ht="21.75" customHeight="1">
      <c r="B86" s="236" t="inlineStr">
        <is>
          <t>▌ แผนที่ 2  |  คาบที่ 3–4  |  Misconception: M4, M5  |  ข้อที่ 5–8</t>
        </is>
      </c>
      <c r="C86" s="378" t="n"/>
      <c r="D86" s="378" t="n"/>
      <c r="E86" s="378" t="n"/>
      <c r="F86" s="378" t="n"/>
      <c r="G86" s="378" t="n"/>
      <c r="H86" s="378" t="n"/>
      <c r="I86" s="378" t="n"/>
      <c r="J86" s="378" t="n"/>
      <c r="K86" s="378" t="n"/>
      <c r="L86" s="378" t="n"/>
      <c r="M86" s="378" t="n"/>
      <c r="N86" s="378" t="n"/>
      <c r="O86" s="378" t="n"/>
      <c r="P86" s="378" t="n"/>
      <c r="Q86" s="378" t="n"/>
      <c r="R86" s="378" t="n"/>
      <c r="S86" s="378" t="n"/>
      <c r="T86" s="378" t="n"/>
      <c r="U86" s="378" t="n"/>
      <c r="V86" s="378" t="n"/>
      <c r="W86" s="378" t="n"/>
      <c r="X86" s="378" t="n"/>
    </row>
    <row r="87" ht="15.75" customHeight="1">
      <c r="B87" s="237" t="inlineStr">
        <is>
          <t xml:space="preserve">   📍 M4: ความถี่ขึ้นกับตัวกลาง | M5: คลื่นดลต่างที่ความถี่</t>
        </is>
      </c>
    </row>
    <row r="88" ht="19.5" customHeight="1">
      <c r="B88" s="238" t="inlineStr">
        <is>
          <t>🔵 PRE-test — ก่อนสอน  (แผน 2 ข้อ 5–8)</t>
        </is>
      </c>
    </row>
    <row r="89" ht="27.75" customHeight="1">
      <c r="B89" s="39" t="inlineStr">
        <is>
          <t>ที่</t>
        </is>
      </c>
      <c r="C89" s="39" t="inlineStr">
        <is>
          <t>ชื่อนักเรียน</t>
        </is>
      </c>
      <c r="D89" s="239" t="inlineStr">
        <is>
          <t>ข้อ 5</t>
        </is>
      </c>
      <c r="E89" s="369" t="n"/>
      <c r="F89" s="369" t="n"/>
      <c r="G89" s="369" t="n"/>
      <c r="H89" s="239" t="inlineStr">
        <is>
          <t>ข้อ 6</t>
        </is>
      </c>
      <c r="I89" s="369" t="n"/>
      <c r="J89" s="369" t="n"/>
      <c r="K89" s="369" t="n"/>
      <c r="L89" s="239" t="inlineStr">
        <is>
          <t>ข้อ 7</t>
        </is>
      </c>
      <c r="M89" s="369" t="n"/>
      <c r="N89" s="369" t="n"/>
      <c r="O89" s="369" t="n"/>
      <c r="P89" s="239" t="inlineStr">
        <is>
          <t>ข้อ 8</t>
        </is>
      </c>
      <c r="Q89" s="369" t="n"/>
      <c r="R89" s="369" t="n"/>
      <c r="S89" s="369" t="n"/>
      <c r="T89" s="28" t="inlineStr">
        <is>
          <t>Sound
✅</t>
        </is>
      </c>
      <c r="U89" s="28" t="inlineStr">
        <is>
          <t>Misc
❌</t>
        </is>
      </c>
      <c r="V89" s="28" t="inlineStr">
        <is>
          <t>Guess
🎲</t>
        </is>
      </c>
      <c r="W89" s="28" t="inlineStr">
        <is>
          <t>NoK
❓</t>
        </is>
      </c>
      <c r="X89" s="28" t="inlineStr">
        <is>
          <t>% Misc
(Auto)</t>
        </is>
      </c>
    </row>
    <row r="90" ht="27.75" customHeight="1">
      <c r="B90" s="40" t="n"/>
      <c r="C90" s="41" t="inlineStr">
        <is>
          <t>← กรอกเฉลย T1 และ T3</t>
        </is>
      </c>
      <c r="D90" s="42" t="inlineStr">
        <is>
          <t>T1
(ก-ง)</t>
        </is>
      </c>
      <c r="E90" s="42" t="inlineStr">
        <is>
          <t>T2
(Y/N)</t>
        </is>
      </c>
      <c r="F90" s="42" t="inlineStr">
        <is>
          <t>T3
(ก-ง)</t>
        </is>
      </c>
      <c r="G90" s="42" t="inlineStr">
        <is>
          <t>T4
(Y/N)</t>
        </is>
      </c>
      <c r="H90" s="42" t="inlineStr">
        <is>
          <t>T1
(ก-ง)</t>
        </is>
      </c>
      <c r="I90" s="42" t="inlineStr">
        <is>
          <t>T2
(Y/N)</t>
        </is>
      </c>
      <c r="J90" s="42" t="inlineStr">
        <is>
          <t>T3
(ก-ง)</t>
        </is>
      </c>
      <c r="K90" s="42" t="inlineStr">
        <is>
          <t>T4
(Y/N)</t>
        </is>
      </c>
      <c r="L90" s="42" t="inlineStr">
        <is>
          <t>T1
(ก-ง)</t>
        </is>
      </c>
      <c r="M90" s="42" t="inlineStr">
        <is>
          <t>T2
(Y/N)</t>
        </is>
      </c>
      <c r="N90" s="42" t="inlineStr">
        <is>
          <t>T3
(ก-ง)</t>
        </is>
      </c>
      <c r="O90" s="42" t="inlineStr">
        <is>
          <t>T4
(Y/N)</t>
        </is>
      </c>
      <c r="P90" s="42" t="inlineStr">
        <is>
          <t>T1
(ก-ง)</t>
        </is>
      </c>
      <c r="Q90" s="42" t="inlineStr">
        <is>
          <t>T2
(Y/N)</t>
        </is>
      </c>
      <c r="R90" s="42" t="inlineStr">
        <is>
          <t>T3
(ก-ง)</t>
        </is>
      </c>
      <c r="S90" s="42" t="inlineStr">
        <is>
          <t>T4
(Y/N)</t>
        </is>
      </c>
      <c r="T90" s="43" t="inlineStr">
        <is>
          <t>—</t>
        </is>
      </c>
      <c r="U90" s="43" t="inlineStr">
        <is>
          <t>—</t>
        </is>
      </c>
      <c r="V90" s="43" t="inlineStr">
        <is>
          <t>—</t>
        </is>
      </c>
      <c r="W90" s="43" t="inlineStr">
        <is>
          <t>—</t>
        </is>
      </c>
      <c r="X90" s="43" t="inlineStr">
        <is>
          <t>—</t>
        </is>
      </c>
    </row>
    <row r="91" ht="18" customHeight="1">
      <c r="B91" s="44" t="inlineStr">
        <is>
          <t>KEY</t>
        </is>
      </c>
      <c r="C91" s="45" t="inlineStr">
        <is>
          <t>← กรอกเฉลยที่ถูกต้อง</t>
        </is>
      </c>
      <c r="D91" s="9" t="n"/>
      <c r="E91" s="21" t="inlineStr">
        <is>
          <t>—</t>
        </is>
      </c>
      <c r="F91" s="9" t="n"/>
      <c r="G91" s="21" t="inlineStr">
        <is>
          <t>—</t>
        </is>
      </c>
      <c r="H91" s="9" t="n"/>
      <c r="I91" s="21" t="inlineStr">
        <is>
          <t>—</t>
        </is>
      </c>
      <c r="J91" s="9" t="n"/>
      <c r="K91" s="21" t="inlineStr">
        <is>
          <t>—</t>
        </is>
      </c>
      <c r="L91" s="9" t="n"/>
      <c r="M91" s="21" t="inlineStr">
        <is>
          <t>—</t>
        </is>
      </c>
      <c r="N91" s="9" t="n"/>
      <c r="O91" s="21" t="inlineStr">
        <is>
          <t>—</t>
        </is>
      </c>
      <c r="P91" s="9" t="n"/>
      <c r="Q91" s="21" t="inlineStr">
        <is>
          <t>—</t>
        </is>
      </c>
      <c r="R91" s="9" t="n"/>
      <c r="S91" s="21" t="inlineStr">
        <is>
          <t>—</t>
        </is>
      </c>
      <c r="T91" s="21" t="inlineStr">
        <is>
          <t>—</t>
        </is>
      </c>
      <c r="U91" s="21" t="inlineStr">
        <is>
          <t>—</t>
        </is>
      </c>
      <c r="V91" s="21" t="inlineStr">
        <is>
          <t>—</t>
        </is>
      </c>
      <c r="W91" s="21" t="inlineStr">
        <is>
          <t>—</t>
        </is>
      </c>
      <c r="X91" s="21" t="inlineStr">
        <is>
          <t>—</t>
        </is>
      </c>
    </row>
    <row r="92" ht="18" customHeight="1">
      <c r="B92" s="46">
        <f>'📥 ข้อมูลนักเรียน'!B4</f>
        <v/>
      </c>
      <c r="C92" s="47">
        <f>'📥 ข้อมูลนักเรียน'!C4</f>
        <v/>
      </c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37">
        <f>IFERROR(SUMPRODUCT(((D92=D91)*(E92="Y")*(F92=F91)*(G92="Y")*(D92&lt;&gt;"")* (F92&lt;&gt;""))+((H92=H91)*(I92="Y")*(J92=J91)*(K92="Y")*(H92&lt;&gt;"")* (J92&lt;&gt;""))+((L92=L91)*(M92="Y")*(N92=N91)*(O92="Y")*(L92&lt;&gt;"")* (N92&lt;&gt;""))+((P92=P91)*(Q92="Y")*(R92=R91)*(S92="Y")*(P92&lt;&gt;"")* (R92&lt;&gt;""))),0)</f>
        <v/>
      </c>
      <c r="U92" s="49">
        <f>IFERROR(SUMPRODUCT(((D92&lt;&gt;D91)*(E92="Y")*(F92&lt;&gt;F91)*(G92="Y")*(D92&lt;&gt;"")* (F92&lt;&gt;""))+((H92&lt;&gt;H91)*(I92="Y")*(J92&lt;&gt;J91)*(K92="Y")*(H92&lt;&gt;"")* (J92&lt;&gt;""))+((L92&lt;&gt;L91)*(M92="Y")*(N92&lt;&gt;N91)*(O92="Y")*(L92&lt;&gt;"")* (N92&lt;&gt;""))+((P92&lt;&gt;P91)*(Q92="Y")*(R92&lt;&gt;R91)*(S92="Y")*(P92&lt;&gt;"")* (R92&lt;&gt;""))),0)</f>
        <v/>
      </c>
      <c r="V92" s="37">
        <f>IFERROR(SUMPRODUCT(((D92=D91)*(E92="Y")*(F92&lt;&gt;F91)*(G92="Y")*(D92&lt;&gt;"")* (F92&lt;&gt;""))+((H92=H91)*(I92="Y")*(J92&lt;&gt;J91)*(K92="Y")*(H92&lt;&gt;"")* (J92&lt;&gt;""))+((L92=L91)*(M92="Y")*(N92&lt;&gt;N91)*(O92="Y")*(L92&lt;&gt;"")* (N92&lt;&gt;""))+((P92=P91)*(Q92="Y")*(R92&lt;&gt;R91)*(S92="Y")*(P92&lt;&gt;"")* (R92&lt;&gt;""))),0)</f>
        <v/>
      </c>
      <c r="W92" s="37">
        <f>IFERROR(SUMPRODUCT(((E92="N")*(D92&lt;&gt;"")* (F92&lt;&gt;""))+((I92="N")*(H92&lt;&gt;"")* (J92&lt;&gt;""))+((M92="N")*(L92&lt;&gt;"")* (N92&lt;&gt;""))+((Q92="N")*(P92&lt;&gt;"")* (R92&lt;&gt;""))),0)</f>
        <v/>
      </c>
      <c r="X92" s="50">
        <f>IFERROR(U92/4,0)</f>
        <v/>
      </c>
    </row>
    <row r="93" ht="18" customHeight="1">
      <c r="B93" s="46">
        <f>'📥 ข้อมูลนักเรียน'!B5</f>
        <v/>
      </c>
      <c r="C93" s="51">
        <f>'📥 ข้อมูลนักเรียน'!C5</f>
        <v/>
      </c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37">
        <f>IFERROR(SUMPRODUCT(((D93=D91)*(E93="Y")*(F93=F91)*(G93="Y")*(D93&lt;&gt;"")* (F93&lt;&gt;""))+((H93=H91)*(I93="Y")*(J93=J91)*(K93="Y")*(H93&lt;&gt;"")* (J93&lt;&gt;""))+((L93=L91)*(M93="Y")*(N93=N91)*(O93="Y")*(L93&lt;&gt;"")* (N93&lt;&gt;""))+((P93=P91)*(Q93="Y")*(R93=R91)*(S93="Y")*(P93&lt;&gt;"")* (R93&lt;&gt;""))),0)</f>
        <v/>
      </c>
      <c r="U93" s="49">
        <f>IFERROR(SUMPRODUCT(((D93&lt;&gt;D91)*(E93="Y")*(F93&lt;&gt;F91)*(G93="Y")*(D93&lt;&gt;"")* (F93&lt;&gt;""))+((H93&lt;&gt;H91)*(I93="Y")*(J93&lt;&gt;J91)*(K93="Y")*(H93&lt;&gt;"")* (J93&lt;&gt;""))+((L93&lt;&gt;L91)*(M93="Y")*(N93&lt;&gt;N91)*(O93="Y")*(L93&lt;&gt;"")* (N93&lt;&gt;""))+((P93&lt;&gt;P91)*(Q93="Y")*(R93&lt;&gt;R91)*(S93="Y")*(P93&lt;&gt;"")* (R93&lt;&gt;""))),0)</f>
        <v/>
      </c>
      <c r="V93" s="37">
        <f>IFERROR(SUMPRODUCT(((D93=D91)*(E93="Y")*(F93&lt;&gt;F91)*(G93="Y")*(D93&lt;&gt;"")* (F93&lt;&gt;""))+((H93=H91)*(I93="Y")*(J93&lt;&gt;J91)*(K93="Y")*(H93&lt;&gt;"")* (J93&lt;&gt;""))+((L93=L91)*(M93="Y")*(N93&lt;&gt;N91)*(O93="Y")*(L93&lt;&gt;"")* (N93&lt;&gt;""))+((P93=P91)*(Q93="Y")*(R93&lt;&gt;R91)*(S93="Y")*(P93&lt;&gt;"")* (R93&lt;&gt;""))),0)</f>
        <v/>
      </c>
      <c r="W93" s="37">
        <f>IFERROR(SUMPRODUCT(((E93="N")*(D93&lt;&gt;"")* (F93&lt;&gt;""))+((I93="N")*(H93&lt;&gt;"")* (J93&lt;&gt;""))+((M93="N")*(L93&lt;&gt;"")* (N93&lt;&gt;""))+((Q93="N")*(P93&lt;&gt;"")* (R93&lt;&gt;""))),0)</f>
        <v/>
      </c>
      <c r="X93" s="50">
        <f>IFERROR(U93/4,0)</f>
        <v/>
      </c>
    </row>
    <row r="94" ht="18" customHeight="1">
      <c r="B94" s="46">
        <f>'📥 ข้อมูลนักเรียน'!B6</f>
        <v/>
      </c>
      <c r="C94" s="47">
        <f>'📥 ข้อมูลนักเรียน'!C6</f>
        <v/>
      </c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37">
        <f>IFERROR(SUMPRODUCT(((D94=D91)*(E94="Y")*(F94=F91)*(G94="Y")*(D94&lt;&gt;"")* (F94&lt;&gt;""))+((H94=H91)*(I94="Y")*(J94=J91)*(K94="Y")*(H94&lt;&gt;"")* (J94&lt;&gt;""))+((L94=L91)*(M94="Y")*(N94=N91)*(O94="Y")*(L94&lt;&gt;"")* (N94&lt;&gt;""))+((P94=P91)*(Q94="Y")*(R94=R91)*(S94="Y")*(P94&lt;&gt;"")* (R94&lt;&gt;""))),0)</f>
        <v/>
      </c>
      <c r="U94" s="49">
        <f>IFERROR(SUMPRODUCT(((D94&lt;&gt;D91)*(E94="Y")*(F94&lt;&gt;F91)*(G94="Y")*(D94&lt;&gt;"")* (F94&lt;&gt;""))+((H94&lt;&gt;H91)*(I94="Y")*(J94&lt;&gt;J91)*(K94="Y")*(H94&lt;&gt;"")* (J94&lt;&gt;""))+((L94&lt;&gt;L91)*(M94="Y")*(N94&lt;&gt;N91)*(O94="Y")*(L94&lt;&gt;"")* (N94&lt;&gt;""))+((P94&lt;&gt;P91)*(Q94="Y")*(R94&lt;&gt;R91)*(S94="Y")*(P94&lt;&gt;"")* (R94&lt;&gt;""))),0)</f>
        <v/>
      </c>
      <c r="V94" s="37">
        <f>IFERROR(SUMPRODUCT(((D94=D91)*(E94="Y")*(F94&lt;&gt;F91)*(G94="Y")*(D94&lt;&gt;"")* (F94&lt;&gt;""))+((H94=H91)*(I94="Y")*(J94&lt;&gt;J91)*(K94="Y")*(H94&lt;&gt;"")* (J94&lt;&gt;""))+((L94=L91)*(M94="Y")*(N94&lt;&gt;N91)*(O94="Y")*(L94&lt;&gt;"")* (N94&lt;&gt;""))+((P94=P91)*(Q94="Y")*(R94&lt;&gt;R91)*(S94="Y")*(P94&lt;&gt;"")* (R94&lt;&gt;""))),0)</f>
        <v/>
      </c>
      <c r="W94" s="37">
        <f>IFERROR(SUMPRODUCT(((E94="N")*(D94&lt;&gt;"")* (F94&lt;&gt;""))+((I94="N")*(H94&lt;&gt;"")* (J94&lt;&gt;""))+((M94="N")*(L94&lt;&gt;"")* (N94&lt;&gt;""))+((Q94="N")*(P94&lt;&gt;"")* (R94&lt;&gt;""))),0)</f>
        <v/>
      </c>
      <c r="X94" s="50">
        <f>IFERROR(U94/4,0)</f>
        <v/>
      </c>
    </row>
    <row r="95" ht="18" customHeight="1">
      <c r="B95" s="46">
        <f>'📥 ข้อมูลนักเรียน'!B7</f>
        <v/>
      </c>
      <c r="C95" s="51">
        <f>'📥 ข้อมูลนักเรียน'!C7</f>
        <v/>
      </c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37">
        <f>IFERROR(SUMPRODUCT(((D95=D91)*(E95="Y")*(F95=F91)*(G95="Y")*(D95&lt;&gt;"")* (F95&lt;&gt;""))+((H95=H91)*(I95="Y")*(J95=J91)*(K95="Y")*(H95&lt;&gt;"")* (J95&lt;&gt;""))+((L95=L91)*(M95="Y")*(N95=N91)*(O95="Y")*(L95&lt;&gt;"")* (N95&lt;&gt;""))+((P95=P91)*(Q95="Y")*(R95=R91)*(S95="Y")*(P95&lt;&gt;"")* (R95&lt;&gt;""))),0)</f>
        <v/>
      </c>
      <c r="U95" s="49">
        <f>IFERROR(SUMPRODUCT(((D95&lt;&gt;D91)*(E95="Y")*(F95&lt;&gt;F91)*(G95="Y")*(D95&lt;&gt;"")* (F95&lt;&gt;""))+((H95&lt;&gt;H91)*(I95="Y")*(J95&lt;&gt;J91)*(K95="Y")*(H95&lt;&gt;"")* (J95&lt;&gt;""))+((L95&lt;&gt;L91)*(M95="Y")*(N95&lt;&gt;N91)*(O95="Y")*(L95&lt;&gt;"")* (N95&lt;&gt;""))+((P95&lt;&gt;P91)*(Q95="Y")*(R95&lt;&gt;R91)*(S95="Y")*(P95&lt;&gt;"")* (R95&lt;&gt;""))),0)</f>
        <v/>
      </c>
      <c r="V95" s="37">
        <f>IFERROR(SUMPRODUCT(((D95=D91)*(E95="Y")*(F95&lt;&gt;F91)*(G95="Y")*(D95&lt;&gt;"")* (F95&lt;&gt;""))+((H95=H91)*(I95="Y")*(J95&lt;&gt;J91)*(K95="Y")*(H95&lt;&gt;"")* (J95&lt;&gt;""))+((L95=L91)*(M95="Y")*(N95&lt;&gt;N91)*(O95="Y")*(L95&lt;&gt;"")* (N95&lt;&gt;""))+((P95=P91)*(Q95="Y")*(R95&lt;&gt;R91)*(S95="Y")*(P95&lt;&gt;"")* (R95&lt;&gt;""))),0)</f>
        <v/>
      </c>
      <c r="W95" s="37">
        <f>IFERROR(SUMPRODUCT(((E95="N")*(D95&lt;&gt;"")* (F95&lt;&gt;""))+((I95="N")*(H95&lt;&gt;"")* (J95&lt;&gt;""))+((M95="N")*(L95&lt;&gt;"")* (N95&lt;&gt;""))+((Q95="N")*(P95&lt;&gt;"")* (R95&lt;&gt;""))),0)</f>
        <v/>
      </c>
      <c r="X95" s="50">
        <f>IFERROR(U95/4,0)</f>
        <v/>
      </c>
    </row>
    <row r="96" ht="18" customHeight="1">
      <c r="B96" s="46">
        <f>'📥 ข้อมูลนักเรียน'!B8</f>
        <v/>
      </c>
      <c r="C96" s="47">
        <f>'📥 ข้อมูลนักเรียน'!C8</f>
        <v/>
      </c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37">
        <f>IFERROR(SUMPRODUCT(((D96=D91)*(E96="Y")*(F96=F91)*(G96="Y")*(D96&lt;&gt;"")* (F96&lt;&gt;""))+((H96=H91)*(I96="Y")*(J96=J91)*(K96="Y")*(H96&lt;&gt;"")* (J96&lt;&gt;""))+((L96=L91)*(M96="Y")*(N96=N91)*(O96="Y")*(L96&lt;&gt;"")* (N96&lt;&gt;""))+((P96=P91)*(Q96="Y")*(R96=R91)*(S96="Y")*(P96&lt;&gt;"")* (R96&lt;&gt;""))),0)</f>
        <v/>
      </c>
      <c r="U96" s="49">
        <f>IFERROR(SUMPRODUCT(((D96&lt;&gt;D91)*(E96="Y")*(F96&lt;&gt;F91)*(G96="Y")*(D96&lt;&gt;"")* (F96&lt;&gt;""))+((H96&lt;&gt;H91)*(I96="Y")*(J96&lt;&gt;J91)*(K96="Y")*(H96&lt;&gt;"")* (J96&lt;&gt;""))+((L96&lt;&gt;L91)*(M96="Y")*(N96&lt;&gt;N91)*(O96="Y")*(L96&lt;&gt;"")* (N96&lt;&gt;""))+((P96&lt;&gt;P91)*(Q96="Y")*(R96&lt;&gt;R91)*(S96="Y")*(P96&lt;&gt;"")* (R96&lt;&gt;""))),0)</f>
        <v/>
      </c>
      <c r="V96" s="37">
        <f>IFERROR(SUMPRODUCT(((D96=D91)*(E96="Y")*(F96&lt;&gt;F91)*(G96="Y")*(D96&lt;&gt;"")* (F96&lt;&gt;""))+((H96=H91)*(I96="Y")*(J96&lt;&gt;J91)*(K96="Y")*(H96&lt;&gt;"")* (J96&lt;&gt;""))+((L96=L91)*(M96="Y")*(N96&lt;&gt;N91)*(O96="Y")*(L96&lt;&gt;"")* (N96&lt;&gt;""))+((P96=P91)*(Q96="Y")*(R96&lt;&gt;R91)*(S96="Y")*(P96&lt;&gt;"")* (R96&lt;&gt;""))),0)</f>
        <v/>
      </c>
      <c r="W96" s="37">
        <f>IFERROR(SUMPRODUCT(((E96="N")*(D96&lt;&gt;"")* (F96&lt;&gt;""))+((I96="N")*(H96&lt;&gt;"")* (J96&lt;&gt;""))+((M96="N")*(L96&lt;&gt;"")* (N96&lt;&gt;""))+((Q96="N")*(P96&lt;&gt;"")* (R96&lt;&gt;""))),0)</f>
        <v/>
      </c>
      <c r="X96" s="50">
        <f>IFERROR(U96/4,0)</f>
        <v/>
      </c>
    </row>
    <row r="97" ht="18" customHeight="1">
      <c r="B97" s="46">
        <f>'📥 ข้อมูลนักเรียน'!B9</f>
        <v/>
      </c>
      <c r="C97" s="51">
        <f>'📥 ข้อมูลนักเรียน'!C9</f>
        <v/>
      </c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37">
        <f>IFERROR(SUMPRODUCT(((D97=D91)*(E97="Y")*(F97=F91)*(G97="Y")*(D97&lt;&gt;"")* (F97&lt;&gt;""))+((H97=H91)*(I97="Y")*(J97=J91)*(K97="Y")*(H97&lt;&gt;"")* (J97&lt;&gt;""))+((L97=L91)*(M97="Y")*(N97=N91)*(O97="Y")*(L97&lt;&gt;"")* (N97&lt;&gt;""))+((P97=P91)*(Q97="Y")*(R97=R91)*(S97="Y")*(P97&lt;&gt;"")* (R97&lt;&gt;""))),0)</f>
        <v/>
      </c>
      <c r="U97" s="49">
        <f>IFERROR(SUMPRODUCT(((D97&lt;&gt;D91)*(E97="Y")*(F97&lt;&gt;F91)*(G97="Y")*(D97&lt;&gt;"")* (F97&lt;&gt;""))+((H97&lt;&gt;H91)*(I97="Y")*(J97&lt;&gt;J91)*(K97="Y")*(H97&lt;&gt;"")* (J97&lt;&gt;""))+((L97&lt;&gt;L91)*(M97="Y")*(N97&lt;&gt;N91)*(O97="Y")*(L97&lt;&gt;"")* (N97&lt;&gt;""))+((P97&lt;&gt;P91)*(Q97="Y")*(R97&lt;&gt;R91)*(S97="Y")*(P97&lt;&gt;"")* (R97&lt;&gt;""))),0)</f>
        <v/>
      </c>
      <c r="V97" s="37">
        <f>IFERROR(SUMPRODUCT(((D97=D91)*(E97="Y")*(F97&lt;&gt;F91)*(G97="Y")*(D97&lt;&gt;"")* (F97&lt;&gt;""))+((H97=H91)*(I97="Y")*(J97&lt;&gt;J91)*(K97="Y")*(H97&lt;&gt;"")* (J97&lt;&gt;""))+((L97=L91)*(M97="Y")*(N97&lt;&gt;N91)*(O97="Y")*(L97&lt;&gt;"")* (N97&lt;&gt;""))+((P97=P91)*(Q97="Y")*(R97&lt;&gt;R91)*(S97="Y")*(P97&lt;&gt;"")* (R97&lt;&gt;""))),0)</f>
        <v/>
      </c>
      <c r="W97" s="37">
        <f>IFERROR(SUMPRODUCT(((E97="N")*(D97&lt;&gt;"")* (F97&lt;&gt;""))+((I97="N")*(H97&lt;&gt;"")* (J97&lt;&gt;""))+((M97="N")*(L97&lt;&gt;"")* (N97&lt;&gt;""))+((Q97="N")*(P97&lt;&gt;"")* (R97&lt;&gt;""))),0)</f>
        <v/>
      </c>
      <c r="X97" s="50">
        <f>IFERROR(U97/4,0)</f>
        <v/>
      </c>
    </row>
    <row r="98" ht="18" customHeight="1">
      <c r="B98" s="46">
        <f>'📥 ข้อมูลนักเรียน'!B10</f>
        <v/>
      </c>
      <c r="C98" s="47">
        <f>'📥 ข้อมูลนักเรียน'!C10</f>
        <v/>
      </c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37">
        <f>IFERROR(SUMPRODUCT(((D98=D91)*(E98="Y")*(F98=F91)*(G98="Y")*(D98&lt;&gt;"")* (F98&lt;&gt;""))+((H98=H91)*(I98="Y")*(J98=J91)*(K98="Y")*(H98&lt;&gt;"")* (J98&lt;&gt;""))+((L98=L91)*(M98="Y")*(N98=N91)*(O98="Y")*(L98&lt;&gt;"")* (N98&lt;&gt;""))+((P98=P91)*(Q98="Y")*(R98=R91)*(S98="Y")*(P98&lt;&gt;"")* (R98&lt;&gt;""))),0)</f>
        <v/>
      </c>
      <c r="U98" s="49">
        <f>IFERROR(SUMPRODUCT(((D98&lt;&gt;D91)*(E98="Y")*(F98&lt;&gt;F91)*(G98="Y")*(D98&lt;&gt;"")* (F98&lt;&gt;""))+((H98&lt;&gt;H91)*(I98="Y")*(J98&lt;&gt;J91)*(K98="Y")*(H98&lt;&gt;"")* (J98&lt;&gt;""))+((L98&lt;&gt;L91)*(M98="Y")*(N98&lt;&gt;N91)*(O98="Y")*(L98&lt;&gt;"")* (N98&lt;&gt;""))+((P98&lt;&gt;P91)*(Q98="Y")*(R98&lt;&gt;R91)*(S98="Y")*(P98&lt;&gt;"")* (R98&lt;&gt;""))),0)</f>
        <v/>
      </c>
      <c r="V98" s="37">
        <f>IFERROR(SUMPRODUCT(((D98=D91)*(E98="Y")*(F98&lt;&gt;F91)*(G98="Y")*(D98&lt;&gt;"")* (F98&lt;&gt;""))+((H98=H91)*(I98="Y")*(J98&lt;&gt;J91)*(K98="Y")*(H98&lt;&gt;"")* (J98&lt;&gt;""))+((L98=L91)*(M98="Y")*(N98&lt;&gt;N91)*(O98="Y")*(L98&lt;&gt;"")* (N98&lt;&gt;""))+((P98=P91)*(Q98="Y")*(R98&lt;&gt;R91)*(S98="Y")*(P98&lt;&gt;"")* (R98&lt;&gt;""))),0)</f>
        <v/>
      </c>
      <c r="W98" s="37">
        <f>IFERROR(SUMPRODUCT(((E98="N")*(D98&lt;&gt;"")* (F98&lt;&gt;""))+((I98="N")*(H98&lt;&gt;"")* (J98&lt;&gt;""))+((M98="N")*(L98&lt;&gt;"")* (N98&lt;&gt;""))+((Q98="N")*(P98&lt;&gt;"")* (R98&lt;&gt;""))),0)</f>
        <v/>
      </c>
      <c r="X98" s="50">
        <f>IFERROR(U98/4,0)</f>
        <v/>
      </c>
    </row>
    <row r="99" ht="18" customHeight="1">
      <c r="B99" s="46">
        <f>'📥 ข้อมูลนักเรียน'!B11</f>
        <v/>
      </c>
      <c r="C99" s="51">
        <f>'📥 ข้อมูลนักเรียน'!C11</f>
        <v/>
      </c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37">
        <f>IFERROR(SUMPRODUCT(((D99=D91)*(E99="Y")*(F99=F91)*(G99="Y")*(D99&lt;&gt;"")* (F99&lt;&gt;""))+((H99=H91)*(I99="Y")*(J99=J91)*(K99="Y")*(H99&lt;&gt;"")* (J99&lt;&gt;""))+((L99=L91)*(M99="Y")*(N99=N91)*(O99="Y")*(L99&lt;&gt;"")* (N99&lt;&gt;""))+((P99=P91)*(Q99="Y")*(R99=R91)*(S99="Y")*(P99&lt;&gt;"")* (R99&lt;&gt;""))),0)</f>
        <v/>
      </c>
      <c r="U99" s="49">
        <f>IFERROR(SUMPRODUCT(((D99&lt;&gt;D91)*(E99="Y")*(F99&lt;&gt;F91)*(G99="Y")*(D99&lt;&gt;"")* (F99&lt;&gt;""))+((H99&lt;&gt;H91)*(I99="Y")*(J99&lt;&gt;J91)*(K99="Y")*(H99&lt;&gt;"")* (J99&lt;&gt;""))+((L99&lt;&gt;L91)*(M99="Y")*(N99&lt;&gt;N91)*(O99="Y")*(L99&lt;&gt;"")* (N99&lt;&gt;""))+((P99&lt;&gt;P91)*(Q99="Y")*(R99&lt;&gt;R91)*(S99="Y")*(P99&lt;&gt;"")* (R99&lt;&gt;""))),0)</f>
        <v/>
      </c>
      <c r="V99" s="37">
        <f>IFERROR(SUMPRODUCT(((D99=D91)*(E99="Y")*(F99&lt;&gt;F91)*(G99="Y")*(D99&lt;&gt;"")* (F99&lt;&gt;""))+((H99=H91)*(I99="Y")*(J99&lt;&gt;J91)*(K99="Y")*(H99&lt;&gt;"")* (J99&lt;&gt;""))+((L99=L91)*(M99="Y")*(N99&lt;&gt;N91)*(O99="Y")*(L99&lt;&gt;"")* (N99&lt;&gt;""))+((P99=P91)*(Q99="Y")*(R99&lt;&gt;R91)*(S99="Y")*(P99&lt;&gt;"")* (R99&lt;&gt;""))),0)</f>
        <v/>
      </c>
      <c r="W99" s="37">
        <f>IFERROR(SUMPRODUCT(((E99="N")*(D99&lt;&gt;"")* (F99&lt;&gt;""))+((I99="N")*(H99&lt;&gt;"")* (J99&lt;&gt;""))+((M99="N")*(L99&lt;&gt;"")* (N99&lt;&gt;""))+((Q99="N")*(P99&lt;&gt;"")* (R99&lt;&gt;""))),0)</f>
        <v/>
      </c>
      <c r="X99" s="50">
        <f>IFERROR(U99/4,0)</f>
        <v/>
      </c>
    </row>
    <row r="100" ht="18" customHeight="1">
      <c r="B100" s="46">
        <f>'📥 ข้อมูลนักเรียน'!B12</f>
        <v/>
      </c>
      <c r="C100" s="47">
        <f>'📥 ข้อมูลนักเรียน'!C12</f>
        <v/>
      </c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37">
        <f>IFERROR(SUMPRODUCT(((D100=D91)*(E100="Y")*(F100=F91)*(G100="Y")*(D100&lt;&gt;"")* (F100&lt;&gt;""))+((H100=H91)*(I100="Y")*(J100=J91)*(K100="Y")*(H100&lt;&gt;"")* (J100&lt;&gt;""))+((L100=L91)*(M100="Y")*(N100=N91)*(O100="Y")*(L100&lt;&gt;"")* (N100&lt;&gt;""))+((P100=P91)*(Q100="Y")*(R100=R91)*(S100="Y")*(P100&lt;&gt;"")* (R100&lt;&gt;""))),0)</f>
        <v/>
      </c>
      <c r="U100" s="49">
        <f>IFERROR(SUMPRODUCT(((D100&lt;&gt;D91)*(E100="Y")*(F100&lt;&gt;F91)*(G100="Y")*(D100&lt;&gt;"")* (F100&lt;&gt;""))+((H100&lt;&gt;H91)*(I100="Y")*(J100&lt;&gt;J91)*(K100="Y")*(H100&lt;&gt;"")* (J100&lt;&gt;""))+((L100&lt;&gt;L91)*(M100="Y")*(N100&lt;&gt;N91)*(O100="Y")*(L100&lt;&gt;"")* (N100&lt;&gt;""))+((P100&lt;&gt;P91)*(Q100="Y")*(R100&lt;&gt;R91)*(S100="Y")*(P100&lt;&gt;"")* (R100&lt;&gt;""))),0)</f>
        <v/>
      </c>
      <c r="V100" s="37">
        <f>IFERROR(SUMPRODUCT(((D100=D91)*(E100="Y")*(F100&lt;&gt;F91)*(G100="Y")*(D100&lt;&gt;"")* (F100&lt;&gt;""))+((H100=H91)*(I100="Y")*(J100&lt;&gt;J91)*(K100="Y")*(H100&lt;&gt;"")* (J100&lt;&gt;""))+((L100=L91)*(M100="Y")*(N100&lt;&gt;N91)*(O100="Y")*(L100&lt;&gt;"")* (N100&lt;&gt;""))+((P100=P91)*(Q100="Y")*(R100&lt;&gt;R91)*(S100="Y")*(P100&lt;&gt;"")* (R100&lt;&gt;""))),0)</f>
        <v/>
      </c>
      <c r="W100" s="37">
        <f>IFERROR(SUMPRODUCT(((E100="N")*(D100&lt;&gt;"")* (F100&lt;&gt;""))+((I100="N")*(H100&lt;&gt;"")* (J100&lt;&gt;""))+((M100="N")*(L100&lt;&gt;"")* (N100&lt;&gt;""))+((Q100="N")*(P100&lt;&gt;"")* (R100&lt;&gt;""))),0)</f>
        <v/>
      </c>
      <c r="X100" s="50">
        <f>IFERROR(U100/4,0)</f>
        <v/>
      </c>
    </row>
    <row r="101" ht="18" customHeight="1">
      <c r="B101" s="46">
        <f>'📥 ข้อมูลนักเรียน'!B13</f>
        <v/>
      </c>
      <c r="C101" s="51">
        <f>'📥 ข้อมูลนักเรียน'!C13</f>
        <v/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37">
        <f>IFERROR(SUMPRODUCT(((D101=D91)*(E101="Y")*(F101=F91)*(G101="Y")*(D101&lt;&gt;"")* (F101&lt;&gt;""))+((H101=H91)*(I101="Y")*(J101=J91)*(K101="Y")*(H101&lt;&gt;"")* (J101&lt;&gt;""))+((L101=L91)*(M101="Y")*(N101=N91)*(O101="Y")*(L101&lt;&gt;"")* (N101&lt;&gt;""))+((P101=P91)*(Q101="Y")*(R101=R91)*(S101="Y")*(P101&lt;&gt;"")* (R101&lt;&gt;""))),0)</f>
        <v/>
      </c>
      <c r="U101" s="49">
        <f>IFERROR(SUMPRODUCT(((D101&lt;&gt;D91)*(E101="Y")*(F101&lt;&gt;F91)*(G101="Y")*(D101&lt;&gt;"")* (F101&lt;&gt;""))+((H101&lt;&gt;H91)*(I101="Y")*(J101&lt;&gt;J91)*(K101="Y")*(H101&lt;&gt;"")* (J101&lt;&gt;""))+((L101&lt;&gt;L91)*(M101="Y")*(N101&lt;&gt;N91)*(O101="Y")*(L101&lt;&gt;"")* (N101&lt;&gt;""))+((P101&lt;&gt;P91)*(Q101="Y")*(R101&lt;&gt;R91)*(S101="Y")*(P101&lt;&gt;"")* (R101&lt;&gt;""))),0)</f>
        <v/>
      </c>
      <c r="V101" s="37">
        <f>IFERROR(SUMPRODUCT(((D101=D91)*(E101="Y")*(F101&lt;&gt;F91)*(G101="Y")*(D101&lt;&gt;"")* (F101&lt;&gt;""))+((H101=H91)*(I101="Y")*(J101&lt;&gt;J91)*(K101="Y")*(H101&lt;&gt;"")* (J101&lt;&gt;""))+((L101=L91)*(M101="Y")*(N101&lt;&gt;N91)*(O101="Y")*(L101&lt;&gt;"")* (N101&lt;&gt;""))+((P101=P91)*(Q101="Y")*(R101&lt;&gt;R91)*(S101="Y")*(P101&lt;&gt;"")* (R101&lt;&gt;""))),0)</f>
        <v/>
      </c>
      <c r="W101" s="37">
        <f>IFERROR(SUMPRODUCT(((E101="N")*(D101&lt;&gt;"")* (F101&lt;&gt;""))+((I101="N")*(H101&lt;&gt;"")* (J101&lt;&gt;""))+((M101="N")*(L101&lt;&gt;"")* (N101&lt;&gt;""))+((Q101="N")*(P101&lt;&gt;"")* (R101&lt;&gt;""))),0)</f>
        <v/>
      </c>
      <c r="X101" s="50">
        <f>IFERROR(U101/4,0)</f>
        <v/>
      </c>
    </row>
    <row r="102" ht="18" customHeight="1">
      <c r="B102" s="46">
        <f>'📥 ข้อมูลนักเรียน'!B14</f>
        <v/>
      </c>
      <c r="C102" s="47">
        <f>'📥 ข้อมูลนักเรียน'!C14</f>
        <v/>
      </c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37">
        <f>IFERROR(SUMPRODUCT(((D102=D91)*(E102="Y")*(F102=F91)*(G102="Y")*(D102&lt;&gt;"")* (F102&lt;&gt;""))+((H102=H91)*(I102="Y")*(J102=J91)*(K102="Y")*(H102&lt;&gt;"")* (J102&lt;&gt;""))+((L102=L91)*(M102="Y")*(N102=N91)*(O102="Y")*(L102&lt;&gt;"")* (N102&lt;&gt;""))+((P102=P91)*(Q102="Y")*(R102=R91)*(S102="Y")*(P102&lt;&gt;"")* (R102&lt;&gt;""))),0)</f>
        <v/>
      </c>
      <c r="U102" s="49">
        <f>IFERROR(SUMPRODUCT(((D102&lt;&gt;D91)*(E102="Y")*(F102&lt;&gt;F91)*(G102="Y")*(D102&lt;&gt;"")* (F102&lt;&gt;""))+((H102&lt;&gt;H91)*(I102="Y")*(J102&lt;&gt;J91)*(K102="Y")*(H102&lt;&gt;"")* (J102&lt;&gt;""))+((L102&lt;&gt;L91)*(M102="Y")*(N102&lt;&gt;N91)*(O102="Y")*(L102&lt;&gt;"")* (N102&lt;&gt;""))+((P102&lt;&gt;P91)*(Q102="Y")*(R102&lt;&gt;R91)*(S102="Y")*(P102&lt;&gt;"")* (R102&lt;&gt;""))),0)</f>
        <v/>
      </c>
      <c r="V102" s="37">
        <f>IFERROR(SUMPRODUCT(((D102=D91)*(E102="Y")*(F102&lt;&gt;F91)*(G102="Y")*(D102&lt;&gt;"")* (F102&lt;&gt;""))+((H102=H91)*(I102="Y")*(J102&lt;&gt;J91)*(K102="Y")*(H102&lt;&gt;"")* (J102&lt;&gt;""))+((L102=L91)*(M102="Y")*(N102&lt;&gt;N91)*(O102="Y")*(L102&lt;&gt;"")* (N102&lt;&gt;""))+((P102=P91)*(Q102="Y")*(R102&lt;&gt;R91)*(S102="Y")*(P102&lt;&gt;"")* (R102&lt;&gt;""))),0)</f>
        <v/>
      </c>
      <c r="W102" s="37">
        <f>IFERROR(SUMPRODUCT(((E102="N")*(D102&lt;&gt;"")* (F102&lt;&gt;""))+((I102="N")*(H102&lt;&gt;"")* (J102&lt;&gt;""))+((M102="N")*(L102&lt;&gt;"")* (N102&lt;&gt;""))+((Q102="N")*(P102&lt;&gt;"")* (R102&lt;&gt;""))),0)</f>
        <v/>
      </c>
      <c r="X102" s="50">
        <f>IFERROR(U102/4,0)</f>
        <v/>
      </c>
    </row>
    <row r="103" ht="18" customHeight="1">
      <c r="B103" s="46">
        <f>'📥 ข้อมูลนักเรียน'!B15</f>
        <v/>
      </c>
      <c r="C103" s="51">
        <f>'📥 ข้อมูลนักเรียน'!C15</f>
        <v/>
      </c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37">
        <f>IFERROR(SUMPRODUCT(((D103=D91)*(E103="Y")*(F103=F91)*(G103="Y")*(D103&lt;&gt;"")* (F103&lt;&gt;""))+((H103=H91)*(I103="Y")*(J103=J91)*(K103="Y")*(H103&lt;&gt;"")* (J103&lt;&gt;""))+((L103=L91)*(M103="Y")*(N103=N91)*(O103="Y")*(L103&lt;&gt;"")* (N103&lt;&gt;""))+((P103=P91)*(Q103="Y")*(R103=R91)*(S103="Y")*(P103&lt;&gt;"")* (R103&lt;&gt;""))),0)</f>
        <v/>
      </c>
      <c r="U103" s="49">
        <f>IFERROR(SUMPRODUCT(((D103&lt;&gt;D91)*(E103="Y")*(F103&lt;&gt;F91)*(G103="Y")*(D103&lt;&gt;"")* (F103&lt;&gt;""))+((H103&lt;&gt;H91)*(I103="Y")*(J103&lt;&gt;J91)*(K103="Y")*(H103&lt;&gt;"")* (J103&lt;&gt;""))+((L103&lt;&gt;L91)*(M103="Y")*(N103&lt;&gt;N91)*(O103="Y")*(L103&lt;&gt;"")* (N103&lt;&gt;""))+((P103&lt;&gt;P91)*(Q103="Y")*(R103&lt;&gt;R91)*(S103="Y")*(P103&lt;&gt;"")* (R103&lt;&gt;""))),0)</f>
        <v/>
      </c>
      <c r="V103" s="37">
        <f>IFERROR(SUMPRODUCT(((D103=D91)*(E103="Y")*(F103&lt;&gt;F91)*(G103="Y")*(D103&lt;&gt;"")* (F103&lt;&gt;""))+((H103=H91)*(I103="Y")*(J103&lt;&gt;J91)*(K103="Y")*(H103&lt;&gt;"")* (J103&lt;&gt;""))+((L103=L91)*(M103="Y")*(N103&lt;&gt;N91)*(O103="Y")*(L103&lt;&gt;"")* (N103&lt;&gt;""))+((P103=P91)*(Q103="Y")*(R103&lt;&gt;R91)*(S103="Y")*(P103&lt;&gt;"")* (R103&lt;&gt;""))),0)</f>
        <v/>
      </c>
      <c r="W103" s="37">
        <f>IFERROR(SUMPRODUCT(((E103="N")*(D103&lt;&gt;"")* (F103&lt;&gt;""))+((I103="N")*(H103&lt;&gt;"")* (J103&lt;&gt;""))+((M103="N")*(L103&lt;&gt;"")* (N103&lt;&gt;""))+((Q103="N")*(P103&lt;&gt;"")* (R103&lt;&gt;""))),0)</f>
        <v/>
      </c>
      <c r="X103" s="50">
        <f>IFERROR(U103/4,0)</f>
        <v/>
      </c>
    </row>
    <row r="104" ht="18" customHeight="1">
      <c r="B104" s="46">
        <f>'📥 ข้อมูลนักเรียน'!B16</f>
        <v/>
      </c>
      <c r="C104" s="47">
        <f>'📥 ข้อมูลนักเรียน'!C16</f>
        <v/>
      </c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37">
        <f>IFERROR(SUMPRODUCT(((D104=D91)*(E104="Y")*(F104=F91)*(G104="Y")*(D104&lt;&gt;"")* (F104&lt;&gt;""))+((H104=H91)*(I104="Y")*(J104=J91)*(K104="Y")*(H104&lt;&gt;"")* (J104&lt;&gt;""))+((L104=L91)*(M104="Y")*(N104=N91)*(O104="Y")*(L104&lt;&gt;"")* (N104&lt;&gt;""))+((P104=P91)*(Q104="Y")*(R104=R91)*(S104="Y")*(P104&lt;&gt;"")* (R104&lt;&gt;""))),0)</f>
        <v/>
      </c>
      <c r="U104" s="49">
        <f>IFERROR(SUMPRODUCT(((D104&lt;&gt;D91)*(E104="Y")*(F104&lt;&gt;F91)*(G104="Y")*(D104&lt;&gt;"")* (F104&lt;&gt;""))+((H104&lt;&gt;H91)*(I104="Y")*(J104&lt;&gt;J91)*(K104="Y")*(H104&lt;&gt;"")* (J104&lt;&gt;""))+((L104&lt;&gt;L91)*(M104="Y")*(N104&lt;&gt;N91)*(O104="Y")*(L104&lt;&gt;"")* (N104&lt;&gt;""))+((P104&lt;&gt;P91)*(Q104="Y")*(R104&lt;&gt;R91)*(S104="Y")*(P104&lt;&gt;"")* (R104&lt;&gt;""))),0)</f>
        <v/>
      </c>
      <c r="V104" s="37">
        <f>IFERROR(SUMPRODUCT(((D104=D91)*(E104="Y")*(F104&lt;&gt;F91)*(G104="Y")*(D104&lt;&gt;"")* (F104&lt;&gt;""))+((H104=H91)*(I104="Y")*(J104&lt;&gt;J91)*(K104="Y")*(H104&lt;&gt;"")* (J104&lt;&gt;""))+((L104=L91)*(M104="Y")*(N104&lt;&gt;N91)*(O104="Y")*(L104&lt;&gt;"")* (N104&lt;&gt;""))+((P104=P91)*(Q104="Y")*(R104&lt;&gt;R91)*(S104="Y")*(P104&lt;&gt;"")* (R104&lt;&gt;""))),0)</f>
        <v/>
      </c>
      <c r="W104" s="37">
        <f>IFERROR(SUMPRODUCT(((E104="N")*(D104&lt;&gt;"")* (F104&lt;&gt;""))+((I104="N")*(H104&lt;&gt;"")* (J104&lt;&gt;""))+((M104="N")*(L104&lt;&gt;"")* (N104&lt;&gt;""))+((Q104="N")*(P104&lt;&gt;"")* (R104&lt;&gt;""))),0)</f>
        <v/>
      </c>
      <c r="X104" s="50">
        <f>IFERROR(U104/4,0)</f>
        <v/>
      </c>
    </row>
    <row r="105" ht="18" customHeight="1">
      <c r="B105" s="46">
        <f>'📥 ข้อมูลนักเรียน'!B17</f>
        <v/>
      </c>
      <c r="C105" s="51">
        <f>'📥 ข้อมูลนักเรียน'!C17</f>
        <v/>
      </c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37">
        <f>IFERROR(SUMPRODUCT(((D105=D91)*(E105="Y")*(F105=F91)*(G105="Y")*(D105&lt;&gt;"")* (F105&lt;&gt;""))+((H105=H91)*(I105="Y")*(J105=J91)*(K105="Y")*(H105&lt;&gt;"")* (J105&lt;&gt;""))+((L105=L91)*(M105="Y")*(N105=N91)*(O105="Y")*(L105&lt;&gt;"")* (N105&lt;&gt;""))+((P105=P91)*(Q105="Y")*(R105=R91)*(S105="Y")*(P105&lt;&gt;"")* (R105&lt;&gt;""))),0)</f>
        <v/>
      </c>
      <c r="U105" s="49">
        <f>IFERROR(SUMPRODUCT(((D105&lt;&gt;D91)*(E105="Y")*(F105&lt;&gt;F91)*(G105="Y")*(D105&lt;&gt;"")* (F105&lt;&gt;""))+((H105&lt;&gt;H91)*(I105="Y")*(J105&lt;&gt;J91)*(K105="Y")*(H105&lt;&gt;"")* (J105&lt;&gt;""))+((L105&lt;&gt;L91)*(M105="Y")*(N105&lt;&gt;N91)*(O105="Y")*(L105&lt;&gt;"")* (N105&lt;&gt;""))+((P105&lt;&gt;P91)*(Q105="Y")*(R105&lt;&gt;R91)*(S105="Y")*(P105&lt;&gt;"")* (R105&lt;&gt;""))),0)</f>
        <v/>
      </c>
      <c r="V105" s="37">
        <f>IFERROR(SUMPRODUCT(((D105=D91)*(E105="Y")*(F105&lt;&gt;F91)*(G105="Y")*(D105&lt;&gt;"")* (F105&lt;&gt;""))+((H105=H91)*(I105="Y")*(J105&lt;&gt;J91)*(K105="Y")*(H105&lt;&gt;"")* (J105&lt;&gt;""))+((L105=L91)*(M105="Y")*(N105&lt;&gt;N91)*(O105="Y")*(L105&lt;&gt;"")* (N105&lt;&gt;""))+((P105=P91)*(Q105="Y")*(R105&lt;&gt;R91)*(S105="Y")*(P105&lt;&gt;"")* (R105&lt;&gt;""))),0)</f>
        <v/>
      </c>
      <c r="W105" s="37">
        <f>IFERROR(SUMPRODUCT(((E105="N")*(D105&lt;&gt;"")* (F105&lt;&gt;""))+((I105="N")*(H105&lt;&gt;"")* (J105&lt;&gt;""))+((M105="N")*(L105&lt;&gt;"")* (N105&lt;&gt;""))+((Q105="N")*(P105&lt;&gt;"")* (R105&lt;&gt;""))),0)</f>
        <v/>
      </c>
      <c r="X105" s="50">
        <f>IFERROR(U105/4,0)</f>
        <v/>
      </c>
    </row>
    <row r="106" ht="18" customHeight="1">
      <c r="B106" s="46">
        <f>'📥 ข้อมูลนักเรียน'!B18</f>
        <v/>
      </c>
      <c r="C106" s="47">
        <f>'📥 ข้อมูลนักเรียน'!C18</f>
        <v/>
      </c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37">
        <f>IFERROR(SUMPRODUCT(((D106=D91)*(E106="Y")*(F106=F91)*(G106="Y")*(D106&lt;&gt;"")*(F106&lt;&gt;""))+((H106=H91)*(I106="Y")*(J106=J91)*(K106="Y")*(H106&lt;&gt;"")*(J106&lt;&gt;""))+((L106=L91)*(M106="Y")*(N106=N91)*(O106="Y")*(L106&lt;&gt;"")*(N106&lt;&gt;""))+((P106=P91)*(Q106="Y")*(R106=R91)*(S106="Y")*(P106&lt;&gt;"")*(R106&lt;&gt;""))),0)</f>
        <v/>
      </c>
      <c r="U106" s="49">
        <f>IFERROR(SUMPRODUCT(((D106&lt;&gt;D91)*(E106="Y")*(F106&lt;&gt;F91)*(G106="Y")*(D106&lt;&gt;"")*(F106&lt;&gt;""))+((H106&lt;&gt;H91)*(I106="Y")*(J106&lt;&gt;J91)*(K106="Y")*(H106&lt;&gt;"")*(J106&lt;&gt;""))+((L106&lt;&gt;L91)*(M106="Y")*(N106&lt;&gt;N91)*(O106="Y")*(L106&lt;&gt;"")*(N106&lt;&gt;""))+((P106&lt;&gt;P91)*(Q106="Y")*(R106&lt;&gt;R91)*(S106="Y")*(P106&lt;&gt;"")*(R106&lt;&gt;""))),0)</f>
        <v/>
      </c>
      <c r="V106" s="37">
        <f>IFERROR(SUMPRODUCT(((D106=D91)*(E106="Y")*(F106&lt;&gt;F91)*(G106="Y")*(D106&lt;&gt;"")*(F106&lt;&gt;""))+((H106=H91)*(I106="Y")*(J106&lt;&gt;J91)*(K106="Y")*(H106&lt;&gt;"")*(J106&lt;&gt;""))+((L106=L91)*(M106="Y")*(N106&lt;&gt;N91)*(O106="Y")*(L106&lt;&gt;"")*(N106&lt;&gt;""))+((P106=P91)*(Q106="Y")*(R106&lt;&gt;R91)*(S106="Y")*(P106&lt;&gt;"")*(R106&lt;&gt;""))),0)</f>
        <v/>
      </c>
      <c r="W106" s="37">
        <f>IFERROR(SUMPRODUCT(((E106="N")*(D106&lt;&gt;"")*(F106&lt;&gt;""))+((I106="N")*(H106&lt;&gt;"")*(J106&lt;&gt;""))+((M106="N")*(L106&lt;&gt;"")*(N106&lt;&gt;""))+((Q106="N")*(P106&lt;&gt;"")*(R106&lt;&gt;""))),0)</f>
        <v/>
      </c>
      <c r="X106" s="50">
        <f>IFERROR(U106/4,0)</f>
        <v/>
      </c>
    </row>
    <row r="107" ht="18" customHeight="1">
      <c r="B107" s="46">
        <f>'📥 ข้อมูลนักเรียน'!B19</f>
        <v/>
      </c>
      <c r="C107" s="51">
        <f>'📥 ข้อมูลนักเรียน'!C19</f>
        <v/>
      </c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37">
        <f>IFERROR(SUMPRODUCT(((D107=D91)*(E107="Y")*(F107=F91)*(G107="Y")*(D107&lt;&gt;"")*(F107&lt;&gt;""))+((H107=H91)*(I107="Y")*(J107=J91)*(K107="Y")*(H107&lt;&gt;"")*(J107&lt;&gt;""))+((L107=L91)*(M107="Y")*(N107=N91)*(O107="Y")*(L107&lt;&gt;"")*(N107&lt;&gt;""))+((P107=P91)*(Q107="Y")*(R107=R91)*(S107="Y")*(P107&lt;&gt;"")*(R107&lt;&gt;""))),0)</f>
        <v/>
      </c>
      <c r="U107" s="49">
        <f>IFERROR(SUMPRODUCT(((D107&lt;&gt;D91)*(E107="Y")*(F107&lt;&gt;F91)*(G107="Y")*(D107&lt;&gt;"")*(F107&lt;&gt;""))+((H107&lt;&gt;H91)*(I107="Y")*(J107&lt;&gt;J91)*(K107="Y")*(H107&lt;&gt;"")*(J107&lt;&gt;""))+((L107&lt;&gt;L91)*(M107="Y")*(N107&lt;&gt;N91)*(O107="Y")*(L107&lt;&gt;"")*(N107&lt;&gt;""))+((P107&lt;&gt;P91)*(Q107="Y")*(R107&lt;&gt;R91)*(S107="Y")*(P107&lt;&gt;"")*(R107&lt;&gt;""))),0)</f>
        <v/>
      </c>
      <c r="V107" s="37">
        <f>IFERROR(SUMPRODUCT(((D107=D91)*(E107="Y")*(F107&lt;&gt;F91)*(G107="Y")*(D107&lt;&gt;"")*(F107&lt;&gt;""))+((H107=H91)*(I107="Y")*(J107&lt;&gt;J91)*(K107="Y")*(H107&lt;&gt;"")*(J107&lt;&gt;""))+((L107=L91)*(M107="Y")*(N107&lt;&gt;N91)*(O107="Y")*(L107&lt;&gt;"")*(N107&lt;&gt;""))+((P107=P91)*(Q107="Y")*(R107&lt;&gt;R91)*(S107="Y")*(P107&lt;&gt;"")*(R107&lt;&gt;""))),0)</f>
        <v/>
      </c>
      <c r="W107" s="37">
        <f>IFERROR(SUMPRODUCT(((E107="N")*(D107&lt;&gt;"")*(F107&lt;&gt;""))+((I107="N")*(H107&lt;&gt;"")*(J107&lt;&gt;""))+((M107="N")*(L107&lt;&gt;"")*(N107&lt;&gt;""))+((Q107="N")*(P107&lt;&gt;"")*(R107&lt;&gt;""))),0)</f>
        <v/>
      </c>
      <c r="X107" s="50">
        <f>IFERROR(U107/4,0)</f>
        <v/>
      </c>
    </row>
    <row r="108" ht="18" customHeight="1">
      <c r="B108" s="46">
        <f>'📥 ข้อมูลนักเรียน'!B20</f>
        <v/>
      </c>
      <c r="C108" s="47">
        <f>'📥 ข้อมูลนักเรียน'!C20</f>
        <v/>
      </c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37">
        <f>IFERROR(SUMPRODUCT(((D108=D91)*(E108="Y")*(F108=F91)*(G108="Y")*(D108&lt;&gt;"")*(F108&lt;&gt;""))+((H108=H91)*(I108="Y")*(J108=J91)*(K108="Y")*(H108&lt;&gt;"")*(J108&lt;&gt;""))+((L108=L91)*(M108="Y")*(N108=N91)*(O108="Y")*(L108&lt;&gt;"")*(N108&lt;&gt;""))+((P108=P91)*(Q108="Y")*(R108=R91)*(S108="Y")*(P108&lt;&gt;"")*(R108&lt;&gt;""))),0)</f>
        <v/>
      </c>
      <c r="U108" s="49">
        <f>IFERROR(SUMPRODUCT(((D108&lt;&gt;D91)*(E108="Y")*(F108&lt;&gt;F91)*(G108="Y")*(D108&lt;&gt;"")*(F108&lt;&gt;""))+((H108&lt;&gt;H91)*(I108="Y")*(J108&lt;&gt;J91)*(K108="Y")*(H108&lt;&gt;"")*(J108&lt;&gt;""))+((L108&lt;&gt;L91)*(M108="Y")*(N108&lt;&gt;N91)*(O108="Y")*(L108&lt;&gt;"")*(N108&lt;&gt;""))+((P108&lt;&gt;P91)*(Q108="Y")*(R108&lt;&gt;R91)*(S108="Y")*(P108&lt;&gt;"")*(R108&lt;&gt;""))),0)</f>
        <v/>
      </c>
      <c r="V108" s="37">
        <f>IFERROR(SUMPRODUCT(((D108=D91)*(E108="Y")*(F108&lt;&gt;F91)*(G108="Y")*(D108&lt;&gt;"")*(F108&lt;&gt;""))+((H108=H91)*(I108="Y")*(J108&lt;&gt;J91)*(K108="Y")*(H108&lt;&gt;"")*(J108&lt;&gt;""))+((L108=L91)*(M108="Y")*(N108&lt;&gt;N91)*(O108="Y")*(L108&lt;&gt;"")*(N108&lt;&gt;""))+((P108=P91)*(Q108="Y")*(R108&lt;&gt;R91)*(S108="Y")*(P108&lt;&gt;"")*(R108&lt;&gt;""))),0)</f>
        <v/>
      </c>
      <c r="W108" s="37">
        <f>IFERROR(SUMPRODUCT(((E108="N")*(D108&lt;&gt;"")*(F108&lt;&gt;""))+((I108="N")*(H108&lt;&gt;"")*(J108&lt;&gt;""))+((M108="N")*(L108&lt;&gt;"")*(N108&lt;&gt;""))+((Q108="N")*(P108&lt;&gt;"")*(R108&lt;&gt;""))),0)</f>
        <v/>
      </c>
      <c r="X108" s="50">
        <f>IFERROR(U108/4,0)</f>
        <v/>
      </c>
    </row>
    <row r="109" ht="18" customHeight="1">
      <c r="B109" s="46">
        <f>'📥 ข้อมูลนักเรียน'!B21</f>
        <v/>
      </c>
      <c r="C109" s="51">
        <f>'📥 ข้อมูลนักเรียน'!C21</f>
        <v/>
      </c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37">
        <f>IFERROR(SUMPRODUCT(((D109=D91)*(E109="Y")*(F109=F91)*(G109="Y")*(D109&lt;&gt;"")*(F109&lt;&gt;""))+((H109=H91)*(I109="Y")*(J109=J91)*(K109="Y")*(H109&lt;&gt;"")*(J109&lt;&gt;""))+((L109=L91)*(M109="Y")*(N109=N91)*(O109="Y")*(L109&lt;&gt;"")*(N109&lt;&gt;""))+((P109=P91)*(Q109="Y")*(R109=R91)*(S109="Y")*(P109&lt;&gt;"")*(R109&lt;&gt;""))),0)</f>
        <v/>
      </c>
      <c r="U109" s="49">
        <f>IFERROR(SUMPRODUCT(((D109&lt;&gt;D91)*(E109="Y")*(F109&lt;&gt;F91)*(G109="Y")*(D109&lt;&gt;"")*(F109&lt;&gt;""))+((H109&lt;&gt;H91)*(I109="Y")*(J109&lt;&gt;J91)*(K109="Y")*(H109&lt;&gt;"")*(J109&lt;&gt;""))+((L109&lt;&gt;L91)*(M109="Y")*(N109&lt;&gt;N91)*(O109="Y")*(L109&lt;&gt;"")*(N109&lt;&gt;""))+((P109&lt;&gt;P91)*(Q109="Y")*(R109&lt;&gt;R91)*(S109="Y")*(P109&lt;&gt;"")*(R109&lt;&gt;""))),0)</f>
        <v/>
      </c>
      <c r="V109" s="37">
        <f>IFERROR(SUMPRODUCT(((D109=D91)*(E109="Y")*(F109&lt;&gt;F91)*(G109="Y")*(D109&lt;&gt;"")*(F109&lt;&gt;""))+((H109=H91)*(I109="Y")*(J109&lt;&gt;J91)*(K109="Y")*(H109&lt;&gt;"")*(J109&lt;&gt;""))+((L109=L91)*(M109="Y")*(N109&lt;&gt;N91)*(O109="Y")*(L109&lt;&gt;"")*(N109&lt;&gt;""))+((P109=P91)*(Q109="Y")*(R109&lt;&gt;R91)*(S109="Y")*(P109&lt;&gt;"")*(R109&lt;&gt;""))),0)</f>
        <v/>
      </c>
      <c r="W109" s="37">
        <f>IFERROR(SUMPRODUCT(((E109="N")*(D109&lt;&gt;"")*(F109&lt;&gt;""))+((I109="N")*(H109&lt;&gt;"")*(J109&lt;&gt;""))+((M109="N")*(L109&lt;&gt;"")*(N109&lt;&gt;""))+((Q109="N")*(P109&lt;&gt;"")*(R109&lt;&gt;""))),0)</f>
        <v/>
      </c>
      <c r="X109" s="50">
        <f>IFERROR(U109/4,0)</f>
        <v/>
      </c>
    </row>
    <row r="110" ht="18" customHeight="1">
      <c r="B110" s="46">
        <f>'📥 ข้อมูลนักเรียน'!B22</f>
        <v/>
      </c>
      <c r="C110" s="47">
        <f>'📥 ข้อมูลนักเรียน'!C22</f>
        <v/>
      </c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37">
        <f>IFERROR(SUMPRODUCT(((D110=D91)*(E110="Y")*(F110=F91)*(G110="Y")*(D110&lt;&gt;"")*(F110&lt;&gt;""))+((H110=H91)*(I110="Y")*(J110=J91)*(K110="Y")*(H110&lt;&gt;"")*(J110&lt;&gt;""))+((L110=L91)*(M110="Y")*(N110=N91)*(O110="Y")*(L110&lt;&gt;"")*(N110&lt;&gt;""))+((P110=P91)*(Q110="Y")*(R110=R91)*(S110="Y")*(P110&lt;&gt;"")*(R110&lt;&gt;""))),0)</f>
        <v/>
      </c>
      <c r="U110" s="49">
        <f>IFERROR(SUMPRODUCT(((D110&lt;&gt;D91)*(E110="Y")*(F110&lt;&gt;F91)*(G110="Y")*(D110&lt;&gt;"")*(F110&lt;&gt;""))+((H110&lt;&gt;H91)*(I110="Y")*(J110&lt;&gt;J91)*(K110="Y")*(H110&lt;&gt;"")*(J110&lt;&gt;""))+((L110&lt;&gt;L91)*(M110="Y")*(N110&lt;&gt;N91)*(O110="Y")*(L110&lt;&gt;"")*(N110&lt;&gt;""))+((P110&lt;&gt;P91)*(Q110="Y")*(R110&lt;&gt;R91)*(S110="Y")*(P110&lt;&gt;"")*(R110&lt;&gt;""))),0)</f>
        <v/>
      </c>
      <c r="V110" s="37">
        <f>IFERROR(SUMPRODUCT(((D110=D91)*(E110="Y")*(F110&lt;&gt;F91)*(G110="Y")*(D110&lt;&gt;"")*(F110&lt;&gt;""))+((H110=H91)*(I110="Y")*(J110&lt;&gt;J91)*(K110="Y")*(H110&lt;&gt;"")*(J110&lt;&gt;""))+((L110=L91)*(M110="Y")*(N110&lt;&gt;N91)*(O110="Y")*(L110&lt;&gt;"")*(N110&lt;&gt;""))+((P110=P91)*(Q110="Y")*(R110&lt;&gt;R91)*(S110="Y")*(P110&lt;&gt;"")*(R110&lt;&gt;""))),0)</f>
        <v/>
      </c>
      <c r="W110" s="37">
        <f>IFERROR(SUMPRODUCT(((E110="N")*(D110&lt;&gt;"")*(F110&lt;&gt;""))+((I110="N")*(H110&lt;&gt;"")*(J110&lt;&gt;""))+((M110="N")*(L110&lt;&gt;"")*(N110&lt;&gt;""))+((Q110="N")*(P110&lt;&gt;"")*(R110&lt;&gt;""))),0)</f>
        <v/>
      </c>
      <c r="X110" s="50">
        <f>IFERROR(U110/4,0)</f>
        <v/>
      </c>
    </row>
    <row r="111" ht="18" customHeight="1">
      <c r="B111" s="46">
        <f>'📥 ข้อมูลนักเรียน'!B23</f>
        <v/>
      </c>
      <c r="C111" s="51">
        <f>'📥 ข้อมูลนักเรียน'!C23</f>
        <v/>
      </c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37">
        <f>IFERROR(SUMPRODUCT(((D111=D91)*(E111="Y")*(F111=F91)*(G111="Y")*(D111&lt;&gt;"")*(F111&lt;&gt;""))+((H111=H91)*(I111="Y")*(J111=J91)*(K111="Y")*(H111&lt;&gt;"")*(J111&lt;&gt;""))+((L111=L91)*(M111="Y")*(N111=N91)*(O111="Y")*(L111&lt;&gt;"")*(N111&lt;&gt;""))+((P111=P91)*(Q111="Y")*(R111=R91)*(S111="Y")*(P111&lt;&gt;"")*(R111&lt;&gt;""))),0)</f>
        <v/>
      </c>
      <c r="U111" s="49">
        <f>IFERROR(SUMPRODUCT(((D111&lt;&gt;D91)*(E111="Y")*(F111&lt;&gt;F91)*(G111="Y")*(D111&lt;&gt;"")*(F111&lt;&gt;""))+((H111&lt;&gt;H91)*(I111="Y")*(J111&lt;&gt;J91)*(K111="Y")*(H111&lt;&gt;"")*(J111&lt;&gt;""))+((L111&lt;&gt;L91)*(M111="Y")*(N111&lt;&gt;N91)*(O111="Y")*(L111&lt;&gt;"")*(N111&lt;&gt;""))+((P111&lt;&gt;P91)*(Q111="Y")*(R111&lt;&gt;R91)*(S111="Y")*(P111&lt;&gt;"")*(R111&lt;&gt;""))),0)</f>
        <v/>
      </c>
      <c r="V111" s="37">
        <f>IFERROR(SUMPRODUCT(((D111=D91)*(E111="Y")*(F111&lt;&gt;F91)*(G111="Y")*(D111&lt;&gt;"")*(F111&lt;&gt;""))+((H111=H91)*(I111="Y")*(J111&lt;&gt;J91)*(K111="Y")*(H111&lt;&gt;"")*(J111&lt;&gt;""))+((L111=L91)*(M111="Y")*(N111&lt;&gt;N91)*(O111="Y")*(L111&lt;&gt;"")*(N111&lt;&gt;""))+((P111=P91)*(Q111="Y")*(R111&lt;&gt;R91)*(S111="Y")*(P111&lt;&gt;"")*(R111&lt;&gt;""))),0)</f>
        <v/>
      </c>
      <c r="W111" s="37">
        <f>IFERROR(SUMPRODUCT(((E111="N")*(D111&lt;&gt;"")*(F111&lt;&gt;""))+((I111="N")*(H111&lt;&gt;"")*(J111&lt;&gt;""))+((M111="N")*(L111&lt;&gt;"")*(N111&lt;&gt;""))+((Q111="N")*(P111&lt;&gt;"")*(R111&lt;&gt;""))),0)</f>
        <v/>
      </c>
      <c r="X111" s="50">
        <f>IFERROR(U111/4,0)</f>
        <v/>
      </c>
    </row>
    <row r="112" ht="18" customHeight="1">
      <c r="B112" s="46">
        <f>'📥 ข้อมูลนักเรียน'!B24</f>
        <v/>
      </c>
      <c r="C112" s="47">
        <f>'📥 ข้อมูลนักเรียน'!C24</f>
        <v/>
      </c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37">
        <f>IFERROR(SUMPRODUCT(((D112=D91)*(E112="Y")*(F112=F91)*(G112="Y")*(D112&lt;&gt;"")*(F112&lt;&gt;""))+((H112=H91)*(I112="Y")*(J112=J91)*(K112="Y")*(H112&lt;&gt;"")*(J112&lt;&gt;""))+((L112=L91)*(M112="Y")*(N112=N91)*(O112="Y")*(L112&lt;&gt;"")*(N112&lt;&gt;""))+((P112=P91)*(Q112="Y")*(R112=R91)*(S112="Y")*(P112&lt;&gt;"")*(R112&lt;&gt;""))),0)</f>
        <v/>
      </c>
      <c r="U112" s="49">
        <f>IFERROR(SUMPRODUCT(((D112&lt;&gt;D91)*(E112="Y")*(F112&lt;&gt;F91)*(G112="Y")*(D112&lt;&gt;"")*(F112&lt;&gt;""))+((H112&lt;&gt;H91)*(I112="Y")*(J112&lt;&gt;J91)*(K112="Y")*(H112&lt;&gt;"")*(J112&lt;&gt;""))+((L112&lt;&gt;L91)*(M112="Y")*(N112&lt;&gt;N91)*(O112="Y")*(L112&lt;&gt;"")*(N112&lt;&gt;""))+((P112&lt;&gt;P91)*(Q112="Y")*(R112&lt;&gt;R91)*(S112="Y")*(P112&lt;&gt;"")*(R112&lt;&gt;""))),0)</f>
        <v/>
      </c>
      <c r="V112" s="37">
        <f>IFERROR(SUMPRODUCT(((D112=D91)*(E112="Y")*(F112&lt;&gt;F91)*(G112="Y")*(D112&lt;&gt;"")*(F112&lt;&gt;""))+((H112=H91)*(I112="Y")*(J112&lt;&gt;J91)*(K112="Y")*(H112&lt;&gt;"")*(J112&lt;&gt;""))+((L112=L91)*(M112="Y")*(N112&lt;&gt;N91)*(O112="Y")*(L112&lt;&gt;"")*(N112&lt;&gt;""))+((P112=P91)*(Q112="Y")*(R112&lt;&gt;R91)*(S112="Y")*(P112&lt;&gt;"")*(R112&lt;&gt;""))),0)</f>
        <v/>
      </c>
      <c r="W112" s="37">
        <f>IFERROR(SUMPRODUCT(((E112="N")*(D112&lt;&gt;"")*(F112&lt;&gt;""))+((I112="N")*(H112&lt;&gt;"")*(J112&lt;&gt;""))+((M112="N")*(L112&lt;&gt;"")*(N112&lt;&gt;""))+((Q112="N")*(P112&lt;&gt;"")*(R112&lt;&gt;""))),0)</f>
        <v/>
      </c>
      <c r="X112" s="50">
        <f>IFERROR(U112/4,0)</f>
        <v/>
      </c>
    </row>
    <row r="113" ht="18" customHeight="1">
      <c r="B113" s="46">
        <f>'📥 ข้อมูลนักเรียน'!B25</f>
        <v/>
      </c>
      <c r="C113" s="51">
        <f>'📥 ข้อมูลนักเรียน'!C25</f>
        <v/>
      </c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37">
        <f>IFERROR(SUMPRODUCT(((D113=D91)*(E113="Y")*(F113=F91)*(G113="Y")*(D113&lt;&gt;"")*(F113&lt;&gt;""))+((H113=H91)*(I113="Y")*(J113=J91)*(K113="Y")*(H113&lt;&gt;"")*(J113&lt;&gt;""))+((L113=L91)*(M113="Y")*(N113=N91)*(O113="Y")*(L113&lt;&gt;"")*(N113&lt;&gt;""))+((P113=P91)*(Q113="Y")*(R113=R91)*(S113="Y")*(P113&lt;&gt;"")*(R113&lt;&gt;""))),0)</f>
        <v/>
      </c>
      <c r="U113" s="49">
        <f>IFERROR(SUMPRODUCT(((D113&lt;&gt;D91)*(E113="Y")*(F113&lt;&gt;F91)*(G113="Y")*(D113&lt;&gt;"")*(F113&lt;&gt;""))+((H113&lt;&gt;H91)*(I113="Y")*(J113&lt;&gt;J91)*(K113="Y")*(H113&lt;&gt;"")*(J113&lt;&gt;""))+((L113&lt;&gt;L91)*(M113="Y")*(N113&lt;&gt;N91)*(O113="Y")*(L113&lt;&gt;"")*(N113&lt;&gt;""))+((P113&lt;&gt;P91)*(Q113="Y")*(R113&lt;&gt;R91)*(S113="Y")*(P113&lt;&gt;"")*(R113&lt;&gt;""))),0)</f>
        <v/>
      </c>
      <c r="V113" s="37">
        <f>IFERROR(SUMPRODUCT(((D113=D91)*(E113="Y")*(F113&lt;&gt;F91)*(G113="Y")*(D113&lt;&gt;"")*(F113&lt;&gt;""))+((H113=H91)*(I113="Y")*(J113&lt;&gt;J91)*(K113="Y")*(H113&lt;&gt;"")*(J113&lt;&gt;""))+((L113=L91)*(M113="Y")*(N113&lt;&gt;N91)*(O113="Y")*(L113&lt;&gt;"")*(N113&lt;&gt;""))+((P113=P91)*(Q113="Y")*(R113&lt;&gt;R91)*(S113="Y")*(P113&lt;&gt;"")*(R113&lt;&gt;""))),0)</f>
        <v/>
      </c>
      <c r="W113" s="37">
        <f>IFERROR(SUMPRODUCT(((E113="N")*(D113&lt;&gt;"")*(F113&lt;&gt;""))+((I113="N")*(H113&lt;&gt;"")*(J113&lt;&gt;""))+((M113="N")*(L113&lt;&gt;"")*(N113&lt;&gt;""))+((Q113="N")*(P113&lt;&gt;"")*(R113&lt;&gt;""))),0)</f>
        <v/>
      </c>
      <c r="X113" s="50">
        <f>IFERROR(U113/4,0)</f>
        <v/>
      </c>
    </row>
    <row r="114" ht="18" customHeight="1">
      <c r="B114" s="46">
        <f>'📥 ข้อมูลนักเรียน'!B26</f>
        <v/>
      </c>
      <c r="C114" s="47">
        <f>'📥 ข้อมูลนักเรียน'!C26</f>
        <v/>
      </c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37">
        <f>IFERROR(SUMPRODUCT(((D114=D91)*(E114="Y")*(F114=F91)*(G114="Y")*(D114&lt;&gt;"")*(F114&lt;&gt;""))+((H114=H91)*(I114="Y")*(J114=J91)*(K114="Y")*(H114&lt;&gt;"")*(J114&lt;&gt;""))+((L114=L91)*(M114="Y")*(N114=N91)*(O114="Y")*(L114&lt;&gt;"")*(N114&lt;&gt;""))+((P114=P91)*(Q114="Y")*(R114=R91)*(S114="Y")*(P114&lt;&gt;"")*(R114&lt;&gt;""))),0)</f>
        <v/>
      </c>
      <c r="U114" s="49">
        <f>IFERROR(SUMPRODUCT(((D114&lt;&gt;D91)*(E114="Y")*(F114&lt;&gt;F91)*(G114="Y")*(D114&lt;&gt;"")*(F114&lt;&gt;""))+((H114&lt;&gt;H91)*(I114="Y")*(J114&lt;&gt;J91)*(K114="Y")*(H114&lt;&gt;"")*(J114&lt;&gt;""))+((L114&lt;&gt;L91)*(M114="Y")*(N114&lt;&gt;N91)*(O114="Y")*(L114&lt;&gt;"")*(N114&lt;&gt;""))+((P114&lt;&gt;P91)*(Q114="Y")*(R114&lt;&gt;R91)*(S114="Y")*(P114&lt;&gt;"")*(R114&lt;&gt;""))),0)</f>
        <v/>
      </c>
      <c r="V114" s="37">
        <f>IFERROR(SUMPRODUCT(((D114=D91)*(E114="Y")*(F114&lt;&gt;F91)*(G114="Y")*(D114&lt;&gt;"")*(F114&lt;&gt;""))+((H114=H91)*(I114="Y")*(J114&lt;&gt;J91)*(K114="Y")*(H114&lt;&gt;"")*(J114&lt;&gt;""))+((L114=L91)*(M114="Y")*(N114&lt;&gt;N91)*(O114="Y")*(L114&lt;&gt;"")*(N114&lt;&gt;""))+((P114=P91)*(Q114="Y")*(R114&lt;&gt;R91)*(S114="Y")*(P114&lt;&gt;"")*(R114&lt;&gt;""))),0)</f>
        <v/>
      </c>
      <c r="W114" s="37">
        <f>IFERROR(SUMPRODUCT(((E114="N")*(D114&lt;&gt;"")*(F114&lt;&gt;""))+((I114="N")*(H114&lt;&gt;"")*(J114&lt;&gt;""))+((M114="N")*(L114&lt;&gt;"")*(N114&lt;&gt;""))+((Q114="N")*(P114&lt;&gt;"")*(R114&lt;&gt;""))),0)</f>
        <v/>
      </c>
      <c r="X114" s="50">
        <f>IFERROR(U114/4,0)</f>
        <v/>
      </c>
    </row>
    <row r="115" ht="18" customHeight="1">
      <c r="B115" s="46">
        <f>'📥 ข้อมูลนักเรียน'!B27</f>
        <v/>
      </c>
      <c r="C115" s="51">
        <f>'📥 ข้อมูลนักเรียน'!C27</f>
        <v/>
      </c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37">
        <f>IFERROR(SUMPRODUCT(((D115=D91)*(E115="Y")*(F115=F91)*(G115="Y")*(D115&lt;&gt;"")*(F115&lt;&gt;""))+((H115=H91)*(I115="Y")*(J115=J91)*(K115="Y")*(H115&lt;&gt;"")*(J115&lt;&gt;""))+((L115=L91)*(M115="Y")*(N115=N91)*(O115="Y")*(L115&lt;&gt;"")*(N115&lt;&gt;""))+((P115=P91)*(Q115="Y")*(R115=R91)*(S115="Y")*(P115&lt;&gt;"")*(R115&lt;&gt;""))),0)</f>
        <v/>
      </c>
      <c r="U115" s="49">
        <f>IFERROR(SUMPRODUCT(((D115&lt;&gt;D91)*(E115="Y")*(F115&lt;&gt;F91)*(G115="Y")*(D115&lt;&gt;"")*(F115&lt;&gt;""))+((H115&lt;&gt;H91)*(I115="Y")*(J115&lt;&gt;J91)*(K115="Y")*(H115&lt;&gt;"")*(J115&lt;&gt;""))+((L115&lt;&gt;L91)*(M115="Y")*(N115&lt;&gt;N91)*(O115="Y")*(L115&lt;&gt;"")*(N115&lt;&gt;""))+((P115&lt;&gt;P91)*(Q115="Y")*(R115&lt;&gt;R91)*(S115="Y")*(P115&lt;&gt;"")*(R115&lt;&gt;""))),0)</f>
        <v/>
      </c>
      <c r="V115" s="37">
        <f>IFERROR(SUMPRODUCT(((D115=D91)*(E115="Y")*(F115&lt;&gt;F91)*(G115="Y")*(D115&lt;&gt;"")*(F115&lt;&gt;""))+((H115=H91)*(I115="Y")*(J115&lt;&gt;J91)*(K115="Y")*(H115&lt;&gt;"")*(J115&lt;&gt;""))+((L115=L91)*(M115="Y")*(N115&lt;&gt;N91)*(O115="Y")*(L115&lt;&gt;"")*(N115&lt;&gt;""))+((P115=P91)*(Q115="Y")*(R115&lt;&gt;R91)*(S115="Y")*(P115&lt;&gt;"")*(R115&lt;&gt;""))),0)</f>
        <v/>
      </c>
      <c r="W115" s="37">
        <f>IFERROR(SUMPRODUCT(((E115="N")*(D115&lt;&gt;"")*(F115&lt;&gt;""))+((I115="N")*(H115&lt;&gt;"")*(J115&lt;&gt;""))+((M115="N")*(L115&lt;&gt;"")*(N115&lt;&gt;""))+((Q115="N")*(P115&lt;&gt;"")*(R115&lt;&gt;""))),0)</f>
        <v/>
      </c>
      <c r="X115" s="50">
        <f>IFERROR(U115/4,0)</f>
        <v/>
      </c>
    </row>
    <row r="116" ht="18" customHeight="1">
      <c r="B116" s="46">
        <f>'📥 ข้อมูลนักเรียน'!B28</f>
        <v/>
      </c>
      <c r="C116" s="47">
        <f>'📥 ข้อมูลนักเรียน'!C28</f>
        <v/>
      </c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37">
        <f>IFERROR(SUMPRODUCT(((D116=D91)*(E116="Y")*(F116=F91)*(G116="Y")*(D116&lt;&gt;"")*(F116&lt;&gt;""))+((H116=H91)*(I116="Y")*(J116=J91)*(K116="Y")*(H116&lt;&gt;"")*(J116&lt;&gt;""))+((L116=L91)*(M116="Y")*(N116=N91)*(O116="Y")*(L116&lt;&gt;"")*(N116&lt;&gt;""))+((P116=P91)*(Q116="Y")*(R116=R91)*(S116="Y")*(P116&lt;&gt;"")*(R116&lt;&gt;""))),0)</f>
        <v/>
      </c>
      <c r="U116" s="49">
        <f>IFERROR(SUMPRODUCT(((D116&lt;&gt;D91)*(E116="Y")*(F116&lt;&gt;F91)*(G116="Y")*(D116&lt;&gt;"")*(F116&lt;&gt;""))+((H116&lt;&gt;H91)*(I116="Y")*(J116&lt;&gt;J91)*(K116="Y")*(H116&lt;&gt;"")*(J116&lt;&gt;""))+((L116&lt;&gt;L91)*(M116="Y")*(N116&lt;&gt;N91)*(O116="Y")*(L116&lt;&gt;"")*(N116&lt;&gt;""))+((P116&lt;&gt;P91)*(Q116="Y")*(R116&lt;&gt;R91)*(S116="Y")*(P116&lt;&gt;"")*(R116&lt;&gt;""))),0)</f>
        <v/>
      </c>
      <c r="V116" s="37">
        <f>IFERROR(SUMPRODUCT(((D116=D91)*(E116="Y")*(F116&lt;&gt;F91)*(G116="Y")*(D116&lt;&gt;"")*(F116&lt;&gt;""))+((H116=H91)*(I116="Y")*(J116&lt;&gt;J91)*(K116="Y")*(H116&lt;&gt;"")*(J116&lt;&gt;""))+((L116=L91)*(M116="Y")*(N116&lt;&gt;N91)*(O116="Y")*(L116&lt;&gt;"")*(N116&lt;&gt;""))+((P116=P91)*(Q116="Y")*(R116&lt;&gt;R91)*(S116="Y")*(P116&lt;&gt;"")*(R116&lt;&gt;""))),0)</f>
        <v/>
      </c>
      <c r="W116" s="37">
        <f>IFERROR(SUMPRODUCT(((E116="N")*(D116&lt;&gt;"")*(F116&lt;&gt;""))+((I116="N")*(H116&lt;&gt;"")*(J116&lt;&gt;""))+((M116="N")*(L116&lt;&gt;"")*(N116&lt;&gt;""))+((Q116="N")*(P116&lt;&gt;"")*(R116&lt;&gt;""))),0)</f>
        <v/>
      </c>
      <c r="X116" s="50">
        <f>IFERROR(U116/4,0)</f>
        <v/>
      </c>
    </row>
    <row r="117" ht="18" customHeight="1">
      <c r="B117" s="46">
        <f>'📥 ข้อมูลนักเรียน'!B29</f>
        <v/>
      </c>
      <c r="C117" s="51">
        <f>'📥 ข้อมูลนักเรียน'!C29</f>
        <v/>
      </c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37">
        <f>IFERROR(SUMPRODUCT(((D117=D91)*(E117="Y")*(F117=F91)*(G117="Y")*(D117&lt;&gt;"")*(F117&lt;&gt;""))+((H117=H91)*(I117="Y")*(J117=J91)*(K117="Y")*(H117&lt;&gt;"")*(J117&lt;&gt;""))+((L117=L91)*(M117="Y")*(N117=N91)*(O117="Y")*(L117&lt;&gt;"")*(N117&lt;&gt;""))+((P117=P91)*(Q117="Y")*(R117=R91)*(S117="Y")*(P117&lt;&gt;"")*(R117&lt;&gt;""))),0)</f>
        <v/>
      </c>
      <c r="U117" s="49">
        <f>IFERROR(SUMPRODUCT(((D117&lt;&gt;D91)*(E117="Y")*(F117&lt;&gt;F91)*(G117="Y")*(D117&lt;&gt;"")*(F117&lt;&gt;""))+((H117&lt;&gt;H91)*(I117="Y")*(J117&lt;&gt;J91)*(K117="Y")*(H117&lt;&gt;"")*(J117&lt;&gt;""))+((L117&lt;&gt;L91)*(M117="Y")*(N117&lt;&gt;N91)*(O117="Y")*(L117&lt;&gt;"")*(N117&lt;&gt;""))+((P117&lt;&gt;P91)*(Q117="Y")*(R117&lt;&gt;R91)*(S117="Y")*(P117&lt;&gt;"")*(R117&lt;&gt;""))),0)</f>
        <v/>
      </c>
      <c r="V117" s="37">
        <f>IFERROR(SUMPRODUCT(((D117=D91)*(E117="Y")*(F117&lt;&gt;F91)*(G117="Y")*(D117&lt;&gt;"")*(F117&lt;&gt;""))+((H117=H91)*(I117="Y")*(J117&lt;&gt;J91)*(K117="Y")*(H117&lt;&gt;"")*(J117&lt;&gt;""))+((L117=L91)*(M117="Y")*(N117&lt;&gt;N91)*(O117="Y")*(L117&lt;&gt;"")*(N117&lt;&gt;""))+((P117=P91)*(Q117="Y")*(R117&lt;&gt;R91)*(S117="Y")*(P117&lt;&gt;"")*(R117&lt;&gt;""))),0)</f>
        <v/>
      </c>
      <c r="W117" s="37">
        <f>IFERROR(SUMPRODUCT(((E117="N")*(D117&lt;&gt;"")*(F117&lt;&gt;""))+((I117="N")*(H117&lt;&gt;"")*(J117&lt;&gt;""))+((M117="N")*(L117&lt;&gt;"")*(N117&lt;&gt;""))+((Q117="N")*(P117&lt;&gt;"")*(R117&lt;&gt;""))),0)</f>
        <v/>
      </c>
      <c r="X117" s="50">
        <f>IFERROR(U117/4,0)</f>
        <v/>
      </c>
    </row>
    <row r="118" ht="18" customHeight="1">
      <c r="B118" s="46">
        <f>'📥 ข้อมูลนักเรียน'!B30</f>
        <v/>
      </c>
      <c r="C118" s="47">
        <f>'📥 ข้อมูลนักเรียน'!C30</f>
        <v/>
      </c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37">
        <f>IFERROR(SUMPRODUCT(((D118=D91)*(E118="Y")*(F118=F91)*(G118="Y")*(D118&lt;&gt;"")*(F118&lt;&gt;""))+((H118=H91)*(I118="Y")*(J118=J91)*(K118="Y")*(H118&lt;&gt;"")*(J118&lt;&gt;""))+((L118=L91)*(M118="Y")*(N118=N91)*(O118="Y")*(L118&lt;&gt;"")*(N118&lt;&gt;""))+((P118=P91)*(Q118="Y")*(R118=R91)*(S118="Y")*(P118&lt;&gt;"")*(R118&lt;&gt;""))),0)</f>
        <v/>
      </c>
      <c r="U118" s="49">
        <f>IFERROR(SUMPRODUCT(((D118&lt;&gt;D91)*(E118="Y")*(F118&lt;&gt;F91)*(G118="Y")*(D118&lt;&gt;"")*(F118&lt;&gt;""))+((H118&lt;&gt;H91)*(I118="Y")*(J118&lt;&gt;J91)*(K118="Y")*(H118&lt;&gt;"")*(J118&lt;&gt;""))+((L118&lt;&gt;L91)*(M118="Y")*(N118&lt;&gt;N91)*(O118="Y")*(L118&lt;&gt;"")*(N118&lt;&gt;""))+((P118&lt;&gt;P91)*(Q118="Y")*(R118&lt;&gt;R91)*(S118="Y")*(P118&lt;&gt;"")*(R118&lt;&gt;""))),0)</f>
        <v/>
      </c>
      <c r="V118" s="37">
        <f>IFERROR(SUMPRODUCT(((D118=D91)*(E118="Y")*(F118&lt;&gt;F91)*(G118="Y")*(D118&lt;&gt;"")*(F118&lt;&gt;""))+((H118=H91)*(I118="Y")*(J118&lt;&gt;J91)*(K118="Y")*(H118&lt;&gt;"")*(J118&lt;&gt;""))+((L118=L91)*(M118="Y")*(N118&lt;&gt;N91)*(O118="Y")*(L118&lt;&gt;"")*(N118&lt;&gt;""))+((P118=P91)*(Q118="Y")*(R118&lt;&gt;R91)*(S118="Y")*(P118&lt;&gt;"")*(R118&lt;&gt;""))),0)</f>
        <v/>
      </c>
      <c r="W118" s="37">
        <f>IFERROR(SUMPRODUCT(((E118="N")*(D118&lt;&gt;"")*(F118&lt;&gt;""))+((I118="N")*(H118&lt;&gt;"")*(J118&lt;&gt;""))+((M118="N")*(L118&lt;&gt;"")*(N118&lt;&gt;""))+((Q118="N")*(P118&lt;&gt;"")*(R118&lt;&gt;""))),0)</f>
        <v/>
      </c>
      <c r="X118" s="50">
        <f>IFERROR(U118/4,0)</f>
        <v/>
      </c>
    </row>
    <row r="119" ht="18" customHeight="1">
      <c r="B119" s="46">
        <f>'📥 ข้อมูลนักเรียน'!B31</f>
        <v/>
      </c>
      <c r="C119" s="51">
        <f>'📥 ข้อมูลนักเรียน'!C31</f>
        <v/>
      </c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37">
        <f>IFERROR(SUMPRODUCT(((D119=D91)*(E119="Y")*(F119=F91)*(G119="Y")*(D119&lt;&gt;"")*(F119&lt;&gt;""))+((H119=H91)*(I119="Y")*(J119=J91)*(K119="Y")*(H119&lt;&gt;"")*(J119&lt;&gt;""))+((L119=L91)*(M119="Y")*(N119=N91)*(O119="Y")*(L119&lt;&gt;"")*(N119&lt;&gt;""))+((P119=P91)*(Q119="Y")*(R119=R91)*(S119="Y")*(P119&lt;&gt;"")*(R119&lt;&gt;""))),0)</f>
        <v/>
      </c>
      <c r="U119" s="49">
        <f>IFERROR(SUMPRODUCT(((D119&lt;&gt;D91)*(E119="Y")*(F119&lt;&gt;F91)*(G119="Y")*(D119&lt;&gt;"")*(F119&lt;&gt;""))+((H119&lt;&gt;H91)*(I119="Y")*(J119&lt;&gt;J91)*(K119="Y")*(H119&lt;&gt;"")*(J119&lt;&gt;""))+((L119&lt;&gt;L91)*(M119="Y")*(N119&lt;&gt;N91)*(O119="Y")*(L119&lt;&gt;"")*(N119&lt;&gt;""))+((P119&lt;&gt;P91)*(Q119="Y")*(R119&lt;&gt;R91)*(S119="Y")*(P119&lt;&gt;"")*(R119&lt;&gt;""))),0)</f>
        <v/>
      </c>
      <c r="V119" s="37">
        <f>IFERROR(SUMPRODUCT(((D119=D91)*(E119="Y")*(F119&lt;&gt;F91)*(G119="Y")*(D119&lt;&gt;"")*(F119&lt;&gt;""))+((H119=H91)*(I119="Y")*(J119&lt;&gt;J91)*(K119="Y")*(H119&lt;&gt;"")*(J119&lt;&gt;""))+((L119=L91)*(M119="Y")*(N119&lt;&gt;N91)*(O119="Y")*(L119&lt;&gt;"")*(N119&lt;&gt;""))+((P119=P91)*(Q119="Y")*(R119&lt;&gt;R91)*(S119="Y")*(P119&lt;&gt;"")*(R119&lt;&gt;""))),0)</f>
        <v/>
      </c>
      <c r="W119" s="37">
        <f>IFERROR(SUMPRODUCT(((E119="N")*(D119&lt;&gt;"")*(F119&lt;&gt;""))+((I119="N")*(H119&lt;&gt;"")*(J119&lt;&gt;""))+((M119="N")*(L119&lt;&gt;"")*(N119&lt;&gt;""))+((Q119="N")*(P119&lt;&gt;"")*(R119&lt;&gt;""))),0)</f>
        <v/>
      </c>
      <c r="X119" s="50">
        <f>IFERROR(U119/4,0)</f>
        <v/>
      </c>
    </row>
    <row r="120" ht="18" customHeight="1">
      <c r="B120" s="46">
        <f>'📥 ข้อมูลนักเรียน'!B32</f>
        <v/>
      </c>
      <c r="C120" s="47">
        <f>'📥 ข้อมูลนักเรียน'!C32</f>
        <v/>
      </c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37">
        <f>IFERROR(SUMPRODUCT(((D120=D91)*(E120="Y")*(F120=F91)*(G120="Y")*(D120&lt;&gt;"")*(F120&lt;&gt;""))+((H120=H91)*(I120="Y")*(J120=J91)*(K120="Y")*(H120&lt;&gt;"")*(J120&lt;&gt;""))+((L120=L91)*(M120="Y")*(N120=N91)*(O120="Y")*(L120&lt;&gt;"")*(N120&lt;&gt;""))+((P120=P91)*(Q120="Y")*(R120=R91)*(S120="Y")*(P120&lt;&gt;"")*(R120&lt;&gt;""))),0)</f>
        <v/>
      </c>
      <c r="U120" s="49">
        <f>IFERROR(SUMPRODUCT(((D120&lt;&gt;D91)*(E120="Y")*(F120&lt;&gt;F91)*(G120="Y")*(D120&lt;&gt;"")*(F120&lt;&gt;""))+((H120&lt;&gt;H91)*(I120="Y")*(J120&lt;&gt;J91)*(K120="Y")*(H120&lt;&gt;"")*(J120&lt;&gt;""))+((L120&lt;&gt;L91)*(M120="Y")*(N120&lt;&gt;N91)*(O120="Y")*(L120&lt;&gt;"")*(N120&lt;&gt;""))+((P120&lt;&gt;P91)*(Q120="Y")*(R120&lt;&gt;R91)*(S120="Y")*(P120&lt;&gt;"")*(R120&lt;&gt;""))),0)</f>
        <v/>
      </c>
      <c r="V120" s="37">
        <f>IFERROR(SUMPRODUCT(((D120=D91)*(E120="Y")*(F120&lt;&gt;F91)*(G120="Y")*(D120&lt;&gt;"")*(F120&lt;&gt;""))+((H120=H91)*(I120="Y")*(J120&lt;&gt;J91)*(K120="Y")*(H120&lt;&gt;"")*(J120&lt;&gt;""))+((L120=L91)*(M120="Y")*(N120&lt;&gt;N91)*(O120="Y")*(L120&lt;&gt;"")*(N120&lt;&gt;""))+((P120=P91)*(Q120="Y")*(R120&lt;&gt;R91)*(S120="Y")*(P120&lt;&gt;"")*(R120&lt;&gt;""))),0)</f>
        <v/>
      </c>
      <c r="W120" s="37">
        <f>IFERROR(SUMPRODUCT(((E120="N")*(D120&lt;&gt;"")*(F120&lt;&gt;""))+((I120="N")*(H120&lt;&gt;"")*(J120&lt;&gt;""))+((M120="N")*(L120&lt;&gt;"")*(N120&lt;&gt;""))+((Q120="N")*(P120&lt;&gt;"")*(R120&lt;&gt;""))),0)</f>
        <v/>
      </c>
      <c r="X120" s="50">
        <f>IFERROR(U120/4,0)</f>
        <v/>
      </c>
    </row>
    <row r="121" ht="18" customHeight="1">
      <c r="B121" s="46">
        <f>'📥 ข้อมูลนักเรียน'!B33</f>
        <v/>
      </c>
      <c r="C121" s="51">
        <f>'📥 ข้อมูลนักเรียน'!C33</f>
        <v/>
      </c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37">
        <f>IFERROR(SUMPRODUCT(((D121=D91)*(E121="Y")*(F121=F91)*(G121="Y")*(D121&lt;&gt;"")*(F121&lt;&gt;""))+((H121=H91)*(I121="Y")*(J121=J91)*(K121="Y")*(H121&lt;&gt;"")*(J121&lt;&gt;""))+((L121=L91)*(M121="Y")*(N121=N91)*(O121="Y")*(L121&lt;&gt;"")*(N121&lt;&gt;""))+((P121=P91)*(Q121="Y")*(R121=R91)*(S121="Y")*(P121&lt;&gt;"")*(R121&lt;&gt;""))),0)</f>
        <v/>
      </c>
      <c r="U121" s="49">
        <f>IFERROR(SUMPRODUCT(((D121&lt;&gt;D91)*(E121="Y")*(F121&lt;&gt;F91)*(G121="Y")*(D121&lt;&gt;"")*(F121&lt;&gt;""))+((H121&lt;&gt;H91)*(I121="Y")*(J121&lt;&gt;J91)*(K121="Y")*(H121&lt;&gt;"")*(J121&lt;&gt;""))+((L121&lt;&gt;L91)*(M121="Y")*(N121&lt;&gt;N91)*(O121="Y")*(L121&lt;&gt;"")*(N121&lt;&gt;""))+((P121&lt;&gt;P91)*(Q121="Y")*(R121&lt;&gt;R91)*(S121="Y")*(P121&lt;&gt;"")*(R121&lt;&gt;""))),0)</f>
        <v/>
      </c>
      <c r="V121" s="37">
        <f>IFERROR(SUMPRODUCT(((D121=D91)*(E121="Y")*(F121&lt;&gt;F91)*(G121="Y")*(D121&lt;&gt;"")*(F121&lt;&gt;""))+((H121=H91)*(I121="Y")*(J121&lt;&gt;J91)*(K121="Y")*(H121&lt;&gt;"")*(J121&lt;&gt;""))+((L121=L91)*(M121="Y")*(N121&lt;&gt;N91)*(O121="Y")*(L121&lt;&gt;"")*(N121&lt;&gt;""))+((P121=P91)*(Q121="Y")*(R121&lt;&gt;R91)*(S121="Y")*(P121&lt;&gt;"")*(R121&lt;&gt;""))),0)</f>
        <v/>
      </c>
      <c r="W121" s="37">
        <f>IFERROR(SUMPRODUCT(((E121="N")*(D121&lt;&gt;"")*(F121&lt;&gt;""))+((I121="N")*(H121&lt;&gt;"")*(J121&lt;&gt;""))+((M121="N")*(L121&lt;&gt;"")*(N121&lt;&gt;""))+((Q121="N")*(P121&lt;&gt;"")*(R121&lt;&gt;""))),0)</f>
        <v/>
      </c>
      <c r="X121" s="50">
        <f>IFERROR(U121/4,0)</f>
        <v/>
      </c>
    </row>
    <row r="122" ht="18" customHeight="1">
      <c r="B122" s="46">
        <f>'📥 ข้อมูลนักเรียน'!B34</f>
        <v/>
      </c>
      <c r="C122" s="47">
        <f>'📥 ข้อมูลนักเรียน'!C34</f>
        <v/>
      </c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37">
        <f>IFERROR(SUMPRODUCT(((D122=D91)*(E122="Y")*(F122=F91)*(G122="Y")*(D122&lt;&gt;"")*(F122&lt;&gt;""))+((H122=H91)*(I122="Y")*(J122=J91)*(K122="Y")*(H122&lt;&gt;"")*(J122&lt;&gt;""))+((L122=L91)*(M122="Y")*(N122=N91)*(O122="Y")*(L122&lt;&gt;"")*(N122&lt;&gt;""))+((P122=P91)*(Q122="Y")*(R122=R91)*(S122="Y")*(P122&lt;&gt;"")*(R122&lt;&gt;""))),0)</f>
        <v/>
      </c>
      <c r="U122" s="49">
        <f>IFERROR(SUMPRODUCT(((D122&lt;&gt;D91)*(E122="Y")*(F122&lt;&gt;F91)*(G122="Y")*(D122&lt;&gt;"")*(F122&lt;&gt;""))+((H122&lt;&gt;H91)*(I122="Y")*(J122&lt;&gt;J91)*(K122="Y")*(H122&lt;&gt;"")*(J122&lt;&gt;""))+((L122&lt;&gt;L91)*(M122="Y")*(N122&lt;&gt;N91)*(O122="Y")*(L122&lt;&gt;"")*(N122&lt;&gt;""))+((P122&lt;&gt;P91)*(Q122="Y")*(R122&lt;&gt;R91)*(S122="Y")*(P122&lt;&gt;"")*(R122&lt;&gt;""))),0)</f>
        <v/>
      </c>
      <c r="V122" s="37">
        <f>IFERROR(SUMPRODUCT(((D122=D91)*(E122="Y")*(F122&lt;&gt;F91)*(G122="Y")*(D122&lt;&gt;"")*(F122&lt;&gt;""))+((H122=H91)*(I122="Y")*(J122&lt;&gt;J91)*(K122="Y")*(H122&lt;&gt;"")*(J122&lt;&gt;""))+((L122=L91)*(M122="Y")*(N122&lt;&gt;N91)*(O122="Y")*(L122&lt;&gt;"")*(N122&lt;&gt;""))+((P122=P91)*(Q122="Y")*(R122&lt;&gt;R91)*(S122="Y")*(P122&lt;&gt;"")*(R122&lt;&gt;""))),0)</f>
        <v/>
      </c>
      <c r="W122" s="37">
        <f>IFERROR(SUMPRODUCT(((E122="N")*(D122&lt;&gt;"")*(F122&lt;&gt;""))+((I122="N")*(H122&lt;&gt;"")*(J122&lt;&gt;""))+((M122="N")*(L122&lt;&gt;"")*(N122&lt;&gt;""))+((Q122="N")*(P122&lt;&gt;"")*(R122&lt;&gt;""))),0)</f>
        <v/>
      </c>
      <c r="X122" s="50">
        <f>IFERROR(U122/4,0)</f>
        <v/>
      </c>
    </row>
    <row r="123" ht="18" customHeight="1">
      <c r="B123" s="46">
        <f>'📥 ข้อมูลนักเรียน'!B35</f>
        <v/>
      </c>
      <c r="C123" s="51">
        <f>'📥 ข้อมูลนักเรียน'!C35</f>
        <v/>
      </c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37">
        <f>IFERROR(SUMPRODUCT(((D123=D91)*(E123="Y")*(F123=F91)*(G123="Y")*(D123&lt;&gt;"")*(F123&lt;&gt;""))+((H123=H91)*(I123="Y")*(J123=J91)*(K123="Y")*(H123&lt;&gt;"")*(J123&lt;&gt;""))+((L123=L91)*(M123="Y")*(N123=N91)*(O123="Y")*(L123&lt;&gt;"")*(N123&lt;&gt;""))+((P123=P91)*(Q123="Y")*(R123=R91)*(S123="Y")*(P123&lt;&gt;"")*(R123&lt;&gt;""))),0)</f>
        <v/>
      </c>
      <c r="U123" s="49">
        <f>IFERROR(SUMPRODUCT(((D123&lt;&gt;D91)*(E123="Y")*(F123&lt;&gt;F91)*(G123="Y")*(D123&lt;&gt;"")*(F123&lt;&gt;""))+((H123&lt;&gt;H91)*(I123="Y")*(J123&lt;&gt;J91)*(K123="Y")*(H123&lt;&gt;"")*(J123&lt;&gt;""))+((L123&lt;&gt;L91)*(M123="Y")*(N123&lt;&gt;N91)*(O123="Y")*(L123&lt;&gt;"")*(N123&lt;&gt;""))+((P123&lt;&gt;P91)*(Q123="Y")*(R123&lt;&gt;R91)*(S123="Y")*(P123&lt;&gt;"")*(R123&lt;&gt;""))),0)</f>
        <v/>
      </c>
      <c r="V123" s="37">
        <f>IFERROR(SUMPRODUCT(((D123=D91)*(E123="Y")*(F123&lt;&gt;F91)*(G123="Y")*(D123&lt;&gt;"")*(F123&lt;&gt;""))+((H123=H91)*(I123="Y")*(J123&lt;&gt;J91)*(K123="Y")*(H123&lt;&gt;"")*(J123&lt;&gt;""))+((L123=L91)*(M123="Y")*(N123&lt;&gt;N91)*(O123="Y")*(L123&lt;&gt;"")*(N123&lt;&gt;""))+((P123=P91)*(Q123="Y")*(R123&lt;&gt;R91)*(S123="Y")*(P123&lt;&gt;"")*(R123&lt;&gt;""))),0)</f>
        <v/>
      </c>
      <c r="W123" s="37">
        <f>IFERROR(SUMPRODUCT(((E123="N")*(D123&lt;&gt;"")*(F123&lt;&gt;""))+((I123="N")*(H123&lt;&gt;"")*(J123&lt;&gt;""))+((M123="N")*(L123&lt;&gt;"")*(N123&lt;&gt;""))+((Q123="N")*(P123&lt;&gt;"")*(R123&lt;&gt;""))),0)</f>
        <v/>
      </c>
      <c r="X123" s="50">
        <f>IFERROR(U123/4,0)</f>
        <v/>
      </c>
    </row>
    <row r="124" ht="18" customHeight="1">
      <c r="B124" s="46">
        <f>'📥 ข้อมูลนักเรียน'!B36</f>
        <v/>
      </c>
      <c r="C124" s="47">
        <f>'📥 ข้อมูลนักเรียน'!C36</f>
        <v/>
      </c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37">
        <f>IFERROR(SUMPRODUCT(((D124=D91)*(E124="Y")*(F124=F91)*(G124="Y")*(D124&lt;&gt;"")*(F124&lt;&gt;""))+((H124=H91)*(I124="Y")*(J124=J91)*(K124="Y")*(H124&lt;&gt;"")*(J124&lt;&gt;""))+((L124=L91)*(M124="Y")*(N124=N91)*(O124="Y")*(L124&lt;&gt;"")*(N124&lt;&gt;""))+((P124=P91)*(Q124="Y")*(R124=R91)*(S124="Y")*(P124&lt;&gt;"")*(R124&lt;&gt;""))),0)</f>
        <v/>
      </c>
      <c r="U124" s="49">
        <f>IFERROR(SUMPRODUCT(((D124&lt;&gt;D91)*(E124="Y")*(F124&lt;&gt;F91)*(G124="Y")*(D124&lt;&gt;"")*(F124&lt;&gt;""))+((H124&lt;&gt;H91)*(I124="Y")*(J124&lt;&gt;J91)*(K124="Y")*(H124&lt;&gt;"")*(J124&lt;&gt;""))+((L124&lt;&gt;L91)*(M124="Y")*(N124&lt;&gt;N91)*(O124="Y")*(L124&lt;&gt;"")*(N124&lt;&gt;""))+((P124&lt;&gt;P91)*(Q124="Y")*(R124&lt;&gt;R91)*(S124="Y")*(P124&lt;&gt;"")*(R124&lt;&gt;""))),0)</f>
        <v/>
      </c>
      <c r="V124" s="37">
        <f>IFERROR(SUMPRODUCT(((D124=D91)*(E124="Y")*(F124&lt;&gt;F91)*(G124="Y")*(D124&lt;&gt;"")*(F124&lt;&gt;""))+((H124=H91)*(I124="Y")*(J124&lt;&gt;J91)*(K124="Y")*(H124&lt;&gt;"")*(J124&lt;&gt;""))+((L124=L91)*(M124="Y")*(N124&lt;&gt;N91)*(O124="Y")*(L124&lt;&gt;"")*(N124&lt;&gt;""))+((P124=P91)*(Q124="Y")*(R124&lt;&gt;R91)*(S124="Y")*(P124&lt;&gt;"")*(R124&lt;&gt;""))),0)</f>
        <v/>
      </c>
      <c r="W124" s="37">
        <f>IFERROR(SUMPRODUCT(((E124="N")*(D124&lt;&gt;"")*(F124&lt;&gt;""))+((I124="N")*(H124&lt;&gt;"")*(J124&lt;&gt;""))+((M124="N")*(L124&lt;&gt;"")*(N124&lt;&gt;""))+((Q124="N")*(P124&lt;&gt;"")*(R124&lt;&gt;""))),0)</f>
        <v/>
      </c>
      <c r="X124" s="50">
        <f>IFERROR(U124/4,0)</f>
        <v/>
      </c>
    </row>
    <row r="125" ht="18" customHeight="1">
      <c r="B125" s="46">
        <f>'📥 ข้อมูลนักเรียน'!B37</f>
        <v/>
      </c>
      <c r="C125" s="51">
        <f>'📥 ข้อมูลนักเรียน'!C37</f>
        <v/>
      </c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37">
        <f>IFERROR(SUMPRODUCT(((D125=D91)*(E125="Y")*(F125=F91)*(G125="Y")*(D125&lt;&gt;"")*(F125&lt;&gt;""))+((H125=H91)*(I125="Y")*(J125=J91)*(K125="Y")*(H125&lt;&gt;"")*(J125&lt;&gt;""))+((L125=L91)*(M125="Y")*(N125=N91)*(O125="Y")*(L125&lt;&gt;"")*(N125&lt;&gt;""))+((P125=P91)*(Q125="Y")*(R125=R91)*(S125="Y")*(P125&lt;&gt;"")*(R125&lt;&gt;""))),0)</f>
        <v/>
      </c>
      <c r="U125" s="49">
        <f>IFERROR(SUMPRODUCT(((D125&lt;&gt;D91)*(E125="Y")*(F125&lt;&gt;F91)*(G125="Y")*(D125&lt;&gt;"")*(F125&lt;&gt;""))+((H125&lt;&gt;H91)*(I125="Y")*(J125&lt;&gt;J91)*(K125="Y")*(H125&lt;&gt;"")*(J125&lt;&gt;""))+((L125&lt;&gt;L91)*(M125="Y")*(N125&lt;&gt;N91)*(O125="Y")*(L125&lt;&gt;"")*(N125&lt;&gt;""))+((P125&lt;&gt;P91)*(Q125="Y")*(R125&lt;&gt;R91)*(S125="Y")*(P125&lt;&gt;"")*(R125&lt;&gt;""))),0)</f>
        <v/>
      </c>
      <c r="V125" s="37">
        <f>IFERROR(SUMPRODUCT(((D125=D91)*(E125="Y")*(F125&lt;&gt;F91)*(G125="Y")*(D125&lt;&gt;"")*(F125&lt;&gt;""))+((H125=H91)*(I125="Y")*(J125&lt;&gt;J91)*(K125="Y")*(H125&lt;&gt;"")*(J125&lt;&gt;""))+((L125=L91)*(M125="Y")*(N125&lt;&gt;N91)*(O125="Y")*(L125&lt;&gt;"")*(N125&lt;&gt;""))+((P125=P91)*(Q125="Y")*(R125&lt;&gt;R91)*(S125="Y")*(P125&lt;&gt;"")*(R125&lt;&gt;""))),0)</f>
        <v/>
      </c>
      <c r="W125" s="37">
        <f>IFERROR(SUMPRODUCT(((E125="N")*(D125&lt;&gt;"")*(F125&lt;&gt;""))+((I125="N")*(H125&lt;&gt;"")*(J125&lt;&gt;""))+((M125="N")*(L125&lt;&gt;"")*(N125&lt;&gt;""))+((Q125="N")*(P125&lt;&gt;"")*(R125&lt;&gt;""))),0)</f>
        <v/>
      </c>
      <c r="X125" s="50">
        <f>IFERROR(U125/4,0)</f>
        <v/>
      </c>
    </row>
    <row r="126" ht="18" customHeight="1">
      <c r="B126" s="46">
        <f>'📥 ข้อมูลนักเรียน'!B38</f>
        <v/>
      </c>
      <c r="C126" s="47">
        <f>'📥 ข้อมูลนักเรียน'!C38</f>
        <v/>
      </c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37">
        <f>IFERROR(SUMPRODUCT(((D126=D91)*(E126="Y")*(F126=F91)*(G126="Y")*(D126&lt;&gt;"")*(F126&lt;&gt;""))+((H126=H91)*(I126="Y")*(J126=J91)*(K126="Y")*(H126&lt;&gt;"")*(J126&lt;&gt;""))+((L126=L91)*(M126="Y")*(N126=N91)*(O126="Y")*(L126&lt;&gt;"")*(N126&lt;&gt;""))+((P126=P91)*(Q126="Y")*(R126=R91)*(S126="Y")*(P126&lt;&gt;"")*(R126&lt;&gt;""))),0)</f>
        <v/>
      </c>
      <c r="U126" s="49">
        <f>IFERROR(SUMPRODUCT(((D126&lt;&gt;D91)*(E126="Y")*(F126&lt;&gt;F91)*(G126="Y")*(D126&lt;&gt;"")*(F126&lt;&gt;""))+((H126&lt;&gt;H91)*(I126="Y")*(J126&lt;&gt;J91)*(K126="Y")*(H126&lt;&gt;"")*(J126&lt;&gt;""))+((L126&lt;&gt;L91)*(M126="Y")*(N126&lt;&gt;N91)*(O126="Y")*(L126&lt;&gt;"")*(N126&lt;&gt;""))+((P126&lt;&gt;P91)*(Q126="Y")*(R126&lt;&gt;R91)*(S126="Y")*(P126&lt;&gt;"")*(R126&lt;&gt;""))),0)</f>
        <v/>
      </c>
      <c r="V126" s="37">
        <f>IFERROR(SUMPRODUCT(((D126=D91)*(E126="Y")*(F126&lt;&gt;F91)*(G126="Y")*(D126&lt;&gt;"")*(F126&lt;&gt;""))+((H126=H91)*(I126="Y")*(J126&lt;&gt;J91)*(K126="Y")*(H126&lt;&gt;"")*(J126&lt;&gt;""))+((L126=L91)*(M126="Y")*(N126&lt;&gt;N91)*(O126="Y")*(L126&lt;&gt;"")*(N126&lt;&gt;""))+((P126=P91)*(Q126="Y")*(R126&lt;&gt;R91)*(S126="Y")*(P126&lt;&gt;"")*(R126&lt;&gt;""))),0)</f>
        <v/>
      </c>
      <c r="W126" s="37">
        <f>IFERROR(SUMPRODUCT(((E126="N")*(D126&lt;&gt;"")*(F126&lt;&gt;""))+((I126="N")*(H126&lt;&gt;"")*(J126&lt;&gt;""))+((M126="N")*(L126&lt;&gt;"")*(N126&lt;&gt;""))+((Q126="N")*(P126&lt;&gt;"")*(R126&lt;&gt;""))),0)</f>
        <v/>
      </c>
      <c r="X126" s="50">
        <f>IFERROR(U126/4,0)</f>
        <v/>
      </c>
    </row>
    <row r="127" ht="24" customHeight="1">
      <c r="B127" s="240" t="inlineStr">
        <is>
          <t>สรุป Pre แผน 2</t>
        </is>
      </c>
      <c r="C127" s="369" t="n"/>
      <c r="T127" s="52">
        <f>IFERROR(AVERAGE(T92:T126)*4,0)</f>
        <v/>
      </c>
      <c r="U127" s="53">
        <f>IFERROR(AVERAGE(U92:U126)*4,0)</f>
        <v/>
      </c>
      <c r="V127" s="54">
        <f>IFERROR(AVERAGE(V92:V126)*4,0)</f>
        <v/>
      </c>
      <c r="W127" s="55">
        <f>IFERROR(AVERAGE(W92:W126)*4,0)</f>
        <v/>
      </c>
      <c r="X127" s="56">
        <f>IFERROR(AVERAGE(X92:X126),0)</f>
        <v/>
      </c>
    </row>
    <row r="128" ht="19.5" customHeight="1">
      <c r="B128" s="241" t="inlineStr">
        <is>
          <t>🟢 POST-test — หลังสอน  (แผน 2 ข้อ 5–8)</t>
        </is>
      </c>
    </row>
    <row r="129" ht="27.75" customHeight="1">
      <c r="B129" s="27" t="inlineStr">
        <is>
          <t>ที่</t>
        </is>
      </c>
      <c r="C129" s="27" t="inlineStr">
        <is>
          <t>ชื่อนักเรียน</t>
        </is>
      </c>
      <c r="D129" s="242" t="inlineStr">
        <is>
          <t>ข้อ 5</t>
        </is>
      </c>
      <c r="E129" s="369" t="n"/>
      <c r="F129" s="369" t="n"/>
      <c r="G129" s="369" t="n"/>
      <c r="H129" s="242" t="inlineStr">
        <is>
          <t>ข้อ 6</t>
        </is>
      </c>
      <c r="I129" s="369" t="n"/>
      <c r="J129" s="369" t="n"/>
      <c r="K129" s="369" t="n"/>
      <c r="L129" s="242" t="inlineStr">
        <is>
          <t>ข้อ 7</t>
        </is>
      </c>
      <c r="M129" s="369" t="n"/>
      <c r="N129" s="369" t="n"/>
      <c r="O129" s="369" t="n"/>
      <c r="P129" s="242" t="inlineStr">
        <is>
          <t>ข้อ 8</t>
        </is>
      </c>
      <c r="Q129" s="369" t="n"/>
      <c r="R129" s="369" t="n"/>
      <c r="S129" s="369" t="n"/>
      <c r="T129" s="57" t="inlineStr">
        <is>
          <t>Sound
✅</t>
        </is>
      </c>
      <c r="U129" s="57" t="inlineStr">
        <is>
          <t>Misc
❌</t>
        </is>
      </c>
      <c r="V129" s="57" t="inlineStr">
        <is>
          <t>Guess
🎲</t>
        </is>
      </c>
      <c r="W129" s="57" t="inlineStr">
        <is>
          <t>NoK
❓</t>
        </is>
      </c>
      <c r="X129" s="57" t="inlineStr">
        <is>
          <t>% Misc
(Auto)</t>
        </is>
      </c>
    </row>
    <row r="130" ht="27.75" customHeight="1">
      <c r="B130" s="58" t="n"/>
      <c r="C130" s="59" t="inlineStr">
        <is>
          <t>← กรอกเฉลย T1 และ T3</t>
        </is>
      </c>
      <c r="D130" s="60" t="inlineStr">
        <is>
          <t>T1
(ก-ง)</t>
        </is>
      </c>
      <c r="E130" s="60" t="inlineStr">
        <is>
          <t>T2
(Y/N)</t>
        </is>
      </c>
      <c r="F130" s="60" t="inlineStr">
        <is>
          <t>T3
(ก-ง)</t>
        </is>
      </c>
      <c r="G130" s="60" t="inlineStr">
        <is>
          <t>T4
(Y/N)</t>
        </is>
      </c>
      <c r="H130" s="60" t="inlineStr">
        <is>
          <t>T1
(ก-ง)</t>
        </is>
      </c>
      <c r="I130" s="60" t="inlineStr">
        <is>
          <t>T2
(Y/N)</t>
        </is>
      </c>
      <c r="J130" s="60" t="inlineStr">
        <is>
          <t>T3
(ก-ง)</t>
        </is>
      </c>
      <c r="K130" s="60" t="inlineStr">
        <is>
          <t>T4
(Y/N)</t>
        </is>
      </c>
      <c r="L130" s="60" t="inlineStr">
        <is>
          <t>T1
(ก-ง)</t>
        </is>
      </c>
      <c r="M130" s="60" t="inlineStr">
        <is>
          <t>T2
(Y/N)</t>
        </is>
      </c>
      <c r="N130" s="60" t="inlineStr">
        <is>
          <t>T3
(ก-ง)</t>
        </is>
      </c>
      <c r="O130" s="60" t="inlineStr">
        <is>
          <t>T4
(Y/N)</t>
        </is>
      </c>
      <c r="P130" s="60" t="inlineStr">
        <is>
          <t>T1
(ก-ง)</t>
        </is>
      </c>
      <c r="Q130" s="60" t="inlineStr">
        <is>
          <t>T2
(Y/N)</t>
        </is>
      </c>
      <c r="R130" s="60" t="inlineStr">
        <is>
          <t>T3
(ก-ง)</t>
        </is>
      </c>
      <c r="S130" s="60" t="inlineStr">
        <is>
          <t>T4
(Y/N)</t>
        </is>
      </c>
      <c r="T130" s="61" t="inlineStr">
        <is>
          <t>—</t>
        </is>
      </c>
      <c r="U130" s="61" t="inlineStr">
        <is>
          <t>—</t>
        </is>
      </c>
      <c r="V130" s="61" t="inlineStr">
        <is>
          <t>—</t>
        </is>
      </c>
      <c r="W130" s="61" t="inlineStr">
        <is>
          <t>—</t>
        </is>
      </c>
      <c r="X130" s="61" t="inlineStr">
        <is>
          <t>—</t>
        </is>
      </c>
    </row>
    <row r="131" ht="18" customHeight="1">
      <c r="B131" s="44" t="inlineStr">
        <is>
          <t>KEY</t>
        </is>
      </c>
      <c r="C131" s="45" t="inlineStr">
        <is>
          <t>← กรอกเฉลยที่ถูกต้อง</t>
        </is>
      </c>
      <c r="D131" s="9" t="n"/>
      <c r="E131" s="21" t="inlineStr">
        <is>
          <t>—</t>
        </is>
      </c>
      <c r="F131" s="9" t="n"/>
      <c r="G131" s="21" t="inlineStr">
        <is>
          <t>—</t>
        </is>
      </c>
      <c r="H131" s="9" t="n"/>
      <c r="I131" s="21" t="inlineStr">
        <is>
          <t>—</t>
        </is>
      </c>
      <c r="J131" s="9" t="n"/>
      <c r="K131" s="21" t="inlineStr">
        <is>
          <t>—</t>
        </is>
      </c>
      <c r="L131" s="9" t="n"/>
      <c r="M131" s="21" t="inlineStr">
        <is>
          <t>—</t>
        </is>
      </c>
      <c r="N131" s="9" t="n"/>
      <c r="O131" s="21" t="inlineStr">
        <is>
          <t>—</t>
        </is>
      </c>
      <c r="P131" s="9" t="n"/>
      <c r="Q131" s="21" t="inlineStr">
        <is>
          <t>—</t>
        </is>
      </c>
      <c r="R131" s="9" t="n"/>
      <c r="S131" s="21" t="inlineStr">
        <is>
          <t>—</t>
        </is>
      </c>
      <c r="T131" s="21" t="inlineStr">
        <is>
          <t>—</t>
        </is>
      </c>
      <c r="U131" s="21" t="inlineStr">
        <is>
          <t>—</t>
        </is>
      </c>
      <c r="V131" s="21" t="inlineStr">
        <is>
          <t>—</t>
        </is>
      </c>
      <c r="W131" s="21" t="inlineStr">
        <is>
          <t>—</t>
        </is>
      </c>
      <c r="X131" s="21" t="inlineStr">
        <is>
          <t>—</t>
        </is>
      </c>
    </row>
    <row r="132" ht="18" customHeight="1">
      <c r="B132" s="46">
        <f>'📥 ข้อมูลนักเรียน'!B4</f>
        <v/>
      </c>
      <c r="C132" s="47">
        <f>'📥 ข้อมูลนักเรียน'!C4</f>
        <v/>
      </c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37">
        <f>IFERROR(SUMPRODUCT(((D132=D131)*(E132="Y")*(F132=F131)*(G132="Y")*(D132&lt;&gt;"")* (F132&lt;&gt;""))+((H132=H131)*(I132="Y")*(J132=J131)*(K132="Y")*(H132&lt;&gt;"")* (J132&lt;&gt;""))+((L132=L131)*(M132="Y")*(N132=N131)*(O132="Y")*(L132&lt;&gt;"")* (N132&lt;&gt;""))+((P132=P131)*(Q132="Y")*(R132=R131)*(S132="Y")*(P132&lt;&gt;"")* (R132&lt;&gt;""))),0)</f>
        <v/>
      </c>
      <c r="U132" s="49">
        <f>IFERROR(SUMPRODUCT(((D132&lt;&gt;D131)*(E132="Y")*(F132&lt;&gt;F131)*(G132="Y")*(D132&lt;&gt;"")* (F132&lt;&gt;""))+((H132&lt;&gt;H131)*(I132="Y")*(J132&lt;&gt;J131)*(K132="Y")*(H132&lt;&gt;"")* (J132&lt;&gt;""))+((L132&lt;&gt;L131)*(M132="Y")*(N132&lt;&gt;N131)*(O132="Y")*(L132&lt;&gt;"")* (N132&lt;&gt;""))+((P132&lt;&gt;P131)*(Q132="Y")*(R132&lt;&gt;R131)*(S132="Y")*(P132&lt;&gt;"")* (R132&lt;&gt;""))),0)</f>
        <v/>
      </c>
      <c r="V132" s="37">
        <f>IFERROR(SUMPRODUCT(((D132=D131)*(E132="Y")*(F132&lt;&gt;F131)*(G132="Y")*(D132&lt;&gt;"")* (F132&lt;&gt;""))+((H132=H131)*(I132="Y")*(J132&lt;&gt;J131)*(K132="Y")*(H132&lt;&gt;"")* (J132&lt;&gt;""))+((L132=L131)*(M132="Y")*(N132&lt;&gt;N131)*(O132="Y")*(L132&lt;&gt;"")* (N132&lt;&gt;""))+((P132=P131)*(Q132="Y")*(R132&lt;&gt;R131)*(S132="Y")*(P132&lt;&gt;"")* (R132&lt;&gt;""))),0)</f>
        <v/>
      </c>
      <c r="W132" s="37">
        <f>IFERROR(SUMPRODUCT(((E132="N")*(D132&lt;&gt;"")* (F132&lt;&gt;""))+((I132="N")*(H132&lt;&gt;"")* (J132&lt;&gt;""))+((M132="N")*(L132&lt;&gt;"")* (N132&lt;&gt;""))+((Q132="N")*(P132&lt;&gt;"")* (R132&lt;&gt;""))),0)</f>
        <v/>
      </c>
      <c r="X132" s="50">
        <f>IFERROR(U132/4,0)</f>
        <v/>
      </c>
    </row>
    <row r="133" ht="18" customHeight="1">
      <c r="B133" s="46">
        <f>'📥 ข้อมูลนักเรียน'!B5</f>
        <v/>
      </c>
      <c r="C133" s="51">
        <f>'📥 ข้อมูลนักเรียน'!C5</f>
        <v/>
      </c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37">
        <f>IFERROR(SUMPRODUCT(((D133=D131)*(E133="Y")*(F133=F131)*(G133="Y")*(D133&lt;&gt;"")* (F133&lt;&gt;""))+((H133=H131)*(I133="Y")*(J133=J131)*(K133="Y")*(H133&lt;&gt;"")* (J133&lt;&gt;""))+((L133=L131)*(M133="Y")*(N133=N131)*(O133="Y")*(L133&lt;&gt;"")* (N133&lt;&gt;""))+((P133=P131)*(Q133="Y")*(R133=R131)*(S133="Y")*(P133&lt;&gt;"")* (R133&lt;&gt;""))),0)</f>
        <v/>
      </c>
      <c r="U133" s="49">
        <f>IFERROR(SUMPRODUCT(((D133&lt;&gt;D131)*(E133="Y")*(F133&lt;&gt;F131)*(G133="Y")*(D133&lt;&gt;"")* (F133&lt;&gt;""))+((H133&lt;&gt;H131)*(I133="Y")*(J133&lt;&gt;J131)*(K133="Y")*(H133&lt;&gt;"")* (J133&lt;&gt;""))+((L133&lt;&gt;L131)*(M133="Y")*(N133&lt;&gt;N131)*(O133="Y")*(L133&lt;&gt;"")* (N133&lt;&gt;""))+((P133&lt;&gt;P131)*(Q133="Y")*(R133&lt;&gt;R131)*(S133="Y")*(P133&lt;&gt;"")* (R133&lt;&gt;""))),0)</f>
        <v/>
      </c>
      <c r="V133" s="37">
        <f>IFERROR(SUMPRODUCT(((D133=D131)*(E133="Y")*(F133&lt;&gt;F131)*(G133="Y")*(D133&lt;&gt;"")* (F133&lt;&gt;""))+((H133=H131)*(I133="Y")*(J133&lt;&gt;J131)*(K133="Y")*(H133&lt;&gt;"")* (J133&lt;&gt;""))+((L133=L131)*(M133="Y")*(N133&lt;&gt;N131)*(O133="Y")*(L133&lt;&gt;"")* (N133&lt;&gt;""))+((P133=P131)*(Q133="Y")*(R133&lt;&gt;R131)*(S133="Y")*(P133&lt;&gt;"")* (R133&lt;&gt;""))),0)</f>
        <v/>
      </c>
      <c r="W133" s="37">
        <f>IFERROR(SUMPRODUCT(((E133="N")*(D133&lt;&gt;"")* (F133&lt;&gt;""))+((I133="N")*(H133&lt;&gt;"")* (J133&lt;&gt;""))+((M133="N")*(L133&lt;&gt;"")* (N133&lt;&gt;""))+((Q133="N")*(P133&lt;&gt;"")* (R133&lt;&gt;""))),0)</f>
        <v/>
      </c>
      <c r="X133" s="50">
        <f>IFERROR(U133/4,0)</f>
        <v/>
      </c>
    </row>
    <row r="134" ht="18" customHeight="1">
      <c r="B134" s="46">
        <f>'📥 ข้อมูลนักเรียน'!B6</f>
        <v/>
      </c>
      <c r="C134" s="47">
        <f>'📥 ข้อมูลนักเรียน'!C6</f>
        <v/>
      </c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37">
        <f>IFERROR(SUMPRODUCT(((D134=D131)*(E134="Y")*(F134=F131)*(G134="Y")*(D134&lt;&gt;"")* (F134&lt;&gt;""))+((H134=H131)*(I134="Y")*(J134=J131)*(K134="Y")*(H134&lt;&gt;"")* (J134&lt;&gt;""))+((L134=L131)*(M134="Y")*(N134=N131)*(O134="Y")*(L134&lt;&gt;"")* (N134&lt;&gt;""))+((P134=P131)*(Q134="Y")*(R134=R131)*(S134="Y")*(P134&lt;&gt;"")* (R134&lt;&gt;""))),0)</f>
        <v/>
      </c>
      <c r="U134" s="49">
        <f>IFERROR(SUMPRODUCT(((D134&lt;&gt;D131)*(E134="Y")*(F134&lt;&gt;F131)*(G134="Y")*(D134&lt;&gt;"")* (F134&lt;&gt;""))+((H134&lt;&gt;H131)*(I134="Y")*(J134&lt;&gt;J131)*(K134="Y")*(H134&lt;&gt;"")* (J134&lt;&gt;""))+((L134&lt;&gt;L131)*(M134="Y")*(N134&lt;&gt;N131)*(O134="Y")*(L134&lt;&gt;"")* (N134&lt;&gt;""))+((P134&lt;&gt;P131)*(Q134="Y")*(R134&lt;&gt;R131)*(S134="Y")*(P134&lt;&gt;"")* (R134&lt;&gt;""))),0)</f>
        <v/>
      </c>
      <c r="V134" s="37">
        <f>IFERROR(SUMPRODUCT(((D134=D131)*(E134="Y")*(F134&lt;&gt;F131)*(G134="Y")*(D134&lt;&gt;"")* (F134&lt;&gt;""))+((H134=H131)*(I134="Y")*(J134&lt;&gt;J131)*(K134="Y")*(H134&lt;&gt;"")* (J134&lt;&gt;""))+((L134=L131)*(M134="Y")*(N134&lt;&gt;N131)*(O134="Y")*(L134&lt;&gt;"")* (N134&lt;&gt;""))+((P134=P131)*(Q134="Y")*(R134&lt;&gt;R131)*(S134="Y")*(P134&lt;&gt;"")* (R134&lt;&gt;""))),0)</f>
        <v/>
      </c>
      <c r="W134" s="37">
        <f>IFERROR(SUMPRODUCT(((E134="N")*(D134&lt;&gt;"")* (F134&lt;&gt;""))+((I134="N")*(H134&lt;&gt;"")* (J134&lt;&gt;""))+((M134="N")*(L134&lt;&gt;"")* (N134&lt;&gt;""))+((Q134="N")*(P134&lt;&gt;"")* (R134&lt;&gt;""))),0)</f>
        <v/>
      </c>
      <c r="X134" s="50">
        <f>IFERROR(U134/4,0)</f>
        <v/>
      </c>
    </row>
    <row r="135" ht="18" customHeight="1">
      <c r="B135" s="46">
        <f>'📥 ข้อมูลนักเรียน'!B7</f>
        <v/>
      </c>
      <c r="C135" s="51">
        <f>'📥 ข้อมูลนักเรียน'!C7</f>
        <v/>
      </c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37">
        <f>IFERROR(SUMPRODUCT(((D135=D131)*(E135="Y")*(F135=F131)*(G135="Y")*(D135&lt;&gt;"")* (F135&lt;&gt;""))+((H135=H131)*(I135="Y")*(J135=J131)*(K135="Y")*(H135&lt;&gt;"")* (J135&lt;&gt;""))+((L135=L131)*(M135="Y")*(N135=N131)*(O135="Y")*(L135&lt;&gt;"")* (N135&lt;&gt;""))+((P135=P131)*(Q135="Y")*(R135=R131)*(S135="Y")*(P135&lt;&gt;"")* (R135&lt;&gt;""))),0)</f>
        <v/>
      </c>
      <c r="U135" s="49">
        <f>IFERROR(SUMPRODUCT(((D135&lt;&gt;D131)*(E135="Y")*(F135&lt;&gt;F131)*(G135="Y")*(D135&lt;&gt;"")* (F135&lt;&gt;""))+((H135&lt;&gt;H131)*(I135="Y")*(J135&lt;&gt;J131)*(K135="Y")*(H135&lt;&gt;"")* (J135&lt;&gt;""))+((L135&lt;&gt;L131)*(M135="Y")*(N135&lt;&gt;N131)*(O135="Y")*(L135&lt;&gt;"")* (N135&lt;&gt;""))+((P135&lt;&gt;P131)*(Q135="Y")*(R135&lt;&gt;R131)*(S135="Y")*(P135&lt;&gt;"")* (R135&lt;&gt;""))),0)</f>
        <v/>
      </c>
      <c r="V135" s="37">
        <f>IFERROR(SUMPRODUCT(((D135=D131)*(E135="Y")*(F135&lt;&gt;F131)*(G135="Y")*(D135&lt;&gt;"")* (F135&lt;&gt;""))+((H135=H131)*(I135="Y")*(J135&lt;&gt;J131)*(K135="Y")*(H135&lt;&gt;"")* (J135&lt;&gt;""))+((L135=L131)*(M135="Y")*(N135&lt;&gt;N131)*(O135="Y")*(L135&lt;&gt;"")* (N135&lt;&gt;""))+((P135=P131)*(Q135="Y")*(R135&lt;&gt;R131)*(S135="Y")*(P135&lt;&gt;"")* (R135&lt;&gt;""))),0)</f>
        <v/>
      </c>
      <c r="W135" s="37">
        <f>IFERROR(SUMPRODUCT(((E135="N")*(D135&lt;&gt;"")* (F135&lt;&gt;""))+((I135="N")*(H135&lt;&gt;"")* (J135&lt;&gt;""))+((M135="N")*(L135&lt;&gt;"")* (N135&lt;&gt;""))+((Q135="N")*(P135&lt;&gt;"")* (R135&lt;&gt;""))),0)</f>
        <v/>
      </c>
      <c r="X135" s="50">
        <f>IFERROR(U135/4,0)</f>
        <v/>
      </c>
    </row>
    <row r="136" ht="18" customHeight="1">
      <c r="B136" s="46">
        <f>'📥 ข้อมูลนักเรียน'!B8</f>
        <v/>
      </c>
      <c r="C136" s="47">
        <f>'📥 ข้อมูลนักเรียน'!C8</f>
        <v/>
      </c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37">
        <f>IFERROR(SUMPRODUCT(((D136=D131)*(E136="Y")*(F136=F131)*(G136="Y")*(D136&lt;&gt;"")* (F136&lt;&gt;""))+((H136=H131)*(I136="Y")*(J136=J131)*(K136="Y")*(H136&lt;&gt;"")* (J136&lt;&gt;""))+((L136=L131)*(M136="Y")*(N136=N131)*(O136="Y")*(L136&lt;&gt;"")* (N136&lt;&gt;""))+((P136=P131)*(Q136="Y")*(R136=R131)*(S136="Y")*(P136&lt;&gt;"")* (R136&lt;&gt;""))),0)</f>
        <v/>
      </c>
      <c r="U136" s="49">
        <f>IFERROR(SUMPRODUCT(((D136&lt;&gt;D131)*(E136="Y")*(F136&lt;&gt;F131)*(G136="Y")*(D136&lt;&gt;"")* (F136&lt;&gt;""))+((H136&lt;&gt;H131)*(I136="Y")*(J136&lt;&gt;J131)*(K136="Y")*(H136&lt;&gt;"")* (J136&lt;&gt;""))+((L136&lt;&gt;L131)*(M136="Y")*(N136&lt;&gt;N131)*(O136="Y")*(L136&lt;&gt;"")* (N136&lt;&gt;""))+((P136&lt;&gt;P131)*(Q136="Y")*(R136&lt;&gt;R131)*(S136="Y")*(P136&lt;&gt;"")* (R136&lt;&gt;""))),0)</f>
        <v/>
      </c>
      <c r="V136" s="37">
        <f>IFERROR(SUMPRODUCT(((D136=D131)*(E136="Y")*(F136&lt;&gt;F131)*(G136="Y")*(D136&lt;&gt;"")* (F136&lt;&gt;""))+((H136=H131)*(I136="Y")*(J136&lt;&gt;J131)*(K136="Y")*(H136&lt;&gt;"")* (J136&lt;&gt;""))+((L136=L131)*(M136="Y")*(N136&lt;&gt;N131)*(O136="Y")*(L136&lt;&gt;"")* (N136&lt;&gt;""))+((P136=P131)*(Q136="Y")*(R136&lt;&gt;R131)*(S136="Y")*(P136&lt;&gt;"")* (R136&lt;&gt;""))),0)</f>
        <v/>
      </c>
      <c r="W136" s="37">
        <f>IFERROR(SUMPRODUCT(((E136="N")*(D136&lt;&gt;"")* (F136&lt;&gt;""))+((I136="N")*(H136&lt;&gt;"")* (J136&lt;&gt;""))+((M136="N")*(L136&lt;&gt;"")* (N136&lt;&gt;""))+((Q136="N")*(P136&lt;&gt;"")* (R136&lt;&gt;""))),0)</f>
        <v/>
      </c>
      <c r="X136" s="50">
        <f>IFERROR(U136/4,0)</f>
        <v/>
      </c>
    </row>
    <row r="137" ht="18" customHeight="1">
      <c r="B137" s="46">
        <f>'📥 ข้อมูลนักเรียน'!B9</f>
        <v/>
      </c>
      <c r="C137" s="51">
        <f>'📥 ข้อมูลนักเรียน'!C9</f>
        <v/>
      </c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37">
        <f>IFERROR(SUMPRODUCT(((D137=D131)*(E137="Y")*(F137=F131)*(G137="Y")*(D137&lt;&gt;"")* (F137&lt;&gt;""))+((H137=H131)*(I137="Y")*(J137=J131)*(K137="Y")*(H137&lt;&gt;"")* (J137&lt;&gt;""))+((L137=L131)*(M137="Y")*(N137=N131)*(O137="Y")*(L137&lt;&gt;"")* (N137&lt;&gt;""))+((P137=P131)*(Q137="Y")*(R137=R131)*(S137="Y")*(P137&lt;&gt;"")* (R137&lt;&gt;""))),0)</f>
        <v/>
      </c>
      <c r="U137" s="49">
        <f>IFERROR(SUMPRODUCT(((D137&lt;&gt;D131)*(E137="Y")*(F137&lt;&gt;F131)*(G137="Y")*(D137&lt;&gt;"")* (F137&lt;&gt;""))+((H137&lt;&gt;H131)*(I137="Y")*(J137&lt;&gt;J131)*(K137="Y")*(H137&lt;&gt;"")* (J137&lt;&gt;""))+((L137&lt;&gt;L131)*(M137="Y")*(N137&lt;&gt;N131)*(O137="Y")*(L137&lt;&gt;"")* (N137&lt;&gt;""))+((P137&lt;&gt;P131)*(Q137="Y")*(R137&lt;&gt;R131)*(S137="Y")*(P137&lt;&gt;"")* (R137&lt;&gt;""))),0)</f>
        <v/>
      </c>
      <c r="V137" s="37">
        <f>IFERROR(SUMPRODUCT(((D137=D131)*(E137="Y")*(F137&lt;&gt;F131)*(G137="Y")*(D137&lt;&gt;"")* (F137&lt;&gt;""))+((H137=H131)*(I137="Y")*(J137&lt;&gt;J131)*(K137="Y")*(H137&lt;&gt;"")* (J137&lt;&gt;""))+((L137=L131)*(M137="Y")*(N137&lt;&gt;N131)*(O137="Y")*(L137&lt;&gt;"")* (N137&lt;&gt;""))+((P137=P131)*(Q137="Y")*(R137&lt;&gt;R131)*(S137="Y")*(P137&lt;&gt;"")* (R137&lt;&gt;""))),0)</f>
        <v/>
      </c>
      <c r="W137" s="37">
        <f>IFERROR(SUMPRODUCT(((E137="N")*(D137&lt;&gt;"")* (F137&lt;&gt;""))+((I137="N")*(H137&lt;&gt;"")* (J137&lt;&gt;""))+((M137="N")*(L137&lt;&gt;"")* (N137&lt;&gt;""))+((Q137="N")*(P137&lt;&gt;"")* (R137&lt;&gt;""))),0)</f>
        <v/>
      </c>
      <c r="X137" s="50">
        <f>IFERROR(U137/4,0)</f>
        <v/>
      </c>
    </row>
    <row r="138" ht="18" customHeight="1">
      <c r="B138" s="46">
        <f>'📥 ข้อมูลนักเรียน'!B10</f>
        <v/>
      </c>
      <c r="C138" s="47">
        <f>'📥 ข้อมูลนักเรียน'!C10</f>
        <v/>
      </c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37">
        <f>IFERROR(SUMPRODUCT(((D138=D131)*(E138="Y")*(F138=F131)*(G138="Y")*(D138&lt;&gt;"")* (F138&lt;&gt;""))+((H138=H131)*(I138="Y")*(J138=J131)*(K138="Y")*(H138&lt;&gt;"")* (J138&lt;&gt;""))+((L138=L131)*(M138="Y")*(N138=N131)*(O138="Y")*(L138&lt;&gt;"")* (N138&lt;&gt;""))+((P138=P131)*(Q138="Y")*(R138=R131)*(S138="Y")*(P138&lt;&gt;"")* (R138&lt;&gt;""))),0)</f>
        <v/>
      </c>
      <c r="U138" s="49">
        <f>IFERROR(SUMPRODUCT(((D138&lt;&gt;D131)*(E138="Y")*(F138&lt;&gt;F131)*(G138="Y")*(D138&lt;&gt;"")* (F138&lt;&gt;""))+((H138&lt;&gt;H131)*(I138="Y")*(J138&lt;&gt;J131)*(K138="Y")*(H138&lt;&gt;"")* (J138&lt;&gt;""))+((L138&lt;&gt;L131)*(M138="Y")*(N138&lt;&gt;N131)*(O138="Y")*(L138&lt;&gt;"")* (N138&lt;&gt;""))+((P138&lt;&gt;P131)*(Q138="Y")*(R138&lt;&gt;R131)*(S138="Y")*(P138&lt;&gt;"")* (R138&lt;&gt;""))),0)</f>
        <v/>
      </c>
      <c r="V138" s="37">
        <f>IFERROR(SUMPRODUCT(((D138=D131)*(E138="Y")*(F138&lt;&gt;F131)*(G138="Y")*(D138&lt;&gt;"")* (F138&lt;&gt;""))+((H138=H131)*(I138="Y")*(J138&lt;&gt;J131)*(K138="Y")*(H138&lt;&gt;"")* (J138&lt;&gt;""))+((L138=L131)*(M138="Y")*(N138&lt;&gt;N131)*(O138="Y")*(L138&lt;&gt;"")* (N138&lt;&gt;""))+((P138=P131)*(Q138="Y")*(R138&lt;&gt;R131)*(S138="Y")*(P138&lt;&gt;"")* (R138&lt;&gt;""))),0)</f>
        <v/>
      </c>
      <c r="W138" s="37">
        <f>IFERROR(SUMPRODUCT(((E138="N")*(D138&lt;&gt;"")* (F138&lt;&gt;""))+((I138="N")*(H138&lt;&gt;"")* (J138&lt;&gt;""))+((M138="N")*(L138&lt;&gt;"")* (N138&lt;&gt;""))+((Q138="N")*(P138&lt;&gt;"")* (R138&lt;&gt;""))),0)</f>
        <v/>
      </c>
      <c r="X138" s="50">
        <f>IFERROR(U138/4,0)</f>
        <v/>
      </c>
    </row>
    <row r="139" ht="18" customHeight="1">
      <c r="B139" s="46">
        <f>'📥 ข้อมูลนักเรียน'!B11</f>
        <v/>
      </c>
      <c r="C139" s="51">
        <f>'📥 ข้อมูลนักเรียน'!C11</f>
        <v/>
      </c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37">
        <f>IFERROR(SUMPRODUCT(((D139=D131)*(E139="Y")*(F139=F131)*(G139="Y")*(D139&lt;&gt;"")* (F139&lt;&gt;""))+((H139=H131)*(I139="Y")*(J139=J131)*(K139="Y")*(H139&lt;&gt;"")* (J139&lt;&gt;""))+((L139=L131)*(M139="Y")*(N139=N131)*(O139="Y")*(L139&lt;&gt;"")* (N139&lt;&gt;""))+((P139=P131)*(Q139="Y")*(R139=R131)*(S139="Y")*(P139&lt;&gt;"")* (R139&lt;&gt;""))),0)</f>
        <v/>
      </c>
      <c r="U139" s="49">
        <f>IFERROR(SUMPRODUCT(((D139&lt;&gt;D131)*(E139="Y")*(F139&lt;&gt;F131)*(G139="Y")*(D139&lt;&gt;"")* (F139&lt;&gt;""))+((H139&lt;&gt;H131)*(I139="Y")*(J139&lt;&gt;J131)*(K139="Y")*(H139&lt;&gt;"")* (J139&lt;&gt;""))+((L139&lt;&gt;L131)*(M139="Y")*(N139&lt;&gt;N131)*(O139="Y")*(L139&lt;&gt;"")* (N139&lt;&gt;""))+((P139&lt;&gt;P131)*(Q139="Y")*(R139&lt;&gt;R131)*(S139="Y")*(P139&lt;&gt;"")* (R139&lt;&gt;""))),0)</f>
        <v/>
      </c>
      <c r="V139" s="37">
        <f>IFERROR(SUMPRODUCT(((D139=D131)*(E139="Y")*(F139&lt;&gt;F131)*(G139="Y")*(D139&lt;&gt;"")* (F139&lt;&gt;""))+((H139=H131)*(I139="Y")*(J139&lt;&gt;J131)*(K139="Y")*(H139&lt;&gt;"")* (J139&lt;&gt;""))+((L139=L131)*(M139="Y")*(N139&lt;&gt;N131)*(O139="Y")*(L139&lt;&gt;"")* (N139&lt;&gt;""))+((P139=P131)*(Q139="Y")*(R139&lt;&gt;R131)*(S139="Y")*(P139&lt;&gt;"")* (R139&lt;&gt;""))),0)</f>
        <v/>
      </c>
      <c r="W139" s="37">
        <f>IFERROR(SUMPRODUCT(((E139="N")*(D139&lt;&gt;"")* (F139&lt;&gt;""))+((I139="N")*(H139&lt;&gt;"")* (J139&lt;&gt;""))+((M139="N")*(L139&lt;&gt;"")* (N139&lt;&gt;""))+((Q139="N")*(P139&lt;&gt;"")* (R139&lt;&gt;""))),0)</f>
        <v/>
      </c>
      <c r="X139" s="50">
        <f>IFERROR(U139/4,0)</f>
        <v/>
      </c>
    </row>
    <row r="140" ht="18" customHeight="1">
      <c r="B140" s="46">
        <f>'📥 ข้อมูลนักเรียน'!B12</f>
        <v/>
      </c>
      <c r="C140" s="47">
        <f>'📥 ข้อมูลนักเรียน'!C12</f>
        <v/>
      </c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37">
        <f>IFERROR(SUMPRODUCT(((D140=D131)*(E140="Y")*(F140=F131)*(G140="Y")*(D140&lt;&gt;"")* (F140&lt;&gt;""))+((H140=H131)*(I140="Y")*(J140=J131)*(K140="Y")*(H140&lt;&gt;"")* (J140&lt;&gt;""))+((L140=L131)*(M140="Y")*(N140=N131)*(O140="Y")*(L140&lt;&gt;"")* (N140&lt;&gt;""))+((P140=P131)*(Q140="Y")*(R140=R131)*(S140="Y")*(P140&lt;&gt;"")* (R140&lt;&gt;""))),0)</f>
        <v/>
      </c>
      <c r="U140" s="49">
        <f>IFERROR(SUMPRODUCT(((D140&lt;&gt;D131)*(E140="Y")*(F140&lt;&gt;F131)*(G140="Y")*(D140&lt;&gt;"")* (F140&lt;&gt;""))+((H140&lt;&gt;H131)*(I140="Y")*(J140&lt;&gt;J131)*(K140="Y")*(H140&lt;&gt;"")* (J140&lt;&gt;""))+((L140&lt;&gt;L131)*(M140="Y")*(N140&lt;&gt;N131)*(O140="Y")*(L140&lt;&gt;"")* (N140&lt;&gt;""))+((P140&lt;&gt;P131)*(Q140="Y")*(R140&lt;&gt;R131)*(S140="Y")*(P140&lt;&gt;"")* (R140&lt;&gt;""))),0)</f>
        <v/>
      </c>
      <c r="V140" s="37">
        <f>IFERROR(SUMPRODUCT(((D140=D131)*(E140="Y")*(F140&lt;&gt;F131)*(G140="Y")*(D140&lt;&gt;"")* (F140&lt;&gt;""))+((H140=H131)*(I140="Y")*(J140&lt;&gt;J131)*(K140="Y")*(H140&lt;&gt;"")* (J140&lt;&gt;""))+((L140=L131)*(M140="Y")*(N140&lt;&gt;N131)*(O140="Y")*(L140&lt;&gt;"")* (N140&lt;&gt;""))+((P140=P131)*(Q140="Y")*(R140&lt;&gt;R131)*(S140="Y")*(P140&lt;&gt;"")* (R140&lt;&gt;""))),0)</f>
        <v/>
      </c>
      <c r="W140" s="37">
        <f>IFERROR(SUMPRODUCT(((E140="N")*(D140&lt;&gt;"")* (F140&lt;&gt;""))+((I140="N")*(H140&lt;&gt;"")* (J140&lt;&gt;""))+((M140="N")*(L140&lt;&gt;"")* (N140&lt;&gt;""))+((Q140="N")*(P140&lt;&gt;"")* (R140&lt;&gt;""))),0)</f>
        <v/>
      </c>
      <c r="X140" s="50">
        <f>IFERROR(U140/4,0)</f>
        <v/>
      </c>
    </row>
    <row r="141" ht="18" customHeight="1">
      <c r="B141" s="46">
        <f>'📥 ข้อมูลนักเรียน'!B13</f>
        <v/>
      </c>
      <c r="C141" s="51">
        <f>'📥 ข้อมูลนักเรียน'!C13</f>
        <v/>
      </c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37">
        <f>IFERROR(SUMPRODUCT(((D141=D131)*(E141="Y")*(F141=F131)*(G141="Y")*(D141&lt;&gt;"")* (F141&lt;&gt;""))+((H141=H131)*(I141="Y")*(J141=J131)*(K141="Y")*(H141&lt;&gt;"")* (J141&lt;&gt;""))+((L141=L131)*(M141="Y")*(N141=N131)*(O141="Y")*(L141&lt;&gt;"")* (N141&lt;&gt;""))+((P141=P131)*(Q141="Y")*(R141=R131)*(S141="Y")*(P141&lt;&gt;"")* (R141&lt;&gt;""))),0)</f>
        <v/>
      </c>
      <c r="U141" s="49">
        <f>IFERROR(SUMPRODUCT(((D141&lt;&gt;D131)*(E141="Y")*(F141&lt;&gt;F131)*(G141="Y")*(D141&lt;&gt;"")* (F141&lt;&gt;""))+((H141&lt;&gt;H131)*(I141="Y")*(J141&lt;&gt;J131)*(K141="Y")*(H141&lt;&gt;"")* (J141&lt;&gt;""))+((L141&lt;&gt;L131)*(M141="Y")*(N141&lt;&gt;N131)*(O141="Y")*(L141&lt;&gt;"")* (N141&lt;&gt;""))+((P141&lt;&gt;P131)*(Q141="Y")*(R141&lt;&gt;R131)*(S141="Y")*(P141&lt;&gt;"")* (R141&lt;&gt;""))),0)</f>
        <v/>
      </c>
      <c r="V141" s="37">
        <f>IFERROR(SUMPRODUCT(((D141=D131)*(E141="Y")*(F141&lt;&gt;F131)*(G141="Y")*(D141&lt;&gt;"")* (F141&lt;&gt;""))+((H141=H131)*(I141="Y")*(J141&lt;&gt;J131)*(K141="Y")*(H141&lt;&gt;"")* (J141&lt;&gt;""))+((L141=L131)*(M141="Y")*(N141&lt;&gt;N131)*(O141="Y")*(L141&lt;&gt;"")* (N141&lt;&gt;""))+((P141=P131)*(Q141="Y")*(R141&lt;&gt;R131)*(S141="Y")*(P141&lt;&gt;"")* (R141&lt;&gt;""))),0)</f>
        <v/>
      </c>
      <c r="W141" s="37">
        <f>IFERROR(SUMPRODUCT(((E141="N")*(D141&lt;&gt;"")* (F141&lt;&gt;""))+((I141="N")*(H141&lt;&gt;"")* (J141&lt;&gt;""))+((M141="N")*(L141&lt;&gt;"")* (N141&lt;&gt;""))+((Q141="N")*(P141&lt;&gt;"")* (R141&lt;&gt;""))),0)</f>
        <v/>
      </c>
      <c r="X141" s="50">
        <f>IFERROR(U141/4,0)</f>
        <v/>
      </c>
    </row>
    <row r="142" ht="18" customHeight="1">
      <c r="B142" s="46">
        <f>'📥 ข้อมูลนักเรียน'!B14</f>
        <v/>
      </c>
      <c r="C142" s="47">
        <f>'📥 ข้อมูลนักเรียน'!C14</f>
        <v/>
      </c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37">
        <f>IFERROR(SUMPRODUCT(((D142=D131)*(E142="Y")*(F142=F131)*(G142="Y")*(D142&lt;&gt;"")* (F142&lt;&gt;""))+((H142=H131)*(I142="Y")*(J142=J131)*(K142="Y")*(H142&lt;&gt;"")* (J142&lt;&gt;""))+((L142=L131)*(M142="Y")*(N142=N131)*(O142="Y")*(L142&lt;&gt;"")* (N142&lt;&gt;""))+((P142=P131)*(Q142="Y")*(R142=R131)*(S142="Y")*(P142&lt;&gt;"")* (R142&lt;&gt;""))),0)</f>
        <v/>
      </c>
      <c r="U142" s="49">
        <f>IFERROR(SUMPRODUCT(((D142&lt;&gt;D131)*(E142="Y")*(F142&lt;&gt;F131)*(G142="Y")*(D142&lt;&gt;"")* (F142&lt;&gt;""))+((H142&lt;&gt;H131)*(I142="Y")*(J142&lt;&gt;J131)*(K142="Y")*(H142&lt;&gt;"")* (J142&lt;&gt;""))+((L142&lt;&gt;L131)*(M142="Y")*(N142&lt;&gt;N131)*(O142="Y")*(L142&lt;&gt;"")* (N142&lt;&gt;""))+((P142&lt;&gt;P131)*(Q142="Y")*(R142&lt;&gt;R131)*(S142="Y")*(P142&lt;&gt;"")* (R142&lt;&gt;""))),0)</f>
        <v/>
      </c>
      <c r="V142" s="37">
        <f>IFERROR(SUMPRODUCT(((D142=D131)*(E142="Y")*(F142&lt;&gt;F131)*(G142="Y")*(D142&lt;&gt;"")* (F142&lt;&gt;""))+((H142=H131)*(I142="Y")*(J142&lt;&gt;J131)*(K142="Y")*(H142&lt;&gt;"")* (J142&lt;&gt;""))+((L142=L131)*(M142="Y")*(N142&lt;&gt;N131)*(O142="Y")*(L142&lt;&gt;"")* (N142&lt;&gt;""))+((P142=P131)*(Q142="Y")*(R142&lt;&gt;R131)*(S142="Y")*(P142&lt;&gt;"")* (R142&lt;&gt;""))),0)</f>
        <v/>
      </c>
      <c r="W142" s="37">
        <f>IFERROR(SUMPRODUCT(((E142="N")*(D142&lt;&gt;"")* (F142&lt;&gt;""))+((I142="N")*(H142&lt;&gt;"")* (J142&lt;&gt;""))+((M142="N")*(L142&lt;&gt;"")* (N142&lt;&gt;""))+((Q142="N")*(P142&lt;&gt;"")* (R142&lt;&gt;""))),0)</f>
        <v/>
      </c>
      <c r="X142" s="50">
        <f>IFERROR(U142/4,0)</f>
        <v/>
      </c>
    </row>
    <row r="143" ht="18" customHeight="1">
      <c r="B143" s="46">
        <f>'📥 ข้อมูลนักเรียน'!B15</f>
        <v/>
      </c>
      <c r="C143" s="51">
        <f>'📥 ข้อมูลนักเรียน'!C15</f>
        <v/>
      </c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37">
        <f>IFERROR(SUMPRODUCT(((D143=D131)*(E143="Y")*(F143=F131)*(G143="Y")*(D143&lt;&gt;"")* (F143&lt;&gt;""))+((H143=H131)*(I143="Y")*(J143=J131)*(K143="Y")*(H143&lt;&gt;"")* (J143&lt;&gt;""))+((L143=L131)*(M143="Y")*(N143=N131)*(O143="Y")*(L143&lt;&gt;"")* (N143&lt;&gt;""))+((P143=P131)*(Q143="Y")*(R143=R131)*(S143="Y")*(P143&lt;&gt;"")* (R143&lt;&gt;""))),0)</f>
        <v/>
      </c>
      <c r="U143" s="49">
        <f>IFERROR(SUMPRODUCT(((D143&lt;&gt;D131)*(E143="Y")*(F143&lt;&gt;F131)*(G143="Y")*(D143&lt;&gt;"")* (F143&lt;&gt;""))+((H143&lt;&gt;H131)*(I143="Y")*(J143&lt;&gt;J131)*(K143="Y")*(H143&lt;&gt;"")* (J143&lt;&gt;""))+((L143&lt;&gt;L131)*(M143="Y")*(N143&lt;&gt;N131)*(O143="Y")*(L143&lt;&gt;"")* (N143&lt;&gt;""))+((P143&lt;&gt;P131)*(Q143="Y")*(R143&lt;&gt;R131)*(S143="Y")*(P143&lt;&gt;"")* (R143&lt;&gt;""))),0)</f>
        <v/>
      </c>
      <c r="V143" s="37">
        <f>IFERROR(SUMPRODUCT(((D143=D131)*(E143="Y")*(F143&lt;&gt;F131)*(G143="Y")*(D143&lt;&gt;"")* (F143&lt;&gt;""))+((H143=H131)*(I143="Y")*(J143&lt;&gt;J131)*(K143="Y")*(H143&lt;&gt;"")* (J143&lt;&gt;""))+((L143=L131)*(M143="Y")*(N143&lt;&gt;N131)*(O143="Y")*(L143&lt;&gt;"")* (N143&lt;&gt;""))+((P143=P131)*(Q143="Y")*(R143&lt;&gt;R131)*(S143="Y")*(P143&lt;&gt;"")* (R143&lt;&gt;""))),0)</f>
        <v/>
      </c>
      <c r="W143" s="37">
        <f>IFERROR(SUMPRODUCT(((E143="N")*(D143&lt;&gt;"")* (F143&lt;&gt;""))+((I143="N")*(H143&lt;&gt;"")* (J143&lt;&gt;""))+((M143="N")*(L143&lt;&gt;"")* (N143&lt;&gt;""))+((Q143="N")*(P143&lt;&gt;"")* (R143&lt;&gt;""))),0)</f>
        <v/>
      </c>
      <c r="X143" s="50">
        <f>IFERROR(U143/4,0)</f>
        <v/>
      </c>
    </row>
    <row r="144" ht="18" customHeight="1">
      <c r="B144" s="46">
        <f>'📥 ข้อมูลนักเรียน'!B16</f>
        <v/>
      </c>
      <c r="C144" s="47">
        <f>'📥 ข้อมูลนักเรียน'!C16</f>
        <v/>
      </c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37">
        <f>IFERROR(SUMPRODUCT(((D144=D131)*(E144="Y")*(F144=F131)*(G144="Y")*(D144&lt;&gt;"")* (F144&lt;&gt;""))+((H144=H131)*(I144="Y")*(J144=J131)*(K144="Y")*(H144&lt;&gt;"")* (J144&lt;&gt;""))+((L144=L131)*(M144="Y")*(N144=N131)*(O144="Y")*(L144&lt;&gt;"")* (N144&lt;&gt;""))+((P144=P131)*(Q144="Y")*(R144=R131)*(S144="Y")*(P144&lt;&gt;"")* (R144&lt;&gt;""))),0)</f>
        <v/>
      </c>
      <c r="U144" s="49">
        <f>IFERROR(SUMPRODUCT(((D144&lt;&gt;D131)*(E144="Y")*(F144&lt;&gt;F131)*(G144="Y")*(D144&lt;&gt;"")* (F144&lt;&gt;""))+((H144&lt;&gt;H131)*(I144="Y")*(J144&lt;&gt;J131)*(K144="Y")*(H144&lt;&gt;"")* (J144&lt;&gt;""))+((L144&lt;&gt;L131)*(M144="Y")*(N144&lt;&gt;N131)*(O144="Y")*(L144&lt;&gt;"")* (N144&lt;&gt;""))+((P144&lt;&gt;P131)*(Q144="Y")*(R144&lt;&gt;R131)*(S144="Y")*(P144&lt;&gt;"")* (R144&lt;&gt;""))),0)</f>
        <v/>
      </c>
      <c r="V144" s="37">
        <f>IFERROR(SUMPRODUCT(((D144=D131)*(E144="Y")*(F144&lt;&gt;F131)*(G144="Y")*(D144&lt;&gt;"")* (F144&lt;&gt;""))+((H144=H131)*(I144="Y")*(J144&lt;&gt;J131)*(K144="Y")*(H144&lt;&gt;"")* (J144&lt;&gt;""))+((L144=L131)*(M144="Y")*(N144&lt;&gt;N131)*(O144="Y")*(L144&lt;&gt;"")* (N144&lt;&gt;""))+((P144=P131)*(Q144="Y")*(R144&lt;&gt;R131)*(S144="Y")*(P144&lt;&gt;"")* (R144&lt;&gt;""))),0)</f>
        <v/>
      </c>
      <c r="W144" s="37">
        <f>IFERROR(SUMPRODUCT(((E144="N")*(D144&lt;&gt;"")* (F144&lt;&gt;""))+((I144="N")*(H144&lt;&gt;"")* (J144&lt;&gt;""))+((M144="N")*(L144&lt;&gt;"")* (N144&lt;&gt;""))+((Q144="N")*(P144&lt;&gt;"")* (R144&lt;&gt;""))),0)</f>
        <v/>
      </c>
      <c r="X144" s="50">
        <f>IFERROR(U144/4,0)</f>
        <v/>
      </c>
    </row>
    <row r="145" ht="18" customHeight="1">
      <c r="B145" s="46">
        <f>'📥 ข้อมูลนักเรียน'!B17</f>
        <v/>
      </c>
      <c r="C145" s="51">
        <f>'📥 ข้อมูลนักเรียน'!C17</f>
        <v/>
      </c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37">
        <f>IFERROR(SUMPRODUCT(((D145=D131)*(E145="Y")*(F145=F131)*(G145="Y")*(D145&lt;&gt;"")* (F145&lt;&gt;""))+((H145=H131)*(I145="Y")*(J145=J131)*(K145="Y")*(H145&lt;&gt;"")* (J145&lt;&gt;""))+((L145=L131)*(M145="Y")*(N145=N131)*(O145="Y")*(L145&lt;&gt;"")* (N145&lt;&gt;""))+((P145=P131)*(Q145="Y")*(R145=R131)*(S145="Y")*(P145&lt;&gt;"")* (R145&lt;&gt;""))),0)</f>
        <v/>
      </c>
      <c r="U145" s="49">
        <f>IFERROR(SUMPRODUCT(((D145&lt;&gt;D131)*(E145="Y")*(F145&lt;&gt;F131)*(G145="Y")*(D145&lt;&gt;"")* (F145&lt;&gt;""))+((H145&lt;&gt;H131)*(I145="Y")*(J145&lt;&gt;J131)*(K145="Y")*(H145&lt;&gt;"")* (J145&lt;&gt;""))+((L145&lt;&gt;L131)*(M145="Y")*(N145&lt;&gt;N131)*(O145="Y")*(L145&lt;&gt;"")* (N145&lt;&gt;""))+((P145&lt;&gt;P131)*(Q145="Y")*(R145&lt;&gt;R131)*(S145="Y")*(P145&lt;&gt;"")* (R145&lt;&gt;""))),0)</f>
        <v/>
      </c>
      <c r="V145" s="37">
        <f>IFERROR(SUMPRODUCT(((D145=D131)*(E145="Y")*(F145&lt;&gt;F131)*(G145="Y")*(D145&lt;&gt;"")* (F145&lt;&gt;""))+((H145=H131)*(I145="Y")*(J145&lt;&gt;J131)*(K145="Y")*(H145&lt;&gt;"")* (J145&lt;&gt;""))+((L145=L131)*(M145="Y")*(N145&lt;&gt;N131)*(O145="Y")*(L145&lt;&gt;"")* (N145&lt;&gt;""))+((P145=P131)*(Q145="Y")*(R145&lt;&gt;R131)*(S145="Y")*(P145&lt;&gt;"")* (R145&lt;&gt;""))),0)</f>
        <v/>
      </c>
      <c r="W145" s="37">
        <f>IFERROR(SUMPRODUCT(((E145="N")*(D145&lt;&gt;"")* (F145&lt;&gt;""))+((I145="N")*(H145&lt;&gt;"")* (J145&lt;&gt;""))+((M145="N")*(L145&lt;&gt;"")* (N145&lt;&gt;""))+((Q145="N")*(P145&lt;&gt;"")* (R145&lt;&gt;""))),0)</f>
        <v/>
      </c>
      <c r="X145" s="50">
        <f>IFERROR(U145/4,0)</f>
        <v/>
      </c>
    </row>
    <row r="146" ht="18" customHeight="1">
      <c r="B146" s="46">
        <f>'📥 ข้อมูลนักเรียน'!B18</f>
        <v/>
      </c>
      <c r="C146" s="47">
        <f>'📥 ข้อมูลนักเรียน'!C18</f>
        <v/>
      </c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37">
        <f>IFERROR(SUMPRODUCT(((D146=D131)*(E146="Y")*(F146=F131)*(G146="Y")*(D146&lt;&gt;"")*(F146&lt;&gt;""))+((H146=H131)*(I146="Y")*(J146=J131)*(K146="Y")*(H146&lt;&gt;"")*(J146&lt;&gt;""))+((L146=L131)*(M146="Y")*(N146=N131)*(O146="Y")*(L146&lt;&gt;"")*(N146&lt;&gt;""))+((P146=P131)*(Q146="Y")*(R146=R131)*(S146="Y")*(P146&lt;&gt;"")*(R146&lt;&gt;""))),0)</f>
        <v/>
      </c>
      <c r="U146" s="49">
        <f>IFERROR(SUMPRODUCT(((D146&lt;&gt;D131)*(E146="Y")*(F146&lt;&gt;F131)*(G146="Y")*(D146&lt;&gt;"")*(F146&lt;&gt;""))+((H146&lt;&gt;H131)*(I146="Y")*(J146&lt;&gt;J131)*(K146="Y")*(H146&lt;&gt;"")*(J146&lt;&gt;""))+((L146&lt;&gt;L131)*(M146="Y")*(N146&lt;&gt;N131)*(O146="Y")*(L146&lt;&gt;"")*(N146&lt;&gt;""))+((P146&lt;&gt;P131)*(Q146="Y")*(R146&lt;&gt;R131)*(S146="Y")*(P146&lt;&gt;"")*(R146&lt;&gt;""))),0)</f>
        <v/>
      </c>
      <c r="V146" s="37">
        <f>IFERROR(SUMPRODUCT(((D146=D131)*(E146="Y")*(F146&lt;&gt;F131)*(G146="Y")*(D146&lt;&gt;"")*(F146&lt;&gt;""))+((H146=H131)*(I146="Y")*(J146&lt;&gt;J131)*(K146="Y")*(H146&lt;&gt;"")*(J146&lt;&gt;""))+((L146=L131)*(M146="Y")*(N146&lt;&gt;N131)*(O146="Y")*(L146&lt;&gt;"")*(N146&lt;&gt;""))+((P146=P131)*(Q146="Y")*(R146&lt;&gt;R131)*(S146="Y")*(P146&lt;&gt;"")*(R146&lt;&gt;""))),0)</f>
        <v/>
      </c>
      <c r="W146" s="37">
        <f>IFERROR(SUMPRODUCT(((E146="N")*(D146&lt;&gt;"")*(F146&lt;&gt;""))+((I146="N")*(H146&lt;&gt;"")*(J146&lt;&gt;""))+((M146="N")*(L146&lt;&gt;"")*(N146&lt;&gt;""))+((Q146="N")*(P146&lt;&gt;"")*(R146&lt;&gt;""))),0)</f>
        <v/>
      </c>
      <c r="X146" s="50">
        <f>IFERROR(U146/4,0)</f>
        <v/>
      </c>
    </row>
    <row r="147" ht="18" customHeight="1">
      <c r="B147" s="46">
        <f>'📥 ข้อมูลนักเรียน'!B19</f>
        <v/>
      </c>
      <c r="C147" s="51">
        <f>'📥 ข้อมูลนักเรียน'!C19</f>
        <v/>
      </c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37">
        <f>IFERROR(SUMPRODUCT(((D147=D131)*(E147="Y")*(F147=F131)*(G147="Y")*(D147&lt;&gt;"")*(F147&lt;&gt;""))+((H147=H131)*(I147="Y")*(J147=J131)*(K147="Y")*(H147&lt;&gt;"")*(J147&lt;&gt;""))+((L147=L131)*(M147="Y")*(N147=N131)*(O147="Y")*(L147&lt;&gt;"")*(N147&lt;&gt;""))+((P147=P131)*(Q147="Y")*(R147=R131)*(S147="Y")*(P147&lt;&gt;"")*(R147&lt;&gt;""))),0)</f>
        <v/>
      </c>
      <c r="U147" s="49">
        <f>IFERROR(SUMPRODUCT(((D147&lt;&gt;D131)*(E147="Y")*(F147&lt;&gt;F131)*(G147="Y")*(D147&lt;&gt;"")*(F147&lt;&gt;""))+((H147&lt;&gt;H131)*(I147="Y")*(J147&lt;&gt;J131)*(K147="Y")*(H147&lt;&gt;"")*(J147&lt;&gt;""))+((L147&lt;&gt;L131)*(M147="Y")*(N147&lt;&gt;N131)*(O147="Y")*(L147&lt;&gt;"")*(N147&lt;&gt;""))+((P147&lt;&gt;P131)*(Q147="Y")*(R147&lt;&gt;R131)*(S147="Y")*(P147&lt;&gt;"")*(R147&lt;&gt;""))),0)</f>
        <v/>
      </c>
      <c r="V147" s="37">
        <f>IFERROR(SUMPRODUCT(((D147=D131)*(E147="Y")*(F147&lt;&gt;F131)*(G147="Y")*(D147&lt;&gt;"")*(F147&lt;&gt;""))+((H147=H131)*(I147="Y")*(J147&lt;&gt;J131)*(K147="Y")*(H147&lt;&gt;"")*(J147&lt;&gt;""))+((L147=L131)*(M147="Y")*(N147&lt;&gt;N131)*(O147="Y")*(L147&lt;&gt;"")*(N147&lt;&gt;""))+((P147=P131)*(Q147="Y")*(R147&lt;&gt;R131)*(S147="Y")*(P147&lt;&gt;"")*(R147&lt;&gt;""))),0)</f>
        <v/>
      </c>
      <c r="W147" s="37">
        <f>IFERROR(SUMPRODUCT(((E147="N")*(D147&lt;&gt;"")*(F147&lt;&gt;""))+((I147="N")*(H147&lt;&gt;"")*(J147&lt;&gt;""))+((M147="N")*(L147&lt;&gt;"")*(N147&lt;&gt;""))+((Q147="N")*(P147&lt;&gt;"")*(R147&lt;&gt;""))),0)</f>
        <v/>
      </c>
      <c r="X147" s="50">
        <f>IFERROR(U147/4,0)</f>
        <v/>
      </c>
    </row>
    <row r="148" ht="18" customHeight="1">
      <c r="B148" s="46">
        <f>'📥 ข้อมูลนักเรียน'!B20</f>
        <v/>
      </c>
      <c r="C148" s="47">
        <f>'📥 ข้อมูลนักเรียน'!C20</f>
        <v/>
      </c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37">
        <f>IFERROR(SUMPRODUCT(((D148=D131)*(E148="Y")*(F148=F131)*(G148="Y")*(D148&lt;&gt;"")*(F148&lt;&gt;""))+((H148=H131)*(I148="Y")*(J148=J131)*(K148="Y")*(H148&lt;&gt;"")*(J148&lt;&gt;""))+((L148=L131)*(M148="Y")*(N148=N131)*(O148="Y")*(L148&lt;&gt;"")*(N148&lt;&gt;""))+((P148=P131)*(Q148="Y")*(R148=R131)*(S148="Y")*(P148&lt;&gt;"")*(R148&lt;&gt;""))),0)</f>
        <v/>
      </c>
      <c r="U148" s="49">
        <f>IFERROR(SUMPRODUCT(((D148&lt;&gt;D131)*(E148="Y")*(F148&lt;&gt;F131)*(G148="Y")*(D148&lt;&gt;"")*(F148&lt;&gt;""))+((H148&lt;&gt;H131)*(I148="Y")*(J148&lt;&gt;J131)*(K148="Y")*(H148&lt;&gt;"")*(J148&lt;&gt;""))+((L148&lt;&gt;L131)*(M148="Y")*(N148&lt;&gt;N131)*(O148="Y")*(L148&lt;&gt;"")*(N148&lt;&gt;""))+((P148&lt;&gt;P131)*(Q148="Y")*(R148&lt;&gt;R131)*(S148="Y")*(P148&lt;&gt;"")*(R148&lt;&gt;""))),0)</f>
        <v/>
      </c>
      <c r="V148" s="37">
        <f>IFERROR(SUMPRODUCT(((D148=D131)*(E148="Y")*(F148&lt;&gt;F131)*(G148="Y")*(D148&lt;&gt;"")*(F148&lt;&gt;""))+((H148=H131)*(I148="Y")*(J148&lt;&gt;J131)*(K148="Y")*(H148&lt;&gt;"")*(J148&lt;&gt;""))+((L148=L131)*(M148="Y")*(N148&lt;&gt;N131)*(O148="Y")*(L148&lt;&gt;"")*(N148&lt;&gt;""))+((P148=P131)*(Q148="Y")*(R148&lt;&gt;R131)*(S148="Y")*(P148&lt;&gt;"")*(R148&lt;&gt;""))),0)</f>
        <v/>
      </c>
      <c r="W148" s="37">
        <f>IFERROR(SUMPRODUCT(((E148="N")*(D148&lt;&gt;"")*(F148&lt;&gt;""))+((I148="N")*(H148&lt;&gt;"")*(J148&lt;&gt;""))+((M148="N")*(L148&lt;&gt;"")*(N148&lt;&gt;""))+((Q148="N")*(P148&lt;&gt;"")*(R148&lt;&gt;""))),0)</f>
        <v/>
      </c>
      <c r="X148" s="50">
        <f>IFERROR(U148/4,0)</f>
        <v/>
      </c>
    </row>
    <row r="149" ht="18" customHeight="1">
      <c r="B149" s="46">
        <f>'📥 ข้อมูลนักเรียน'!B21</f>
        <v/>
      </c>
      <c r="C149" s="51">
        <f>'📥 ข้อมูลนักเรียน'!C21</f>
        <v/>
      </c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37">
        <f>IFERROR(SUMPRODUCT(((D149=D131)*(E149="Y")*(F149=F131)*(G149="Y")*(D149&lt;&gt;"")*(F149&lt;&gt;""))+((H149=H131)*(I149="Y")*(J149=J131)*(K149="Y")*(H149&lt;&gt;"")*(J149&lt;&gt;""))+((L149=L131)*(M149="Y")*(N149=N131)*(O149="Y")*(L149&lt;&gt;"")*(N149&lt;&gt;""))+((P149=P131)*(Q149="Y")*(R149=R131)*(S149="Y")*(P149&lt;&gt;"")*(R149&lt;&gt;""))),0)</f>
        <v/>
      </c>
      <c r="U149" s="49">
        <f>IFERROR(SUMPRODUCT(((D149&lt;&gt;D131)*(E149="Y")*(F149&lt;&gt;F131)*(G149="Y")*(D149&lt;&gt;"")*(F149&lt;&gt;""))+((H149&lt;&gt;H131)*(I149="Y")*(J149&lt;&gt;J131)*(K149="Y")*(H149&lt;&gt;"")*(J149&lt;&gt;""))+((L149&lt;&gt;L131)*(M149="Y")*(N149&lt;&gt;N131)*(O149="Y")*(L149&lt;&gt;"")*(N149&lt;&gt;""))+((P149&lt;&gt;P131)*(Q149="Y")*(R149&lt;&gt;R131)*(S149="Y")*(P149&lt;&gt;"")*(R149&lt;&gt;""))),0)</f>
        <v/>
      </c>
      <c r="V149" s="37">
        <f>IFERROR(SUMPRODUCT(((D149=D131)*(E149="Y")*(F149&lt;&gt;F131)*(G149="Y")*(D149&lt;&gt;"")*(F149&lt;&gt;""))+((H149=H131)*(I149="Y")*(J149&lt;&gt;J131)*(K149="Y")*(H149&lt;&gt;"")*(J149&lt;&gt;""))+((L149=L131)*(M149="Y")*(N149&lt;&gt;N131)*(O149="Y")*(L149&lt;&gt;"")*(N149&lt;&gt;""))+((P149=P131)*(Q149="Y")*(R149&lt;&gt;R131)*(S149="Y")*(P149&lt;&gt;"")*(R149&lt;&gt;""))),0)</f>
        <v/>
      </c>
      <c r="W149" s="37">
        <f>IFERROR(SUMPRODUCT(((E149="N")*(D149&lt;&gt;"")*(F149&lt;&gt;""))+((I149="N")*(H149&lt;&gt;"")*(J149&lt;&gt;""))+((M149="N")*(L149&lt;&gt;"")*(N149&lt;&gt;""))+((Q149="N")*(P149&lt;&gt;"")*(R149&lt;&gt;""))),0)</f>
        <v/>
      </c>
      <c r="X149" s="50">
        <f>IFERROR(U149/4,0)</f>
        <v/>
      </c>
    </row>
    <row r="150" ht="18" customHeight="1">
      <c r="B150" s="46">
        <f>'📥 ข้อมูลนักเรียน'!B22</f>
        <v/>
      </c>
      <c r="C150" s="47">
        <f>'📥 ข้อมูลนักเรียน'!C22</f>
        <v/>
      </c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37">
        <f>IFERROR(SUMPRODUCT(((D150=D131)*(E150="Y")*(F150=F131)*(G150="Y")*(D150&lt;&gt;"")*(F150&lt;&gt;""))+((H150=H131)*(I150="Y")*(J150=J131)*(K150="Y")*(H150&lt;&gt;"")*(J150&lt;&gt;""))+((L150=L131)*(M150="Y")*(N150=N131)*(O150="Y")*(L150&lt;&gt;"")*(N150&lt;&gt;""))+((P150=P131)*(Q150="Y")*(R150=R131)*(S150="Y")*(P150&lt;&gt;"")*(R150&lt;&gt;""))),0)</f>
        <v/>
      </c>
      <c r="U150" s="49">
        <f>IFERROR(SUMPRODUCT(((D150&lt;&gt;D131)*(E150="Y")*(F150&lt;&gt;F131)*(G150="Y")*(D150&lt;&gt;"")*(F150&lt;&gt;""))+((H150&lt;&gt;H131)*(I150="Y")*(J150&lt;&gt;J131)*(K150="Y")*(H150&lt;&gt;"")*(J150&lt;&gt;""))+((L150&lt;&gt;L131)*(M150="Y")*(N150&lt;&gt;N131)*(O150="Y")*(L150&lt;&gt;"")*(N150&lt;&gt;""))+((P150&lt;&gt;P131)*(Q150="Y")*(R150&lt;&gt;R131)*(S150="Y")*(P150&lt;&gt;"")*(R150&lt;&gt;""))),0)</f>
        <v/>
      </c>
      <c r="V150" s="37">
        <f>IFERROR(SUMPRODUCT(((D150=D131)*(E150="Y")*(F150&lt;&gt;F131)*(G150="Y")*(D150&lt;&gt;"")*(F150&lt;&gt;""))+((H150=H131)*(I150="Y")*(J150&lt;&gt;J131)*(K150="Y")*(H150&lt;&gt;"")*(J150&lt;&gt;""))+((L150=L131)*(M150="Y")*(N150&lt;&gt;N131)*(O150="Y")*(L150&lt;&gt;"")*(N150&lt;&gt;""))+((P150=P131)*(Q150="Y")*(R150&lt;&gt;R131)*(S150="Y")*(P150&lt;&gt;"")*(R150&lt;&gt;""))),0)</f>
        <v/>
      </c>
      <c r="W150" s="37">
        <f>IFERROR(SUMPRODUCT(((E150="N")*(D150&lt;&gt;"")*(F150&lt;&gt;""))+((I150="N")*(H150&lt;&gt;"")*(J150&lt;&gt;""))+((M150="N")*(L150&lt;&gt;"")*(N150&lt;&gt;""))+((Q150="N")*(P150&lt;&gt;"")*(R150&lt;&gt;""))),0)</f>
        <v/>
      </c>
      <c r="X150" s="50">
        <f>IFERROR(U150/4,0)</f>
        <v/>
      </c>
    </row>
    <row r="151" ht="18" customHeight="1">
      <c r="B151" s="46">
        <f>'📥 ข้อมูลนักเรียน'!B23</f>
        <v/>
      </c>
      <c r="C151" s="51">
        <f>'📥 ข้อมูลนักเรียน'!C23</f>
        <v/>
      </c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37">
        <f>IFERROR(SUMPRODUCT(((D151=D131)*(E151="Y")*(F151=F131)*(G151="Y")*(D151&lt;&gt;"")*(F151&lt;&gt;""))+((H151=H131)*(I151="Y")*(J151=J131)*(K151="Y")*(H151&lt;&gt;"")*(J151&lt;&gt;""))+((L151=L131)*(M151="Y")*(N151=N131)*(O151="Y")*(L151&lt;&gt;"")*(N151&lt;&gt;""))+((P151=P131)*(Q151="Y")*(R151=R131)*(S151="Y")*(P151&lt;&gt;"")*(R151&lt;&gt;""))),0)</f>
        <v/>
      </c>
      <c r="U151" s="49">
        <f>IFERROR(SUMPRODUCT(((D151&lt;&gt;D131)*(E151="Y")*(F151&lt;&gt;F131)*(G151="Y")*(D151&lt;&gt;"")*(F151&lt;&gt;""))+((H151&lt;&gt;H131)*(I151="Y")*(J151&lt;&gt;J131)*(K151="Y")*(H151&lt;&gt;"")*(J151&lt;&gt;""))+((L151&lt;&gt;L131)*(M151="Y")*(N151&lt;&gt;N131)*(O151="Y")*(L151&lt;&gt;"")*(N151&lt;&gt;""))+((P151&lt;&gt;P131)*(Q151="Y")*(R151&lt;&gt;R131)*(S151="Y")*(P151&lt;&gt;"")*(R151&lt;&gt;""))),0)</f>
        <v/>
      </c>
      <c r="V151" s="37">
        <f>IFERROR(SUMPRODUCT(((D151=D131)*(E151="Y")*(F151&lt;&gt;F131)*(G151="Y")*(D151&lt;&gt;"")*(F151&lt;&gt;""))+((H151=H131)*(I151="Y")*(J151&lt;&gt;J131)*(K151="Y")*(H151&lt;&gt;"")*(J151&lt;&gt;""))+((L151=L131)*(M151="Y")*(N151&lt;&gt;N131)*(O151="Y")*(L151&lt;&gt;"")*(N151&lt;&gt;""))+((P151=P131)*(Q151="Y")*(R151&lt;&gt;R131)*(S151="Y")*(P151&lt;&gt;"")*(R151&lt;&gt;""))),0)</f>
        <v/>
      </c>
      <c r="W151" s="37">
        <f>IFERROR(SUMPRODUCT(((E151="N")*(D151&lt;&gt;"")*(F151&lt;&gt;""))+((I151="N")*(H151&lt;&gt;"")*(J151&lt;&gt;""))+((M151="N")*(L151&lt;&gt;"")*(N151&lt;&gt;""))+((Q151="N")*(P151&lt;&gt;"")*(R151&lt;&gt;""))),0)</f>
        <v/>
      </c>
      <c r="X151" s="50">
        <f>IFERROR(U151/4,0)</f>
        <v/>
      </c>
    </row>
    <row r="152" ht="18" customHeight="1">
      <c r="B152" s="46">
        <f>'📥 ข้อมูลนักเรียน'!B24</f>
        <v/>
      </c>
      <c r="C152" s="47">
        <f>'📥 ข้อมูลนักเรียน'!C24</f>
        <v/>
      </c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37">
        <f>IFERROR(SUMPRODUCT(((D152=D131)*(E152="Y")*(F152=F131)*(G152="Y")*(D152&lt;&gt;"")*(F152&lt;&gt;""))+((H152=H131)*(I152="Y")*(J152=J131)*(K152="Y")*(H152&lt;&gt;"")*(J152&lt;&gt;""))+((L152=L131)*(M152="Y")*(N152=N131)*(O152="Y")*(L152&lt;&gt;"")*(N152&lt;&gt;""))+((P152=P131)*(Q152="Y")*(R152=R131)*(S152="Y")*(P152&lt;&gt;"")*(R152&lt;&gt;""))),0)</f>
        <v/>
      </c>
      <c r="U152" s="49">
        <f>IFERROR(SUMPRODUCT(((D152&lt;&gt;D131)*(E152="Y")*(F152&lt;&gt;F131)*(G152="Y")*(D152&lt;&gt;"")*(F152&lt;&gt;""))+((H152&lt;&gt;H131)*(I152="Y")*(J152&lt;&gt;J131)*(K152="Y")*(H152&lt;&gt;"")*(J152&lt;&gt;""))+((L152&lt;&gt;L131)*(M152="Y")*(N152&lt;&gt;N131)*(O152="Y")*(L152&lt;&gt;"")*(N152&lt;&gt;""))+((P152&lt;&gt;P131)*(Q152="Y")*(R152&lt;&gt;R131)*(S152="Y")*(P152&lt;&gt;"")*(R152&lt;&gt;""))),0)</f>
        <v/>
      </c>
      <c r="V152" s="37">
        <f>IFERROR(SUMPRODUCT(((D152=D131)*(E152="Y")*(F152&lt;&gt;F131)*(G152="Y")*(D152&lt;&gt;"")*(F152&lt;&gt;""))+((H152=H131)*(I152="Y")*(J152&lt;&gt;J131)*(K152="Y")*(H152&lt;&gt;"")*(J152&lt;&gt;""))+((L152=L131)*(M152="Y")*(N152&lt;&gt;N131)*(O152="Y")*(L152&lt;&gt;"")*(N152&lt;&gt;""))+((P152=P131)*(Q152="Y")*(R152&lt;&gt;R131)*(S152="Y")*(P152&lt;&gt;"")*(R152&lt;&gt;""))),0)</f>
        <v/>
      </c>
      <c r="W152" s="37">
        <f>IFERROR(SUMPRODUCT(((E152="N")*(D152&lt;&gt;"")*(F152&lt;&gt;""))+((I152="N")*(H152&lt;&gt;"")*(J152&lt;&gt;""))+((M152="N")*(L152&lt;&gt;"")*(N152&lt;&gt;""))+((Q152="N")*(P152&lt;&gt;"")*(R152&lt;&gt;""))),0)</f>
        <v/>
      </c>
      <c r="X152" s="50">
        <f>IFERROR(U152/4,0)</f>
        <v/>
      </c>
    </row>
    <row r="153" ht="18" customHeight="1">
      <c r="B153" s="46">
        <f>'📥 ข้อมูลนักเรียน'!B25</f>
        <v/>
      </c>
      <c r="C153" s="51">
        <f>'📥 ข้อมูลนักเรียน'!C25</f>
        <v/>
      </c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37">
        <f>IFERROR(SUMPRODUCT(((D153=D131)*(E153="Y")*(F153=F131)*(G153="Y")*(D153&lt;&gt;"")*(F153&lt;&gt;""))+((H153=H131)*(I153="Y")*(J153=J131)*(K153="Y")*(H153&lt;&gt;"")*(J153&lt;&gt;""))+((L153=L131)*(M153="Y")*(N153=N131)*(O153="Y")*(L153&lt;&gt;"")*(N153&lt;&gt;""))+((P153=P131)*(Q153="Y")*(R153=R131)*(S153="Y")*(P153&lt;&gt;"")*(R153&lt;&gt;""))),0)</f>
        <v/>
      </c>
      <c r="U153" s="49">
        <f>IFERROR(SUMPRODUCT(((D153&lt;&gt;D131)*(E153="Y")*(F153&lt;&gt;F131)*(G153="Y")*(D153&lt;&gt;"")*(F153&lt;&gt;""))+((H153&lt;&gt;H131)*(I153="Y")*(J153&lt;&gt;J131)*(K153="Y")*(H153&lt;&gt;"")*(J153&lt;&gt;""))+((L153&lt;&gt;L131)*(M153="Y")*(N153&lt;&gt;N131)*(O153="Y")*(L153&lt;&gt;"")*(N153&lt;&gt;""))+((P153&lt;&gt;P131)*(Q153="Y")*(R153&lt;&gt;R131)*(S153="Y")*(P153&lt;&gt;"")*(R153&lt;&gt;""))),0)</f>
        <v/>
      </c>
      <c r="V153" s="37">
        <f>IFERROR(SUMPRODUCT(((D153=D131)*(E153="Y")*(F153&lt;&gt;F131)*(G153="Y")*(D153&lt;&gt;"")*(F153&lt;&gt;""))+((H153=H131)*(I153="Y")*(J153&lt;&gt;J131)*(K153="Y")*(H153&lt;&gt;"")*(J153&lt;&gt;""))+((L153=L131)*(M153="Y")*(N153&lt;&gt;N131)*(O153="Y")*(L153&lt;&gt;"")*(N153&lt;&gt;""))+((P153=P131)*(Q153="Y")*(R153&lt;&gt;R131)*(S153="Y")*(P153&lt;&gt;"")*(R153&lt;&gt;""))),0)</f>
        <v/>
      </c>
      <c r="W153" s="37">
        <f>IFERROR(SUMPRODUCT(((E153="N")*(D153&lt;&gt;"")*(F153&lt;&gt;""))+((I153="N")*(H153&lt;&gt;"")*(J153&lt;&gt;""))+((M153="N")*(L153&lt;&gt;"")*(N153&lt;&gt;""))+((Q153="N")*(P153&lt;&gt;"")*(R153&lt;&gt;""))),0)</f>
        <v/>
      </c>
      <c r="X153" s="50">
        <f>IFERROR(U153/4,0)</f>
        <v/>
      </c>
    </row>
    <row r="154" ht="18" customHeight="1">
      <c r="B154" s="46">
        <f>'📥 ข้อมูลนักเรียน'!B26</f>
        <v/>
      </c>
      <c r="C154" s="47">
        <f>'📥 ข้อมูลนักเรียน'!C26</f>
        <v/>
      </c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37">
        <f>IFERROR(SUMPRODUCT(((D154=D131)*(E154="Y")*(F154=F131)*(G154="Y")*(D154&lt;&gt;"")*(F154&lt;&gt;""))+((H154=H131)*(I154="Y")*(J154=J131)*(K154="Y")*(H154&lt;&gt;"")*(J154&lt;&gt;""))+((L154=L131)*(M154="Y")*(N154=N131)*(O154="Y")*(L154&lt;&gt;"")*(N154&lt;&gt;""))+((P154=P131)*(Q154="Y")*(R154=R131)*(S154="Y")*(P154&lt;&gt;"")*(R154&lt;&gt;""))),0)</f>
        <v/>
      </c>
      <c r="U154" s="49">
        <f>IFERROR(SUMPRODUCT(((D154&lt;&gt;D131)*(E154="Y")*(F154&lt;&gt;F131)*(G154="Y")*(D154&lt;&gt;"")*(F154&lt;&gt;""))+((H154&lt;&gt;H131)*(I154="Y")*(J154&lt;&gt;J131)*(K154="Y")*(H154&lt;&gt;"")*(J154&lt;&gt;""))+((L154&lt;&gt;L131)*(M154="Y")*(N154&lt;&gt;N131)*(O154="Y")*(L154&lt;&gt;"")*(N154&lt;&gt;""))+((P154&lt;&gt;P131)*(Q154="Y")*(R154&lt;&gt;R131)*(S154="Y")*(P154&lt;&gt;"")*(R154&lt;&gt;""))),0)</f>
        <v/>
      </c>
      <c r="V154" s="37">
        <f>IFERROR(SUMPRODUCT(((D154=D131)*(E154="Y")*(F154&lt;&gt;F131)*(G154="Y")*(D154&lt;&gt;"")*(F154&lt;&gt;""))+((H154=H131)*(I154="Y")*(J154&lt;&gt;J131)*(K154="Y")*(H154&lt;&gt;"")*(J154&lt;&gt;""))+((L154=L131)*(M154="Y")*(N154&lt;&gt;N131)*(O154="Y")*(L154&lt;&gt;"")*(N154&lt;&gt;""))+((P154=P131)*(Q154="Y")*(R154&lt;&gt;R131)*(S154="Y")*(P154&lt;&gt;"")*(R154&lt;&gt;""))),0)</f>
        <v/>
      </c>
      <c r="W154" s="37">
        <f>IFERROR(SUMPRODUCT(((E154="N")*(D154&lt;&gt;"")*(F154&lt;&gt;""))+((I154="N")*(H154&lt;&gt;"")*(J154&lt;&gt;""))+((M154="N")*(L154&lt;&gt;"")*(N154&lt;&gt;""))+((Q154="N")*(P154&lt;&gt;"")*(R154&lt;&gt;""))),0)</f>
        <v/>
      </c>
      <c r="X154" s="50">
        <f>IFERROR(U154/4,0)</f>
        <v/>
      </c>
    </row>
    <row r="155" ht="18" customHeight="1">
      <c r="B155" s="46">
        <f>'📥 ข้อมูลนักเรียน'!B27</f>
        <v/>
      </c>
      <c r="C155" s="51">
        <f>'📥 ข้อมูลนักเรียน'!C27</f>
        <v/>
      </c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37">
        <f>IFERROR(SUMPRODUCT(((D155=D131)*(E155="Y")*(F155=F131)*(G155="Y")*(D155&lt;&gt;"")*(F155&lt;&gt;""))+((H155=H131)*(I155="Y")*(J155=J131)*(K155="Y")*(H155&lt;&gt;"")*(J155&lt;&gt;""))+((L155=L131)*(M155="Y")*(N155=N131)*(O155="Y")*(L155&lt;&gt;"")*(N155&lt;&gt;""))+((P155=P131)*(Q155="Y")*(R155=R131)*(S155="Y")*(P155&lt;&gt;"")*(R155&lt;&gt;""))),0)</f>
        <v/>
      </c>
      <c r="U155" s="49">
        <f>IFERROR(SUMPRODUCT(((D155&lt;&gt;D131)*(E155="Y")*(F155&lt;&gt;F131)*(G155="Y")*(D155&lt;&gt;"")*(F155&lt;&gt;""))+((H155&lt;&gt;H131)*(I155="Y")*(J155&lt;&gt;J131)*(K155="Y")*(H155&lt;&gt;"")*(J155&lt;&gt;""))+((L155&lt;&gt;L131)*(M155="Y")*(N155&lt;&gt;N131)*(O155="Y")*(L155&lt;&gt;"")*(N155&lt;&gt;""))+((P155&lt;&gt;P131)*(Q155="Y")*(R155&lt;&gt;R131)*(S155="Y")*(P155&lt;&gt;"")*(R155&lt;&gt;""))),0)</f>
        <v/>
      </c>
      <c r="V155" s="37">
        <f>IFERROR(SUMPRODUCT(((D155=D131)*(E155="Y")*(F155&lt;&gt;F131)*(G155="Y")*(D155&lt;&gt;"")*(F155&lt;&gt;""))+((H155=H131)*(I155="Y")*(J155&lt;&gt;J131)*(K155="Y")*(H155&lt;&gt;"")*(J155&lt;&gt;""))+((L155=L131)*(M155="Y")*(N155&lt;&gt;N131)*(O155="Y")*(L155&lt;&gt;"")*(N155&lt;&gt;""))+((P155=P131)*(Q155="Y")*(R155&lt;&gt;R131)*(S155="Y")*(P155&lt;&gt;"")*(R155&lt;&gt;""))),0)</f>
        <v/>
      </c>
      <c r="W155" s="37">
        <f>IFERROR(SUMPRODUCT(((E155="N")*(D155&lt;&gt;"")*(F155&lt;&gt;""))+((I155="N")*(H155&lt;&gt;"")*(J155&lt;&gt;""))+((M155="N")*(L155&lt;&gt;"")*(N155&lt;&gt;""))+((Q155="N")*(P155&lt;&gt;"")*(R155&lt;&gt;""))),0)</f>
        <v/>
      </c>
      <c r="X155" s="50">
        <f>IFERROR(U155/4,0)</f>
        <v/>
      </c>
    </row>
    <row r="156" ht="18" customHeight="1">
      <c r="B156" s="46">
        <f>'📥 ข้อมูลนักเรียน'!B28</f>
        <v/>
      </c>
      <c r="C156" s="47">
        <f>'📥 ข้อมูลนักเรียน'!C28</f>
        <v/>
      </c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37">
        <f>IFERROR(SUMPRODUCT(((D156=D131)*(E156="Y")*(F156=F131)*(G156="Y")*(D156&lt;&gt;"")*(F156&lt;&gt;""))+((H156=H131)*(I156="Y")*(J156=J131)*(K156="Y")*(H156&lt;&gt;"")*(J156&lt;&gt;""))+((L156=L131)*(M156="Y")*(N156=N131)*(O156="Y")*(L156&lt;&gt;"")*(N156&lt;&gt;""))+((P156=P131)*(Q156="Y")*(R156=R131)*(S156="Y")*(P156&lt;&gt;"")*(R156&lt;&gt;""))),0)</f>
        <v/>
      </c>
      <c r="U156" s="49">
        <f>IFERROR(SUMPRODUCT(((D156&lt;&gt;D131)*(E156="Y")*(F156&lt;&gt;F131)*(G156="Y")*(D156&lt;&gt;"")*(F156&lt;&gt;""))+((H156&lt;&gt;H131)*(I156="Y")*(J156&lt;&gt;J131)*(K156="Y")*(H156&lt;&gt;"")*(J156&lt;&gt;""))+((L156&lt;&gt;L131)*(M156="Y")*(N156&lt;&gt;N131)*(O156="Y")*(L156&lt;&gt;"")*(N156&lt;&gt;""))+((P156&lt;&gt;P131)*(Q156="Y")*(R156&lt;&gt;R131)*(S156="Y")*(P156&lt;&gt;"")*(R156&lt;&gt;""))),0)</f>
        <v/>
      </c>
      <c r="V156" s="37">
        <f>IFERROR(SUMPRODUCT(((D156=D131)*(E156="Y")*(F156&lt;&gt;F131)*(G156="Y")*(D156&lt;&gt;"")*(F156&lt;&gt;""))+((H156=H131)*(I156="Y")*(J156&lt;&gt;J131)*(K156="Y")*(H156&lt;&gt;"")*(J156&lt;&gt;""))+((L156=L131)*(M156="Y")*(N156&lt;&gt;N131)*(O156="Y")*(L156&lt;&gt;"")*(N156&lt;&gt;""))+((P156=P131)*(Q156="Y")*(R156&lt;&gt;R131)*(S156="Y")*(P156&lt;&gt;"")*(R156&lt;&gt;""))),0)</f>
        <v/>
      </c>
      <c r="W156" s="37">
        <f>IFERROR(SUMPRODUCT(((E156="N")*(D156&lt;&gt;"")*(F156&lt;&gt;""))+((I156="N")*(H156&lt;&gt;"")*(J156&lt;&gt;""))+((M156="N")*(L156&lt;&gt;"")*(N156&lt;&gt;""))+((Q156="N")*(P156&lt;&gt;"")*(R156&lt;&gt;""))),0)</f>
        <v/>
      </c>
      <c r="X156" s="50">
        <f>IFERROR(U156/4,0)</f>
        <v/>
      </c>
    </row>
    <row r="157" ht="18" customHeight="1">
      <c r="B157" s="46">
        <f>'📥 ข้อมูลนักเรียน'!B29</f>
        <v/>
      </c>
      <c r="C157" s="51">
        <f>'📥 ข้อมูลนักเรียน'!C29</f>
        <v/>
      </c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37">
        <f>IFERROR(SUMPRODUCT(((D157=D131)*(E157="Y")*(F157=F131)*(G157="Y")*(D157&lt;&gt;"")*(F157&lt;&gt;""))+((H157=H131)*(I157="Y")*(J157=J131)*(K157="Y")*(H157&lt;&gt;"")*(J157&lt;&gt;""))+((L157=L131)*(M157="Y")*(N157=N131)*(O157="Y")*(L157&lt;&gt;"")*(N157&lt;&gt;""))+((P157=P131)*(Q157="Y")*(R157=R131)*(S157="Y")*(P157&lt;&gt;"")*(R157&lt;&gt;""))),0)</f>
        <v/>
      </c>
      <c r="U157" s="49">
        <f>IFERROR(SUMPRODUCT(((D157&lt;&gt;D131)*(E157="Y")*(F157&lt;&gt;F131)*(G157="Y")*(D157&lt;&gt;"")*(F157&lt;&gt;""))+((H157&lt;&gt;H131)*(I157="Y")*(J157&lt;&gt;J131)*(K157="Y")*(H157&lt;&gt;"")*(J157&lt;&gt;""))+((L157&lt;&gt;L131)*(M157="Y")*(N157&lt;&gt;N131)*(O157="Y")*(L157&lt;&gt;"")*(N157&lt;&gt;""))+((P157&lt;&gt;P131)*(Q157="Y")*(R157&lt;&gt;R131)*(S157="Y")*(P157&lt;&gt;"")*(R157&lt;&gt;""))),0)</f>
        <v/>
      </c>
      <c r="V157" s="37">
        <f>IFERROR(SUMPRODUCT(((D157=D131)*(E157="Y")*(F157&lt;&gt;F131)*(G157="Y")*(D157&lt;&gt;"")*(F157&lt;&gt;""))+((H157=H131)*(I157="Y")*(J157&lt;&gt;J131)*(K157="Y")*(H157&lt;&gt;"")*(J157&lt;&gt;""))+((L157=L131)*(M157="Y")*(N157&lt;&gt;N131)*(O157="Y")*(L157&lt;&gt;"")*(N157&lt;&gt;""))+((P157=P131)*(Q157="Y")*(R157&lt;&gt;R131)*(S157="Y")*(P157&lt;&gt;"")*(R157&lt;&gt;""))),0)</f>
        <v/>
      </c>
      <c r="W157" s="37">
        <f>IFERROR(SUMPRODUCT(((E157="N")*(D157&lt;&gt;"")*(F157&lt;&gt;""))+((I157="N")*(H157&lt;&gt;"")*(J157&lt;&gt;""))+((M157="N")*(L157&lt;&gt;"")*(N157&lt;&gt;""))+((Q157="N")*(P157&lt;&gt;"")*(R157&lt;&gt;""))),0)</f>
        <v/>
      </c>
      <c r="X157" s="50">
        <f>IFERROR(U157/4,0)</f>
        <v/>
      </c>
    </row>
    <row r="158" ht="18" customHeight="1">
      <c r="B158" s="46">
        <f>'📥 ข้อมูลนักเรียน'!B30</f>
        <v/>
      </c>
      <c r="C158" s="47">
        <f>'📥 ข้อมูลนักเรียน'!C30</f>
        <v/>
      </c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37">
        <f>IFERROR(SUMPRODUCT(((D158=D131)*(E158="Y")*(F158=F131)*(G158="Y")*(D158&lt;&gt;"")*(F158&lt;&gt;""))+((H158=H131)*(I158="Y")*(J158=J131)*(K158="Y")*(H158&lt;&gt;"")*(J158&lt;&gt;""))+((L158=L131)*(M158="Y")*(N158=N131)*(O158="Y")*(L158&lt;&gt;"")*(N158&lt;&gt;""))+((P158=P131)*(Q158="Y")*(R158=R131)*(S158="Y")*(P158&lt;&gt;"")*(R158&lt;&gt;""))),0)</f>
        <v/>
      </c>
      <c r="U158" s="49">
        <f>IFERROR(SUMPRODUCT(((D158&lt;&gt;D131)*(E158="Y")*(F158&lt;&gt;F131)*(G158="Y")*(D158&lt;&gt;"")*(F158&lt;&gt;""))+((H158&lt;&gt;H131)*(I158="Y")*(J158&lt;&gt;J131)*(K158="Y")*(H158&lt;&gt;"")*(J158&lt;&gt;""))+((L158&lt;&gt;L131)*(M158="Y")*(N158&lt;&gt;N131)*(O158="Y")*(L158&lt;&gt;"")*(N158&lt;&gt;""))+((P158&lt;&gt;P131)*(Q158="Y")*(R158&lt;&gt;R131)*(S158="Y")*(P158&lt;&gt;"")*(R158&lt;&gt;""))),0)</f>
        <v/>
      </c>
      <c r="V158" s="37">
        <f>IFERROR(SUMPRODUCT(((D158=D131)*(E158="Y")*(F158&lt;&gt;F131)*(G158="Y")*(D158&lt;&gt;"")*(F158&lt;&gt;""))+((H158=H131)*(I158="Y")*(J158&lt;&gt;J131)*(K158="Y")*(H158&lt;&gt;"")*(J158&lt;&gt;""))+((L158=L131)*(M158="Y")*(N158&lt;&gt;N131)*(O158="Y")*(L158&lt;&gt;"")*(N158&lt;&gt;""))+((P158=P131)*(Q158="Y")*(R158&lt;&gt;R131)*(S158="Y")*(P158&lt;&gt;"")*(R158&lt;&gt;""))),0)</f>
        <v/>
      </c>
      <c r="W158" s="37">
        <f>IFERROR(SUMPRODUCT(((E158="N")*(D158&lt;&gt;"")*(F158&lt;&gt;""))+((I158="N")*(H158&lt;&gt;"")*(J158&lt;&gt;""))+((M158="N")*(L158&lt;&gt;"")*(N158&lt;&gt;""))+((Q158="N")*(P158&lt;&gt;"")*(R158&lt;&gt;""))),0)</f>
        <v/>
      </c>
      <c r="X158" s="50">
        <f>IFERROR(U158/4,0)</f>
        <v/>
      </c>
    </row>
    <row r="159" ht="18" customHeight="1">
      <c r="B159" s="46">
        <f>'📥 ข้อมูลนักเรียน'!B31</f>
        <v/>
      </c>
      <c r="C159" s="51">
        <f>'📥 ข้อมูลนักเรียน'!C31</f>
        <v/>
      </c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37">
        <f>IFERROR(SUMPRODUCT(((D159=D131)*(E159="Y")*(F159=F131)*(G159="Y")*(D159&lt;&gt;"")*(F159&lt;&gt;""))+((H159=H131)*(I159="Y")*(J159=J131)*(K159="Y")*(H159&lt;&gt;"")*(J159&lt;&gt;""))+((L159=L131)*(M159="Y")*(N159=N131)*(O159="Y")*(L159&lt;&gt;"")*(N159&lt;&gt;""))+((P159=P131)*(Q159="Y")*(R159=R131)*(S159="Y")*(P159&lt;&gt;"")*(R159&lt;&gt;""))),0)</f>
        <v/>
      </c>
      <c r="U159" s="49">
        <f>IFERROR(SUMPRODUCT(((D159&lt;&gt;D131)*(E159="Y")*(F159&lt;&gt;F131)*(G159="Y")*(D159&lt;&gt;"")*(F159&lt;&gt;""))+((H159&lt;&gt;H131)*(I159="Y")*(J159&lt;&gt;J131)*(K159="Y")*(H159&lt;&gt;"")*(J159&lt;&gt;""))+((L159&lt;&gt;L131)*(M159="Y")*(N159&lt;&gt;N131)*(O159="Y")*(L159&lt;&gt;"")*(N159&lt;&gt;""))+((P159&lt;&gt;P131)*(Q159="Y")*(R159&lt;&gt;R131)*(S159="Y")*(P159&lt;&gt;"")*(R159&lt;&gt;""))),0)</f>
        <v/>
      </c>
      <c r="V159" s="37">
        <f>IFERROR(SUMPRODUCT(((D159=D131)*(E159="Y")*(F159&lt;&gt;F131)*(G159="Y")*(D159&lt;&gt;"")*(F159&lt;&gt;""))+((H159=H131)*(I159="Y")*(J159&lt;&gt;J131)*(K159="Y")*(H159&lt;&gt;"")*(J159&lt;&gt;""))+((L159=L131)*(M159="Y")*(N159&lt;&gt;N131)*(O159="Y")*(L159&lt;&gt;"")*(N159&lt;&gt;""))+((P159=P131)*(Q159="Y")*(R159&lt;&gt;R131)*(S159="Y")*(P159&lt;&gt;"")*(R159&lt;&gt;""))),0)</f>
        <v/>
      </c>
      <c r="W159" s="37">
        <f>IFERROR(SUMPRODUCT(((E159="N")*(D159&lt;&gt;"")*(F159&lt;&gt;""))+((I159="N")*(H159&lt;&gt;"")*(J159&lt;&gt;""))+((M159="N")*(L159&lt;&gt;"")*(N159&lt;&gt;""))+((Q159="N")*(P159&lt;&gt;"")*(R159&lt;&gt;""))),0)</f>
        <v/>
      </c>
      <c r="X159" s="50">
        <f>IFERROR(U159/4,0)</f>
        <v/>
      </c>
    </row>
    <row r="160" ht="18" customHeight="1">
      <c r="B160" s="46">
        <f>'📥 ข้อมูลนักเรียน'!B32</f>
        <v/>
      </c>
      <c r="C160" s="47">
        <f>'📥 ข้อมูลนักเรียน'!C32</f>
        <v/>
      </c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37">
        <f>IFERROR(SUMPRODUCT(((D160=D131)*(E160="Y")*(F160=F131)*(G160="Y")*(D160&lt;&gt;"")*(F160&lt;&gt;""))+((H160=H131)*(I160="Y")*(J160=J131)*(K160="Y")*(H160&lt;&gt;"")*(J160&lt;&gt;""))+((L160=L131)*(M160="Y")*(N160=N131)*(O160="Y")*(L160&lt;&gt;"")*(N160&lt;&gt;""))+((P160=P131)*(Q160="Y")*(R160=R131)*(S160="Y")*(P160&lt;&gt;"")*(R160&lt;&gt;""))),0)</f>
        <v/>
      </c>
      <c r="U160" s="49">
        <f>IFERROR(SUMPRODUCT(((D160&lt;&gt;D131)*(E160="Y")*(F160&lt;&gt;F131)*(G160="Y")*(D160&lt;&gt;"")*(F160&lt;&gt;""))+((H160&lt;&gt;H131)*(I160="Y")*(J160&lt;&gt;J131)*(K160="Y")*(H160&lt;&gt;"")*(J160&lt;&gt;""))+((L160&lt;&gt;L131)*(M160="Y")*(N160&lt;&gt;N131)*(O160="Y")*(L160&lt;&gt;"")*(N160&lt;&gt;""))+((P160&lt;&gt;P131)*(Q160="Y")*(R160&lt;&gt;R131)*(S160="Y")*(P160&lt;&gt;"")*(R160&lt;&gt;""))),0)</f>
        <v/>
      </c>
      <c r="V160" s="37">
        <f>IFERROR(SUMPRODUCT(((D160=D131)*(E160="Y")*(F160&lt;&gt;F131)*(G160="Y")*(D160&lt;&gt;"")*(F160&lt;&gt;""))+((H160=H131)*(I160="Y")*(J160&lt;&gt;J131)*(K160="Y")*(H160&lt;&gt;"")*(J160&lt;&gt;""))+((L160=L131)*(M160="Y")*(N160&lt;&gt;N131)*(O160="Y")*(L160&lt;&gt;"")*(N160&lt;&gt;""))+((P160=P131)*(Q160="Y")*(R160&lt;&gt;R131)*(S160="Y")*(P160&lt;&gt;"")*(R160&lt;&gt;""))),0)</f>
        <v/>
      </c>
      <c r="W160" s="37">
        <f>IFERROR(SUMPRODUCT(((E160="N")*(D160&lt;&gt;"")*(F160&lt;&gt;""))+((I160="N")*(H160&lt;&gt;"")*(J160&lt;&gt;""))+((M160="N")*(L160&lt;&gt;"")*(N160&lt;&gt;""))+((Q160="N")*(P160&lt;&gt;"")*(R160&lt;&gt;""))),0)</f>
        <v/>
      </c>
      <c r="X160" s="50">
        <f>IFERROR(U160/4,0)</f>
        <v/>
      </c>
    </row>
    <row r="161" ht="18" customHeight="1">
      <c r="B161" s="46">
        <f>'📥 ข้อมูลนักเรียน'!B33</f>
        <v/>
      </c>
      <c r="C161" s="51">
        <f>'📥 ข้อมูลนักเรียน'!C33</f>
        <v/>
      </c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37">
        <f>IFERROR(SUMPRODUCT(((D161=D131)*(E161="Y")*(F161=F131)*(G161="Y")*(D161&lt;&gt;"")*(F161&lt;&gt;""))+((H161=H131)*(I161="Y")*(J161=J131)*(K161="Y")*(H161&lt;&gt;"")*(J161&lt;&gt;""))+((L161=L131)*(M161="Y")*(N161=N131)*(O161="Y")*(L161&lt;&gt;"")*(N161&lt;&gt;""))+((P161=P131)*(Q161="Y")*(R161=R131)*(S161="Y")*(P161&lt;&gt;"")*(R161&lt;&gt;""))),0)</f>
        <v/>
      </c>
      <c r="U161" s="49">
        <f>IFERROR(SUMPRODUCT(((D161&lt;&gt;D131)*(E161="Y")*(F161&lt;&gt;F131)*(G161="Y")*(D161&lt;&gt;"")*(F161&lt;&gt;""))+((H161&lt;&gt;H131)*(I161="Y")*(J161&lt;&gt;J131)*(K161="Y")*(H161&lt;&gt;"")*(J161&lt;&gt;""))+((L161&lt;&gt;L131)*(M161="Y")*(N161&lt;&gt;N131)*(O161="Y")*(L161&lt;&gt;"")*(N161&lt;&gt;""))+((P161&lt;&gt;P131)*(Q161="Y")*(R161&lt;&gt;R131)*(S161="Y")*(P161&lt;&gt;"")*(R161&lt;&gt;""))),0)</f>
        <v/>
      </c>
      <c r="V161" s="37">
        <f>IFERROR(SUMPRODUCT(((D161=D131)*(E161="Y")*(F161&lt;&gt;F131)*(G161="Y")*(D161&lt;&gt;"")*(F161&lt;&gt;""))+((H161=H131)*(I161="Y")*(J161&lt;&gt;J131)*(K161="Y")*(H161&lt;&gt;"")*(J161&lt;&gt;""))+((L161=L131)*(M161="Y")*(N161&lt;&gt;N131)*(O161="Y")*(L161&lt;&gt;"")*(N161&lt;&gt;""))+((P161=P131)*(Q161="Y")*(R161&lt;&gt;R131)*(S161="Y")*(P161&lt;&gt;"")*(R161&lt;&gt;""))),0)</f>
        <v/>
      </c>
      <c r="W161" s="37">
        <f>IFERROR(SUMPRODUCT(((E161="N")*(D161&lt;&gt;"")*(F161&lt;&gt;""))+((I161="N")*(H161&lt;&gt;"")*(J161&lt;&gt;""))+((M161="N")*(L161&lt;&gt;"")*(N161&lt;&gt;""))+((Q161="N")*(P161&lt;&gt;"")*(R161&lt;&gt;""))),0)</f>
        <v/>
      </c>
      <c r="X161" s="50">
        <f>IFERROR(U161/4,0)</f>
        <v/>
      </c>
    </row>
    <row r="162" ht="18" customHeight="1">
      <c r="B162" s="46">
        <f>'📥 ข้อมูลนักเรียน'!B34</f>
        <v/>
      </c>
      <c r="C162" s="47">
        <f>'📥 ข้อมูลนักเรียน'!C34</f>
        <v/>
      </c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37">
        <f>IFERROR(SUMPRODUCT(((D162=D131)*(E162="Y")*(F162=F131)*(G162="Y")*(D162&lt;&gt;"")*(F162&lt;&gt;""))+((H162=H131)*(I162="Y")*(J162=J131)*(K162="Y")*(H162&lt;&gt;"")*(J162&lt;&gt;""))+((L162=L131)*(M162="Y")*(N162=N131)*(O162="Y")*(L162&lt;&gt;"")*(N162&lt;&gt;""))+((P162=P131)*(Q162="Y")*(R162=R131)*(S162="Y")*(P162&lt;&gt;"")*(R162&lt;&gt;""))),0)</f>
        <v/>
      </c>
      <c r="U162" s="49">
        <f>IFERROR(SUMPRODUCT(((D162&lt;&gt;D131)*(E162="Y")*(F162&lt;&gt;F131)*(G162="Y")*(D162&lt;&gt;"")*(F162&lt;&gt;""))+((H162&lt;&gt;H131)*(I162="Y")*(J162&lt;&gt;J131)*(K162="Y")*(H162&lt;&gt;"")*(J162&lt;&gt;""))+((L162&lt;&gt;L131)*(M162="Y")*(N162&lt;&gt;N131)*(O162="Y")*(L162&lt;&gt;"")*(N162&lt;&gt;""))+((P162&lt;&gt;P131)*(Q162="Y")*(R162&lt;&gt;R131)*(S162="Y")*(P162&lt;&gt;"")*(R162&lt;&gt;""))),0)</f>
        <v/>
      </c>
      <c r="V162" s="37">
        <f>IFERROR(SUMPRODUCT(((D162=D131)*(E162="Y")*(F162&lt;&gt;F131)*(G162="Y")*(D162&lt;&gt;"")*(F162&lt;&gt;""))+((H162=H131)*(I162="Y")*(J162&lt;&gt;J131)*(K162="Y")*(H162&lt;&gt;"")*(J162&lt;&gt;""))+((L162=L131)*(M162="Y")*(N162&lt;&gt;N131)*(O162="Y")*(L162&lt;&gt;"")*(N162&lt;&gt;""))+((P162=P131)*(Q162="Y")*(R162&lt;&gt;R131)*(S162="Y")*(P162&lt;&gt;"")*(R162&lt;&gt;""))),0)</f>
        <v/>
      </c>
      <c r="W162" s="37">
        <f>IFERROR(SUMPRODUCT(((E162="N")*(D162&lt;&gt;"")*(F162&lt;&gt;""))+((I162="N")*(H162&lt;&gt;"")*(J162&lt;&gt;""))+((M162="N")*(L162&lt;&gt;"")*(N162&lt;&gt;""))+((Q162="N")*(P162&lt;&gt;"")*(R162&lt;&gt;""))),0)</f>
        <v/>
      </c>
      <c r="X162" s="50">
        <f>IFERROR(U162/4,0)</f>
        <v/>
      </c>
    </row>
    <row r="163" ht="18" customHeight="1">
      <c r="B163" s="46">
        <f>'📥 ข้อมูลนักเรียน'!B35</f>
        <v/>
      </c>
      <c r="C163" s="51">
        <f>'📥 ข้อมูลนักเรียน'!C35</f>
        <v/>
      </c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37">
        <f>IFERROR(SUMPRODUCT(((D163=D131)*(E163="Y")*(F163=F131)*(G163="Y")*(D163&lt;&gt;"")*(F163&lt;&gt;""))+((H163=H131)*(I163="Y")*(J163=J131)*(K163="Y")*(H163&lt;&gt;"")*(J163&lt;&gt;""))+((L163=L131)*(M163="Y")*(N163=N131)*(O163="Y")*(L163&lt;&gt;"")*(N163&lt;&gt;""))+((P163=P131)*(Q163="Y")*(R163=R131)*(S163="Y")*(P163&lt;&gt;"")*(R163&lt;&gt;""))),0)</f>
        <v/>
      </c>
      <c r="U163" s="49">
        <f>IFERROR(SUMPRODUCT(((D163&lt;&gt;D131)*(E163="Y")*(F163&lt;&gt;F131)*(G163="Y")*(D163&lt;&gt;"")*(F163&lt;&gt;""))+((H163&lt;&gt;H131)*(I163="Y")*(J163&lt;&gt;J131)*(K163="Y")*(H163&lt;&gt;"")*(J163&lt;&gt;""))+((L163&lt;&gt;L131)*(M163="Y")*(N163&lt;&gt;N131)*(O163="Y")*(L163&lt;&gt;"")*(N163&lt;&gt;""))+((P163&lt;&gt;P131)*(Q163="Y")*(R163&lt;&gt;R131)*(S163="Y")*(P163&lt;&gt;"")*(R163&lt;&gt;""))),0)</f>
        <v/>
      </c>
      <c r="V163" s="37">
        <f>IFERROR(SUMPRODUCT(((D163=D131)*(E163="Y")*(F163&lt;&gt;F131)*(G163="Y")*(D163&lt;&gt;"")*(F163&lt;&gt;""))+((H163=H131)*(I163="Y")*(J163&lt;&gt;J131)*(K163="Y")*(H163&lt;&gt;"")*(J163&lt;&gt;""))+((L163=L131)*(M163="Y")*(N163&lt;&gt;N131)*(O163="Y")*(L163&lt;&gt;"")*(N163&lt;&gt;""))+((P163=P131)*(Q163="Y")*(R163&lt;&gt;R131)*(S163="Y")*(P163&lt;&gt;"")*(R163&lt;&gt;""))),0)</f>
        <v/>
      </c>
      <c r="W163" s="37">
        <f>IFERROR(SUMPRODUCT(((E163="N")*(D163&lt;&gt;"")*(F163&lt;&gt;""))+((I163="N")*(H163&lt;&gt;"")*(J163&lt;&gt;""))+((M163="N")*(L163&lt;&gt;"")*(N163&lt;&gt;""))+((Q163="N")*(P163&lt;&gt;"")*(R163&lt;&gt;""))),0)</f>
        <v/>
      </c>
      <c r="X163" s="50">
        <f>IFERROR(U163/4,0)</f>
        <v/>
      </c>
    </row>
    <row r="164" ht="18" customHeight="1">
      <c r="B164" s="46">
        <f>'📥 ข้อมูลนักเรียน'!B36</f>
        <v/>
      </c>
      <c r="C164" s="47">
        <f>'📥 ข้อมูลนักเรียน'!C36</f>
        <v/>
      </c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37">
        <f>IFERROR(SUMPRODUCT(((D164=D131)*(E164="Y")*(F164=F131)*(G164="Y")*(D164&lt;&gt;"")*(F164&lt;&gt;""))+((H164=H131)*(I164="Y")*(J164=J131)*(K164="Y")*(H164&lt;&gt;"")*(J164&lt;&gt;""))+((L164=L131)*(M164="Y")*(N164=N131)*(O164="Y")*(L164&lt;&gt;"")*(N164&lt;&gt;""))+((P164=P131)*(Q164="Y")*(R164=R131)*(S164="Y")*(P164&lt;&gt;"")*(R164&lt;&gt;""))),0)</f>
        <v/>
      </c>
      <c r="U164" s="49">
        <f>IFERROR(SUMPRODUCT(((D164&lt;&gt;D131)*(E164="Y")*(F164&lt;&gt;F131)*(G164="Y")*(D164&lt;&gt;"")*(F164&lt;&gt;""))+((H164&lt;&gt;H131)*(I164="Y")*(J164&lt;&gt;J131)*(K164="Y")*(H164&lt;&gt;"")*(J164&lt;&gt;""))+((L164&lt;&gt;L131)*(M164="Y")*(N164&lt;&gt;N131)*(O164="Y")*(L164&lt;&gt;"")*(N164&lt;&gt;""))+((P164&lt;&gt;P131)*(Q164="Y")*(R164&lt;&gt;R131)*(S164="Y")*(P164&lt;&gt;"")*(R164&lt;&gt;""))),0)</f>
        <v/>
      </c>
      <c r="V164" s="37">
        <f>IFERROR(SUMPRODUCT(((D164=D131)*(E164="Y")*(F164&lt;&gt;F131)*(G164="Y")*(D164&lt;&gt;"")*(F164&lt;&gt;""))+((H164=H131)*(I164="Y")*(J164&lt;&gt;J131)*(K164="Y")*(H164&lt;&gt;"")*(J164&lt;&gt;""))+((L164=L131)*(M164="Y")*(N164&lt;&gt;N131)*(O164="Y")*(L164&lt;&gt;"")*(N164&lt;&gt;""))+((P164=P131)*(Q164="Y")*(R164&lt;&gt;R131)*(S164="Y")*(P164&lt;&gt;"")*(R164&lt;&gt;""))),0)</f>
        <v/>
      </c>
      <c r="W164" s="37">
        <f>IFERROR(SUMPRODUCT(((E164="N")*(D164&lt;&gt;"")*(F164&lt;&gt;""))+((I164="N")*(H164&lt;&gt;"")*(J164&lt;&gt;""))+((M164="N")*(L164&lt;&gt;"")*(N164&lt;&gt;""))+((Q164="N")*(P164&lt;&gt;"")*(R164&lt;&gt;""))),0)</f>
        <v/>
      </c>
      <c r="X164" s="50">
        <f>IFERROR(U164/4,0)</f>
        <v/>
      </c>
    </row>
    <row r="165" ht="18" customHeight="1">
      <c r="B165" s="46">
        <f>'📥 ข้อมูลนักเรียน'!B37</f>
        <v/>
      </c>
      <c r="C165" s="51">
        <f>'📥 ข้อมูลนักเรียน'!C37</f>
        <v/>
      </c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37">
        <f>IFERROR(SUMPRODUCT(((D165=D131)*(E165="Y")*(F165=F131)*(G165="Y")*(D165&lt;&gt;"")*(F165&lt;&gt;""))+((H165=H131)*(I165="Y")*(J165=J131)*(K165="Y")*(H165&lt;&gt;"")*(J165&lt;&gt;""))+((L165=L131)*(M165="Y")*(N165=N131)*(O165="Y")*(L165&lt;&gt;"")*(N165&lt;&gt;""))+((P165=P131)*(Q165="Y")*(R165=R131)*(S165="Y")*(P165&lt;&gt;"")*(R165&lt;&gt;""))),0)</f>
        <v/>
      </c>
      <c r="U165" s="49">
        <f>IFERROR(SUMPRODUCT(((D165&lt;&gt;D131)*(E165="Y")*(F165&lt;&gt;F131)*(G165="Y")*(D165&lt;&gt;"")*(F165&lt;&gt;""))+((H165&lt;&gt;H131)*(I165="Y")*(J165&lt;&gt;J131)*(K165="Y")*(H165&lt;&gt;"")*(J165&lt;&gt;""))+((L165&lt;&gt;L131)*(M165="Y")*(N165&lt;&gt;N131)*(O165="Y")*(L165&lt;&gt;"")*(N165&lt;&gt;""))+((P165&lt;&gt;P131)*(Q165="Y")*(R165&lt;&gt;R131)*(S165="Y")*(P165&lt;&gt;"")*(R165&lt;&gt;""))),0)</f>
        <v/>
      </c>
      <c r="V165" s="37">
        <f>IFERROR(SUMPRODUCT(((D165=D131)*(E165="Y")*(F165&lt;&gt;F131)*(G165="Y")*(D165&lt;&gt;"")*(F165&lt;&gt;""))+((H165=H131)*(I165="Y")*(J165&lt;&gt;J131)*(K165="Y")*(H165&lt;&gt;"")*(J165&lt;&gt;""))+((L165=L131)*(M165="Y")*(N165&lt;&gt;N131)*(O165="Y")*(L165&lt;&gt;"")*(N165&lt;&gt;""))+((P165=P131)*(Q165="Y")*(R165&lt;&gt;R131)*(S165="Y")*(P165&lt;&gt;"")*(R165&lt;&gt;""))),0)</f>
        <v/>
      </c>
      <c r="W165" s="37">
        <f>IFERROR(SUMPRODUCT(((E165="N")*(D165&lt;&gt;"")*(F165&lt;&gt;""))+((I165="N")*(H165&lt;&gt;"")*(J165&lt;&gt;""))+((M165="N")*(L165&lt;&gt;"")*(N165&lt;&gt;""))+((Q165="N")*(P165&lt;&gt;"")*(R165&lt;&gt;""))),0)</f>
        <v/>
      </c>
      <c r="X165" s="50">
        <f>IFERROR(U165/4,0)</f>
        <v/>
      </c>
    </row>
    <row r="166" ht="18" customHeight="1">
      <c r="B166" s="46">
        <f>'📥 ข้อมูลนักเรียน'!B38</f>
        <v/>
      </c>
      <c r="C166" s="47">
        <f>'📥 ข้อมูลนักเรียน'!C38</f>
        <v/>
      </c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37">
        <f>IFERROR(SUMPRODUCT(((D166=D131)*(E166="Y")*(F166=F131)*(G166="Y")*(D166&lt;&gt;"")*(F166&lt;&gt;""))+((H166=H131)*(I166="Y")*(J166=J131)*(K166="Y")*(H166&lt;&gt;"")*(J166&lt;&gt;""))+((L166=L131)*(M166="Y")*(N166=N131)*(O166="Y")*(L166&lt;&gt;"")*(N166&lt;&gt;""))+((P166=P131)*(Q166="Y")*(R166=R131)*(S166="Y")*(P166&lt;&gt;"")*(R166&lt;&gt;""))),0)</f>
        <v/>
      </c>
      <c r="U166" s="49">
        <f>IFERROR(SUMPRODUCT(((D166&lt;&gt;D131)*(E166="Y")*(F166&lt;&gt;F131)*(G166="Y")*(D166&lt;&gt;"")*(F166&lt;&gt;""))+((H166&lt;&gt;H131)*(I166="Y")*(J166&lt;&gt;J131)*(K166="Y")*(H166&lt;&gt;"")*(J166&lt;&gt;""))+((L166&lt;&gt;L131)*(M166="Y")*(N166&lt;&gt;N131)*(O166="Y")*(L166&lt;&gt;"")*(N166&lt;&gt;""))+((P166&lt;&gt;P131)*(Q166="Y")*(R166&lt;&gt;R131)*(S166="Y")*(P166&lt;&gt;"")*(R166&lt;&gt;""))),0)</f>
        <v/>
      </c>
      <c r="V166" s="37">
        <f>IFERROR(SUMPRODUCT(((D166=D131)*(E166="Y")*(F166&lt;&gt;F131)*(G166="Y")*(D166&lt;&gt;"")*(F166&lt;&gt;""))+((H166=H131)*(I166="Y")*(J166&lt;&gt;J131)*(K166="Y")*(H166&lt;&gt;"")*(J166&lt;&gt;""))+((L166=L131)*(M166="Y")*(N166&lt;&gt;N131)*(O166="Y")*(L166&lt;&gt;"")*(N166&lt;&gt;""))+((P166=P131)*(Q166="Y")*(R166&lt;&gt;R131)*(S166="Y")*(P166&lt;&gt;"")*(R166&lt;&gt;""))),0)</f>
        <v/>
      </c>
      <c r="W166" s="37">
        <f>IFERROR(SUMPRODUCT(((E166="N")*(D166&lt;&gt;"")*(F166&lt;&gt;""))+((I166="N")*(H166&lt;&gt;"")*(J166&lt;&gt;""))+((M166="N")*(L166&lt;&gt;"")*(N166&lt;&gt;""))+((Q166="N")*(P166&lt;&gt;"")*(R166&lt;&gt;""))),0)</f>
        <v/>
      </c>
      <c r="X166" s="50">
        <f>IFERROR(U166/4,0)</f>
        <v/>
      </c>
    </row>
    <row r="167" ht="24" customHeight="1">
      <c r="B167" s="226" t="inlineStr">
        <is>
          <t>สรุป Post แผน 2</t>
        </is>
      </c>
      <c r="C167" s="369" t="n"/>
      <c r="T167" s="52">
        <f>IFERROR(AVERAGE(T132:T166)*4,0)</f>
        <v/>
      </c>
      <c r="U167" s="53">
        <f>IFERROR(AVERAGE(U132:U166)*4,0)</f>
        <v/>
      </c>
      <c r="V167" s="54">
        <f>IFERROR(AVERAGE(V132:V166)*4,0)</f>
        <v/>
      </c>
      <c r="W167" s="55">
        <f>IFERROR(AVERAGE(W132:W166)*4,0)</f>
        <v/>
      </c>
      <c r="X167" s="56">
        <f>IFERROR(AVERAGE(X132:X166),0)</f>
        <v/>
      </c>
    </row>
    <row r="168" ht="7.5" customHeight="1"/>
    <row r="169" ht="21.75" customHeight="1">
      <c r="B169" s="243" t="inlineStr">
        <is>
          <t>▌ แผนที่ 3  |  คาบที่ 5–6  |  Misconception: M4  |  ข้อที่ 9–12</t>
        </is>
      </c>
      <c r="C169" s="379" t="n"/>
      <c r="D169" s="379" t="n"/>
      <c r="E169" s="379" t="n"/>
      <c r="F169" s="379" t="n"/>
      <c r="G169" s="379" t="n"/>
      <c r="H169" s="379" t="n"/>
      <c r="I169" s="379" t="n"/>
      <c r="J169" s="379" t="n"/>
      <c r="K169" s="379" t="n"/>
      <c r="L169" s="379" t="n"/>
      <c r="M169" s="379" t="n"/>
      <c r="N169" s="379" t="n"/>
      <c r="O169" s="379" t="n"/>
      <c r="P169" s="379" t="n"/>
      <c r="Q169" s="379" t="n"/>
      <c r="R169" s="379" t="n"/>
      <c r="S169" s="379" t="n"/>
      <c r="T169" s="379" t="n"/>
      <c r="U169" s="379" t="n"/>
      <c r="V169" s="379" t="n"/>
      <c r="W169" s="379" t="n"/>
      <c r="X169" s="379" t="n"/>
    </row>
    <row r="170" ht="15.75" customHeight="1">
      <c r="B170" s="244" t="inlineStr">
        <is>
          <t xml:space="preserve">   📍 M4: ความเข้าใจผิดเรื่อง v=fλ (v เปลี่ยนเมื่อ f เปลี่ยน)</t>
        </is>
      </c>
    </row>
    <row r="171" ht="19.5" customHeight="1">
      <c r="B171" s="238" t="inlineStr">
        <is>
          <t>🔵 PRE-test — ก่อนสอน  (แผน 3 ข้อ 9–12)</t>
        </is>
      </c>
    </row>
    <row r="172" ht="27.75" customHeight="1">
      <c r="B172" s="39" t="inlineStr">
        <is>
          <t>ที่</t>
        </is>
      </c>
      <c r="C172" s="39" t="inlineStr">
        <is>
          <t>ชื่อนักเรียน</t>
        </is>
      </c>
      <c r="D172" s="239" t="inlineStr">
        <is>
          <t>ข้อ 9</t>
        </is>
      </c>
      <c r="E172" s="369" t="n"/>
      <c r="F172" s="369" t="n"/>
      <c r="G172" s="369" t="n"/>
      <c r="H172" s="239" t="inlineStr">
        <is>
          <t>ข้อ 10</t>
        </is>
      </c>
      <c r="I172" s="369" t="n"/>
      <c r="J172" s="369" t="n"/>
      <c r="K172" s="369" t="n"/>
      <c r="L172" s="239" t="inlineStr">
        <is>
          <t>ข้อ 11</t>
        </is>
      </c>
      <c r="M172" s="369" t="n"/>
      <c r="N172" s="369" t="n"/>
      <c r="O172" s="369" t="n"/>
      <c r="P172" s="239" t="inlineStr">
        <is>
          <t>ข้อ 12</t>
        </is>
      </c>
      <c r="Q172" s="369" t="n"/>
      <c r="R172" s="369" t="n"/>
      <c r="S172" s="369" t="n"/>
      <c r="T172" s="28" t="inlineStr">
        <is>
          <t>Sound
✅</t>
        </is>
      </c>
      <c r="U172" s="28" t="inlineStr">
        <is>
          <t>Misc
❌</t>
        </is>
      </c>
      <c r="V172" s="28" t="inlineStr">
        <is>
          <t>Guess
🎲</t>
        </is>
      </c>
      <c r="W172" s="28" t="inlineStr">
        <is>
          <t>NoK
❓</t>
        </is>
      </c>
      <c r="X172" s="28" t="inlineStr">
        <is>
          <t>% Misc
(Auto)</t>
        </is>
      </c>
    </row>
    <row r="173" ht="27.75" customHeight="1">
      <c r="B173" s="40" t="n"/>
      <c r="C173" s="41" t="inlineStr">
        <is>
          <t>← กรอกเฉลย T1 และ T3</t>
        </is>
      </c>
      <c r="D173" s="42" t="inlineStr">
        <is>
          <t>T1
(ก-ง)</t>
        </is>
      </c>
      <c r="E173" s="42" t="inlineStr">
        <is>
          <t>T2
(Y/N)</t>
        </is>
      </c>
      <c r="F173" s="42" t="inlineStr">
        <is>
          <t>T3
(ก-ง)</t>
        </is>
      </c>
      <c r="G173" s="42" t="inlineStr">
        <is>
          <t>T4
(Y/N)</t>
        </is>
      </c>
      <c r="H173" s="42" t="inlineStr">
        <is>
          <t>T1
(ก-ง)</t>
        </is>
      </c>
      <c r="I173" s="42" t="inlineStr">
        <is>
          <t>T2
(Y/N)</t>
        </is>
      </c>
      <c r="J173" s="42" t="inlineStr">
        <is>
          <t>T3
(ก-ง)</t>
        </is>
      </c>
      <c r="K173" s="42" t="inlineStr">
        <is>
          <t>T4
(Y/N)</t>
        </is>
      </c>
      <c r="L173" s="42" t="inlineStr">
        <is>
          <t>T1
(ก-ง)</t>
        </is>
      </c>
      <c r="M173" s="42" t="inlineStr">
        <is>
          <t>T2
(Y/N)</t>
        </is>
      </c>
      <c r="N173" s="42" t="inlineStr">
        <is>
          <t>T3
(ก-ง)</t>
        </is>
      </c>
      <c r="O173" s="42" t="inlineStr">
        <is>
          <t>T4
(Y/N)</t>
        </is>
      </c>
      <c r="P173" s="42" t="inlineStr">
        <is>
          <t>T1
(ก-ง)</t>
        </is>
      </c>
      <c r="Q173" s="42" t="inlineStr">
        <is>
          <t>T2
(Y/N)</t>
        </is>
      </c>
      <c r="R173" s="42" t="inlineStr">
        <is>
          <t>T3
(ก-ง)</t>
        </is>
      </c>
      <c r="S173" s="42" t="inlineStr">
        <is>
          <t>T4
(Y/N)</t>
        </is>
      </c>
      <c r="T173" s="43" t="inlineStr">
        <is>
          <t>—</t>
        </is>
      </c>
      <c r="U173" s="43" t="inlineStr">
        <is>
          <t>—</t>
        </is>
      </c>
      <c r="V173" s="43" t="inlineStr">
        <is>
          <t>—</t>
        </is>
      </c>
      <c r="W173" s="43" t="inlineStr">
        <is>
          <t>—</t>
        </is>
      </c>
      <c r="X173" s="43" t="inlineStr">
        <is>
          <t>—</t>
        </is>
      </c>
    </row>
    <row r="174" ht="18" customHeight="1">
      <c r="B174" s="44" t="inlineStr">
        <is>
          <t>KEY</t>
        </is>
      </c>
      <c r="C174" s="45" t="inlineStr">
        <is>
          <t>← กรอกเฉลยที่ถูกต้อง</t>
        </is>
      </c>
      <c r="D174" s="9" t="n"/>
      <c r="E174" s="21" t="inlineStr">
        <is>
          <t>—</t>
        </is>
      </c>
      <c r="F174" s="9" t="n"/>
      <c r="G174" s="21" t="inlineStr">
        <is>
          <t>—</t>
        </is>
      </c>
      <c r="H174" s="9" t="n"/>
      <c r="I174" s="21" t="inlineStr">
        <is>
          <t>—</t>
        </is>
      </c>
      <c r="J174" s="9" t="n"/>
      <c r="K174" s="21" t="inlineStr">
        <is>
          <t>—</t>
        </is>
      </c>
      <c r="L174" s="9" t="n"/>
      <c r="M174" s="21" t="inlineStr">
        <is>
          <t>—</t>
        </is>
      </c>
      <c r="N174" s="9" t="n"/>
      <c r="O174" s="21" t="inlineStr">
        <is>
          <t>—</t>
        </is>
      </c>
      <c r="P174" s="9" t="n"/>
      <c r="Q174" s="21" t="inlineStr">
        <is>
          <t>—</t>
        </is>
      </c>
      <c r="R174" s="9" t="n"/>
      <c r="S174" s="21" t="inlineStr">
        <is>
          <t>—</t>
        </is>
      </c>
      <c r="T174" s="21" t="inlineStr">
        <is>
          <t>—</t>
        </is>
      </c>
      <c r="U174" s="21" t="inlineStr">
        <is>
          <t>—</t>
        </is>
      </c>
      <c r="V174" s="21" t="inlineStr">
        <is>
          <t>—</t>
        </is>
      </c>
      <c r="W174" s="21" t="inlineStr">
        <is>
          <t>—</t>
        </is>
      </c>
      <c r="X174" s="21" t="inlineStr">
        <is>
          <t>—</t>
        </is>
      </c>
    </row>
    <row r="175" ht="18" customHeight="1">
      <c r="B175" s="46">
        <f>'📥 ข้อมูลนักเรียน'!B4</f>
        <v/>
      </c>
      <c r="C175" s="47">
        <f>'📥 ข้อมูลนักเรียน'!C4</f>
        <v/>
      </c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37">
        <f>IFERROR(SUMPRODUCT(((D175=D174)*(E175="Y")*(F175=F174)*(G175="Y")*(D175&lt;&gt;"")* (F175&lt;&gt;""))+((H175=H174)*(I175="Y")*(J175=J174)*(K175="Y")*(H175&lt;&gt;"")* (J175&lt;&gt;""))+((L175=L174)*(M175="Y")*(N175=N174)*(O175="Y")*(L175&lt;&gt;"")* (N175&lt;&gt;""))+((P175=P174)*(Q175="Y")*(R175=R174)*(S175="Y")*(P175&lt;&gt;"")* (R175&lt;&gt;""))),0)</f>
        <v/>
      </c>
      <c r="U175" s="49">
        <f>IFERROR(SUMPRODUCT(((D175&lt;&gt;D174)*(E175="Y")*(F175&lt;&gt;F174)*(G175="Y")*(D175&lt;&gt;"")* (F175&lt;&gt;""))+((H175&lt;&gt;H174)*(I175="Y")*(J175&lt;&gt;J174)*(K175="Y")*(H175&lt;&gt;"")* (J175&lt;&gt;""))+((L175&lt;&gt;L174)*(M175="Y")*(N175&lt;&gt;N174)*(O175="Y")*(L175&lt;&gt;"")* (N175&lt;&gt;""))+((P175&lt;&gt;P174)*(Q175="Y")*(R175&lt;&gt;R174)*(S175="Y")*(P175&lt;&gt;"")* (R175&lt;&gt;""))),0)</f>
        <v/>
      </c>
      <c r="V175" s="37">
        <f>IFERROR(SUMPRODUCT(((D175=D174)*(E175="Y")*(F175&lt;&gt;F174)*(G175="Y")*(D175&lt;&gt;"")* (F175&lt;&gt;""))+((H175=H174)*(I175="Y")*(J175&lt;&gt;J174)*(K175="Y")*(H175&lt;&gt;"")* (J175&lt;&gt;""))+((L175=L174)*(M175="Y")*(N175&lt;&gt;N174)*(O175="Y")*(L175&lt;&gt;"")* (N175&lt;&gt;""))+((P175=P174)*(Q175="Y")*(R175&lt;&gt;R174)*(S175="Y")*(P175&lt;&gt;"")* (R175&lt;&gt;""))),0)</f>
        <v/>
      </c>
      <c r="W175" s="37">
        <f>IFERROR(SUMPRODUCT(((E175="N")*(D175&lt;&gt;"")* (F175&lt;&gt;""))+((I175="N")*(H175&lt;&gt;"")* (J175&lt;&gt;""))+((M175="N")*(L175&lt;&gt;"")* (N175&lt;&gt;""))+((Q175="N")*(P175&lt;&gt;"")* (R175&lt;&gt;""))),0)</f>
        <v/>
      </c>
      <c r="X175" s="50">
        <f>IFERROR(U175/4,0)</f>
        <v/>
      </c>
    </row>
    <row r="176" ht="18" customHeight="1">
      <c r="B176" s="46">
        <f>'📥 ข้อมูลนักเรียน'!B5</f>
        <v/>
      </c>
      <c r="C176" s="51">
        <f>'📥 ข้อมูลนักเรียน'!C5</f>
        <v/>
      </c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37">
        <f>IFERROR(SUMPRODUCT(((D176=D174)*(E176="Y")*(F176=F174)*(G176="Y")*(D176&lt;&gt;"")* (F176&lt;&gt;""))+((H176=H174)*(I176="Y")*(J176=J174)*(K176="Y")*(H176&lt;&gt;"")* (J176&lt;&gt;""))+((L176=L174)*(M176="Y")*(N176=N174)*(O176="Y")*(L176&lt;&gt;"")* (N176&lt;&gt;""))+((P176=P174)*(Q176="Y")*(R176=R174)*(S176="Y")*(P176&lt;&gt;"")* (R176&lt;&gt;""))),0)</f>
        <v/>
      </c>
      <c r="U176" s="49">
        <f>IFERROR(SUMPRODUCT(((D176&lt;&gt;D174)*(E176="Y")*(F176&lt;&gt;F174)*(G176="Y")*(D176&lt;&gt;"")* (F176&lt;&gt;""))+((H176&lt;&gt;H174)*(I176="Y")*(J176&lt;&gt;J174)*(K176="Y")*(H176&lt;&gt;"")* (J176&lt;&gt;""))+((L176&lt;&gt;L174)*(M176="Y")*(N176&lt;&gt;N174)*(O176="Y")*(L176&lt;&gt;"")* (N176&lt;&gt;""))+((P176&lt;&gt;P174)*(Q176="Y")*(R176&lt;&gt;R174)*(S176="Y")*(P176&lt;&gt;"")* (R176&lt;&gt;""))),0)</f>
        <v/>
      </c>
      <c r="V176" s="37">
        <f>IFERROR(SUMPRODUCT(((D176=D174)*(E176="Y")*(F176&lt;&gt;F174)*(G176="Y")*(D176&lt;&gt;"")* (F176&lt;&gt;""))+((H176=H174)*(I176="Y")*(J176&lt;&gt;J174)*(K176="Y")*(H176&lt;&gt;"")* (J176&lt;&gt;""))+((L176=L174)*(M176="Y")*(N176&lt;&gt;N174)*(O176="Y")*(L176&lt;&gt;"")* (N176&lt;&gt;""))+((P176=P174)*(Q176="Y")*(R176&lt;&gt;R174)*(S176="Y")*(P176&lt;&gt;"")* (R176&lt;&gt;""))),0)</f>
        <v/>
      </c>
      <c r="W176" s="37">
        <f>IFERROR(SUMPRODUCT(((E176="N")*(D176&lt;&gt;"")* (F176&lt;&gt;""))+((I176="N")*(H176&lt;&gt;"")* (J176&lt;&gt;""))+((M176="N")*(L176&lt;&gt;"")* (N176&lt;&gt;""))+((Q176="N")*(P176&lt;&gt;"")* (R176&lt;&gt;""))),0)</f>
        <v/>
      </c>
      <c r="X176" s="50">
        <f>IFERROR(U176/4,0)</f>
        <v/>
      </c>
    </row>
    <row r="177" ht="18" customHeight="1">
      <c r="B177" s="46">
        <f>'📥 ข้อมูลนักเรียน'!B6</f>
        <v/>
      </c>
      <c r="C177" s="47">
        <f>'📥 ข้อมูลนักเรียน'!C6</f>
        <v/>
      </c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37">
        <f>IFERROR(SUMPRODUCT(((D177=D174)*(E177="Y")*(F177=F174)*(G177="Y")*(D177&lt;&gt;"")* (F177&lt;&gt;""))+((H177=H174)*(I177="Y")*(J177=J174)*(K177="Y")*(H177&lt;&gt;"")* (J177&lt;&gt;""))+((L177=L174)*(M177="Y")*(N177=N174)*(O177="Y")*(L177&lt;&gt;"")* (N177&lt;&gt;""))+((P177=P174)*(Q177="Y")*(R177=R174)*(S177="Y")*(P177&lt;&gt;"")* (R177&lt;&gt;""))),0)</f>
        <v/>
      </c>
      <c r="U177" s="49">
        <f>IFERROR(SUMPRODUCT(((D177&lt;&gt;D174)*(E177="Y")*(F177&lt;&gt;F174)*(G177="Y")*(D177&lt;&gt;"")* (F177&lt;&gt;""))+((H177&lt;&gt;H174)*(I177="Y")*(J177&lt;&gt;J174)*(K177="Y")*(H177&lt;&gt;"")* (J177&lt;&gt;""))+((L177&lt;&gt;L174)*(M177="Y")*(N177&lt;&gt;N174)*(O177="Y")*(L177&lt;&gt;"")* (N177&lt;&gt;""))+((P177&lt;&gt;P174)*(Q177="Y")*(R177&lt;&gt;R174)*(S177="Y")*(P177&lt;&gt;"")* (R177&lt;&gt;""))),0)</f>
        <v/>
      </c>
      <c r="V177" s="37">
        <f>IFERROR(SUMPRODUCT(((D177=D174)*(E177="Y")*(F177&lt;&gt;F174)*(G177="Y")*(D177&lt;&gt;"")* (F177&lt;&gt;""))+((H177=H174)*(I177="Y")*(J177&lt;&gt;J174)*(K177="Y")*(H177&lt;&gt;"")* (J177&lt;&gt;""))+((L177=L174)*(M177="Y")*(N177&lt;&gt;N174)*(O177="Y")*(L177&lt;&gt;"")* (N177&lt;&gt;""))+((P177=P174)*(Q177="Y")*(R177&lt;&gt;R174)*(S177="Y")*(P177&lt;&gt;"")* (R177&lt;&gt;""))),0)</f>
        <v/>
      </c>
      <c r="W177" s="37">
        <f>IFERROR(SUMPRODUCT(((E177="N")*(D177&lt;&gt;"")* (F177&lt;&gt;""))+((I177="N")*(H177&lt;&gt;"")* (J177&lt;&gt;""))+((M177="N")*(L177&lt;&gt;"")* (N177&lt;&gt;""))+((Q177="N")*(P177&lt;&gt;"")* (R177&lt;&gt;""))),0)</f>
        <v/>
      </c>
      <c r="X177" s="50">
        <f>IFERROR(U177/4,0)</f>
        <v/>
      </c>
    </row>
    <row r="178" ht="18" customHeight="1">
      <c r="B178" s="46">
        <f>'📥 ข้อมูลนักเรียน'!B7</f>
        <v/>
      </c>
      <c r="C178" s="51">
        <f>'📥 ข้อมูลนักเรียน'!C7</f>
        <v/>
      </c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37">
        <f>IFERROR(SUMPRODUCT(((D178=D174)*(E178="Y")*(F178=F174)*(G178="Y")*(D178&lt;&gt;"")* (F178&lt;&gt;""))+((H178=H174)*(I178="Y")*(J178=J174)*(K178="Y")*(H178&lt;&gt;"")* (J178&lt;&gt;""))+((L178=L174)*(M178="Y")*(N178=N174)*(O178="Y")*(L178&lt;&gt;"")* (N178&lt;&gt;""))+((P178=P174)*(Q178="Y")*(R178=R174)*(S178="Y")*(P178&lt;&gt;"")* (R178&lt;&gt;""))),0)</f>
        <v/>
      </c>
      <c r="U178" s="49">
        <f>IFERROR(SUMPRODUCT(((D178&lt;&gt;D174)*(E178="Y")*(F178&lt;&gt;F174)*(G178="Y")*(D178&lt;&gt;"")* (F178&lt;&gt;""))+((H178&lt;&gt;H174)*(I178="Y")*(J178&lt;&gt;J174)*(K178="Y")*(H178&lt;&gt;"")* (J178&lt;&gt;""))+((L178&lt;&gt;L174)*(M178="Y")*(N178&lt;&gt;N174)*(O178="Y")*(L178&lt;&gt;"")* (N178&lt;&gt;""))+((P178&lt;&gt;P174)*(Q178="Y")*(R178&lt;&gt;R174)*(S178="Y")*(P178&lt;&gt;"")* (R178&lt;&gt;""))),0)</f>
        <v/>
      </c>
      <c r="V178" s="37">
        <f>IFERROR(SUMPRODUCT(((D178=D174)*(E178="Y")*(F178&lt;&gt;F174)*(G178="Y")*(D178&lt;&gt;"")* (F178&lt;&gt;""))+((H178=H174)*(I178="Y")*(J178&lt;&gt;J174)*(K178="Y")*(H178&lt;&gt;"")* (J178&lt;&gt;""))+((L178=L174)*(M178="Y")*(N178&lt;&gt;N174)*(O178="Y")*(L178&lt;&gt;"")* (N178&lt;&gt;""))+((P178=P174)*(Q178="Y")*(R178&lt;&gt;R174)*(S178="Y")*(P178&lt;&gt;"")* (R178&lt;&gt;""))),0)</f>
        <v/>
      </c>
      <c r="W178" s="37">
        <f>IFERROR(SUMPRODUCT(((E178="N")*(D178&lt;&gt;"")* (F178&lt;&gt;""))+((I178="N")*(H178&lt;&gt;"")* (J178&lt;&gt;""))+((M178="N")*(L178&lt;&gt;"")* (N178&lt;&gt;""))+((Q178="N")*(P178&lt;&gt;"")* (R178&lt;&gt;""))),0)</f>
        <v/>
      </c>
      <c r="X178" s="50">
        <f>IFERROR(U178/4,0)</f>
        <v/>
      </c>
    </row>
    <row r="179" ht="18" customHeight="1">
      <c r="B179" s="46">
        <f>'📥 ข้อมูลนักเรียน'!B8</f>
        <v/>
      </c>
      <c r="C179" s="47">
        <f>'📥 ข้อมูลนักเรียน'!C8</f>
        <v/>
      </c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37">
        <f>IFERROR(SUMPRODUCT(((D179=D174)*(E179="Y")*(F179=F174)*(G179="Y")*(D179&lt;&gt;"")* (F179&lt;&gt;""))+((H179=H174)*(I179="Y")*(J179=J174)*(K179="Y")*(H179&lt;&gt;"")* (J179&lt;&gt;""))+((L179=L174)*(M179="Y")*(N179=N174)*(O179="Y")*(L179&lt;&gt;"")* (N179&lt;&gt;""))+((P179=P174)*(Q179="Y")*(R179=R174)*(S179="Y")*(P179&lt;&gt;"")* (R179&lt;&gt;""))),0)</f>
        <v/>
      </c>
      <c r="U179" s="49">
        <f>IFERROR(SUMPRODUCT(((D179&lt;&gt;D174)*(E179="Y")*(F179&lt;&gt;F174)*(G179="Y")*(D179&lt;&gt;"")* (F179&lt;&gt;""))+((H179&lt;&gt;H174)*(I179="Y")*(J179&lt;&gt;J174)*(K179="Y")*(H179&lt;&gt;"")* (J179&lt;&gt;""))+((L179&lt;&gt;L174)*(M179="Y")*(N179&lt;&gt;N174)*(O179="Y")*(L179&lt;&gt;"")* (N179&lt;&gt;""))+((P179&lt;&gt;P174)*(Q179="Y")*(R179&lt;&gt;R174)*(S179="Y")*(P179&lt;&gt;"")* (R179&lt;&gt;""))),0)</f>
        <v/>
      </c>
      <c r="V179" s="37">
        <f>IFERROR(SUMPRODUCT(((D179=D174)*(E179="Y")*(F179&lt;&gt;F174)*(G179="Y")*(D179&lt;&gt;"")* (F179&lt;&gt;""))+((H179=H174)*(I179="Y")*(J179&lt;&gt;J174)*(K179="Y")*(H179&lt;&gt;"")* (J179&lt;&gt;""))+((L179=L174)*(M179="Y")*(N179&lt;&gt;N174)*(O179="Y")*(L179&lt;&gt;"")* (N179&lt;&gt;""))+((P179=P174)*(Q179="Y")*(R179&lt;&gt;R174)*(S179="Y")*(P179&lt;&gt;"")* (R179&lt;&gt;""))),0)</f>
        <v/>
      </c>
      <c r="W179" s="37">
        <f>IFERROR(SUMPRODUCT(((E179="N")*(D179&lt;&gt;"")* (F179&lt;&gt;""))+((I179="N")*(H179&lt;&gt;"")* (J179&lt;&gt;""))+((M179="N")*(L179&lt;&gt;"")* (N179&lt;&gt;""))+((Q179="N")*(P179&lt;&gt;"")* (R179&lt;&gt;""))),0)</f>
        <v/>
      </c>
      <c r="X179" s="50">
        <f>IFERROR(U179/4,0)</f>
        <v/>
      </c>
    </row>
    <row r="180" ht="18" customHeight="1">
      <c r="B180" s="46">
        <f>'📥 ข้อมูลนักเรียน'!B9</f>
        <v/>
      </c>
      <c r="C180" s="51">
        <f>'📥 ข้อมูลนักเรียน'!C9</f>
        <v/>
      </c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37">
        <f>IFERROR(SUMPRODUCT(((D180=D174)*(E180="Y")*(F180=F174)*(G180="Y")*(D180&lt;&gt;"")* (F180&lt;&gt;""))+((H180=H174)*(I180="Y")*(J180=J174)*(K180="Y")*(H180&lt;&gt;"")* (J180&lt;&gt;""))+((L180=L174)*(M180="Y")*(N180=N174)*(O180="Y")*(L180&lt;&gt;"")* (N180&lt;&gt;""))+((P180=P174)*(Q180="Y")*(R180=R174)*(S180="Y")*(P180&lt;&gt;"")* (R180&lt;&gt;""))),0)</f>
        <v/>
      </c>
      <c r="U180" s="49">
        <f>IFERROR(SUMPRODUCT(((D180&lt;&gt;D174)*(E180="Y")*(F180&lt;&gt;F174)*(G180="Y")*(D180&lt;&gt;"")* (F180&lt;&gt;""))+((H180&lt;&gt;H174)*(I180="Y")*(J180&lt;&gt;J174)*(K180="Y")*(H180&lt;&gt;"")* (J180&lt;&gt;""))+((L180&lt;&gt;L174)*(M180="Y")*(N180&lt;&gt;N174)*(O180="Y")*(L180&lt;&gt;"")* (N180&lt;&gt;""))+((P180&lt;&gt;P174)*(Q180="Y")*(R180&lt;&gt;R174)*(S180="Y")*(P180&lt;&gt;"")* (R180&lt;&gt;""))),0)</f>
        <v/>
      </c>
      <c r="V180" s="37">
        <f>IFERROR(SUMPRODUCT(((D180=D174)*(E180="Y")*(F180&lt;&gt;F174)*(G180="Y")*(D180&lt;&gt;"")* (F180&lt;&gt;""))+((H180=H174)*(I180="Y")*(J180&lt;&gt;J174)*(K180="Y")*(H180&lt;&gt;"")* (J180&lt;&gt;""))+((L180=L174)*(M180="Y")*(N180&lt;&gt;N174)*(O180="Y")*(L180&lt;&gt;"")* (N180&lt;&gt;""))+((P180=P174)*(Q180="Y")*(R180&lt;&gt;R174)*(S180="Y")*(P180&lt;&gt;"")* (R180&lt;&gt;""))),0)</f>
        <v/>
      </c>
      <c r="W180" s="37">
        <f>IFERROR(SUMPRODUCT(((E180="N")*(D180&lt;&gt;"")* (F180&lt;&gt;""))+((I180="N")*(H180&lt;&gt;"")* (J180&lt;&gt;""))+((M180="N")*(L180&lt;&gt;"")* (N180&lt;&gt;""))+((Q180="N")*(P180&lt;&gt;"")* (R180&lt;&gt;""))),0)</f>
        <v/>
      </c>
      <c r="X180" s="50">
        <f>IFERROR(U180/4,0)</f>
        <v/>
      </c>
    </row>
    <row r="181" ht="18" customHeight="1">
      <c r="B181" s="46">
        <f>'📥 ข้อมูลนักเรียน'!B10</f>
        <v/>
      </c>
      <c r="C181" s="47">
        <f>'📥 ข้อมูลนักเรียน'!C10</f>
        <v/>
      </c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37">
        <f>IFERROR(SUMPRODUCT(((D181=D174)*(E181="Y")*(F181=F174)*(G181="Y")*(D181&lt;&gt;"")* (F181&lt;&gt;""))+((H181=H174)*(I181="Y")*(J181=J174)*(K181="Y")*(H181&lt;&gt;"")* (J181&lt;&gt;""))+((L181=L174)*(M181="Y")*(N181=N174)*(O181="Y")*(L181&lt;&gt;"")* (N181&lt;&gt;""))+((P181=P174)*(Q181="Y")*(R181=R174)*(S181="Y")*(P181&lt;&gt;"")* (R181&lt;&gt;""))),0)</f>
        <v/>
      </c>
      <c r="U181" s="49">
        <f>IFERROR(SUMPRODUCT(((D181&lt;&gt;D174)*(E181="Y")*(F181&lt;&gt;F174)*(G181="Y")*(D181&lt;&gt;"")* (F181&lt;&gt;""))+((H181&lt;&gt;H174)*(I181="Y")*(J181&lt;&gt;J174)*(K181="Y")*(H181&lt;&gt;"")* (J181&lt;&gt;""))+((L181&lt;&gt;L174)*(M181="Y")*(N181&lt;&gt;N174)*(O181="Y")*(L181&lt;&gt;"")* (N181&lt;&gt;""))+((P181&lt;&gt;P174)*(Q181="Y")*(R181&lt;&gt;R174)*(S181="Y")*(P181&lt;&gt;"")* (R181&lt;&gt;""))),0)</f>
        <v/>
      </c>
      <c r="V181" s="37">
        <f>IFERROR(SUMPRODUCT(((D181=D174)*(E181="Y")*(F181&lt;&gt;F174)*(G181="Y")*(D181&lt;&gt;"")* (F181&lt;&gt;""))+((H181=H174)*(I181="Y")*(J181&lt;&gt;J174)*(K181="Y")*(H181&lt;&gt;"")* (J181&lt;&gt;""))+((L181=L174)*(M181="Y")*(N181&lt;&gt;N174)*(O181="Y")*(L181&lt;&gt;"")* (N181&lt;&gt;""))+((P181=P174)*(Q181="Y")*(R181&lt;&gt;R174)*(S181="Y")*(P181&lt;&gt;"")* (R181&lt;&gt;""))),0)</f>
        <v/>
      </c>
      <c r="W181" s="37">
        <f>IFERROR(SUMPRODUCT(((E181="N")*(D181&lt;&gt;"")* (F181&lt;&gt;""))+((I181="N")*(H181&lt;&gt;"")* (J181&lt;&gt;""))+((M181="N")*(L181&lt;&gt;"")* (N181&lt;&gt;""))+((Q181="N")*(P181&lt;&gt;"")* (R181&lt;&gt;""))),0)</f>
        <v/>
      </c>
      <c r="X181" s="50">
        <f>IFERROR(U181/4,0)</f>
        <v/>
      </c>
    </row>
    <row r="182" ht="18" customHeight="1">
      <c r="B182" s="46">
        <f>'📥 ข้อมูลนักเรียน'!B11</f>
        <v/>
      </c>
      <c r="C182" s="51">
        <f>'📥 ข้อมูลนักเรียน'!C11</f>
        <v/>
      </c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37">
        <f>IFERROR(SUMPRODUCT(((D182=D174)*(E182="Y")*(F182=F174)*(G182="Y")*(D182&lt;&gt;"")* (F182&lt;&gt;""))+((H182=H174)*(I182="Y")*(J182=J174)*(K182="Y")*(H182&lt;&gt;"")* (J182&lt;&gt;""))+((L182=L174)*(M182="Y")*(N182=N174)*(O182="Y")*(L182&lt;&gt;"")* (N182&lt;&gt;""))+((P182=P174)*(Q182="Y")*(R182=R174)*(S182="Y")*(P182&lt;&gt;"")* (R182&lt;&gt;""))),0)</f>
        <v/>
      </c>
      <c r="U182" s="49">
        <f>IFERROR(SUMPRODUCT(((D182&lt;&gt;D174)*(E182="Y")*(F182&lt;&gt;F174)*(G182="Y")*(D182&lt;&gt;"")* (F182&lt;&gt;""))+((H182&lt;&gt;H174)*(I182="Y")*(J182&lt;&gt;J174)*(K182="Y")*(H182&lt;&gt;"")* (J182&lt;&gt;""))+((L182&lt;&gt;L174)*(M182="Y")*(N182&lt;&gt;N174)*(O182="Y")*(L182&lt;&gt;"")* (N182&lt;&gt;""))+((P182&lt;&gt;P174)*(Q182="Y")*(R182&lt;&gt;R174)*(S182="Y")*(P182&lt;&gt;"")* (R182&lt;&gt;""))),0)</f>
        <v/>
      </c>
      <c r="V182" s="37">
        <f>IFERROR(SUMPRODUCT(((D182=D174)*(E182="Y")*(F182&lt;&gt;F174)*(G182="Y")*(D182&lt;&gt;"")* (F182&lt;&gt;""))+((H182=H174)*(I182="Y")*(J182&lt;&gt;J174)*(K182="Y")*(H182&lt;&gt;"")* (J182&lt;&gt;""))+((L182=L174)*(M182="Y")*(N182&lt;&gt;N174)*(O182="Y")*(L182&lt;&gt;"")* (N182&lt;&gt;""))+((P182=P174)*(Q182="Y")*(R182&lt;&gt;R174)*(S182="Y")*(P182&lt;&gt;"")* (R182&lt;&gt;""))),0)</f>
        <v/>
      </c>
      <c r="W182" s="37">
        <f>IFERROR(SUMPRODUCT(((E182="N")*(D182&lt;&gt;"")* (F182&lt;&gt;""))+((I182="N")*(H182&lt;&gt;"")* (J182&lt;&gt;""))+((M182="N")*(L182&lt;&gt;"")* (N182&lt;&gt;""))+((Q182="N")*(P182&lt;&gt;"")* (R182&lt;&gt;""))),0)</f>
        <v/>
      </c>
      <c r="X182" s="50">
        <f>IFERROR(U182/4,0)</f>
        <v/>
      </c>
    </row>
    <row r="183" ht="18" customHeight="1">
      <c r="B183" s="46">
        <f>'📥 ข้อมูลนักเรียน'!B12</f>
        <v/>
      </c>
      <c r="C183" s="47">
        <f>'📥 ข้อมูลนักเรียน'!C12</f>
        <v/>
      </c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37">
        <f>IFERROR(SUMPRODUCT(((D183=D174)*(E183="Y")*(F183=F174)*(G183="Y")*(D183&lt;&gt;"")* (F183&lt;&gt;""))+((H183=H174)*(I183="Y")*(J183=J174)*(K183="Y")*(H183&lt;&gt;"")* (J183&lt;&gt;""))+((L183=L174)*(M183="Y")*(N183=N174)*(O183="Y")*(L183&lt;&gt;"")* (N183&lt;&gt;""))+((P183=P174)*(Q183="Y")*(R183=R174)*(S183="Y")*(P183&lt;&gt;"")* (R183&lt;&gt;""))),0)</f>
        <v/>
      </c>
      <c r="U183" s="49">
        <f>IFERROR(SUMPRODUCT(((D183&lt;&gt;D174)*(E183="Y")*(F183&lt;&gt;F174)*(G183="Y")*(D183&lt;&gt;"")* (F183&lt;&gt;""))+((H183&lt;&gt;H174)*(I183="Y")*(J183&lt;&gt;J174)*(K183="Y")*(H183&lt;&gt;"")* (J183&lt;&gt;""))+((L183&lt;&gt;L174)*(M183="Y")*(N183&lt;&gt;N174)*(O183="Y")*(L183&lt;&gt;"")* (N183&lt;&gt;""))+((P183&lt;&gt;P174)*(Q183="Y")*(R183&lt;&gt;R174)*(S183="Y")*(P183&lt;&gt;"")* (R183&lt;&gt;""))),0)</f>
        <v/>
      </c>
      <c r="V183" s="37">
        <f>IFERROR(SUMPRODUCT(((D183=D174)*(E183="Y")*(F183&lt;&gt;F174)*(G183="Y")*(D183&lt;&gt;"")* (F183&lt;&gt;""))+((H183=H174)*(I183="Y")*(J183&lt;&gt;J174)*(K183="Y")*(H183&lt;&gt;"")* (J183&lt;&gt;""))+((L183=L174)*(M183="Y")*(N183&lt;&gt;N174)*(O183="Y")*(L183&lt;&gt;"")* (N183&lt;&gt;""))+((P183=P174)*(Q183="Y")*(R183&lt;&gt;R174)*(S183="Y")*(P183&lt;&gt;"")* (R183&lt;&gt;""))),0)</f>
        <v/>
      </c>
      <c r="W183" s="37">
        <f>IFERROR(SUMPRODUCT(((E183="N")*(D183&lt;&gt;"")* (F183&lt;&gt;""))+((I183="N")*(H183&lt;&gt;"")* (J183&lt;&gt;""))+((M183="N")*(L183&lt;&gt;"")* (N183&lt;&gt;""))+((Q183="N")*(P183&lt;&gt;"")* (R183&lt;&gt;""))),0)</f>
        <v/>
      </c>
      <c r="X183" s="50">
        <f>IFERROR(U183/4,0)</f>
        <v/>
      </c>
    </row>
    <row r="184" ht="18" customHeight="1">
      <c r="B184" s="46">
        <f>'📥 ข้อมูลนักเรียน'!B13</f>
        <v/>
      </c>
      <c r="C184" s="51">
        <f>'📥 ข้อมูลนักเรียน'!C13</f>
        <v/>
      </c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37">
        <f>IFERROR(SUMPRODUCT(((D184=D174)*(E184="Y")*(F184=F174)*(G184="Y")*(D184&lt;&gt;"")* (F184&lt;&gt;""))+((H184=H174)*(I184="Y")*(J184=J174)*(K184="Y")*(H184&lt;&gt;"")* (J184&lt;&gt;""))+((L184=L174)*(M184="Y")*(N184=N174)*(O184="Y")*(L184&lt;&gt;"")* (N184&lt;&gt;""))+((P184=P174)*(Q184="Y")*(R184=R174)*(S184="Y")*(P184&lt;&gt;"")* (R184&lt;&gt;""))),0)</f>
        <v/>
      </c>
      <c r="U184" s="49">
        <f>IFERROR(SUMPRODUCT(((D184&lt;&gt;D174)*(E184="Y")*(F184&lt;&gt;F174)*(G184="Y")*(D184&lt;&gt;"")* (F184&lt;&gt;""))+((H184&lt;&gt;H174)*(I184="Y")*(J184&lt;&gt;J174)*(K184="Y")*(H184&lt;&gt;"")* (J184&lt;&gt;""))+((L184&lt;&gt;L174)*(M184="Y")*(N184&lt;&gt;N174)*(O184="Y")*(L184&lt;&gt;"")* (N184&lt;&gt;""))+((P184&lt;&gt;P174)*(Q184="Y")*(R184&lt;&gt;R174)*(S184="Y")*(P184&lt;&gt;"")* (R184&lt;&gt;""))),0)</f>
        <v/>
      </c>
      <c r="V184" s="37">
        <f>IFERROR(SUMPRODUCT(((D184=D174)*(E184="Y")*(F184&lt;&gt;F174)*(G184="Y")*(D184&lt;&gt;"")* (F184&lt;&gt;""))+((H184=H174)*(I184="Y")*(J184&lt;&gt;J174)*(K184="Y")*(H184&lt;&gt;"")* (J184&lt;&gt;""))+((L184=L174)*(M184="Y")*(N184&lt;&gt;N174)*(O184="Y")*(L184&lt;&gt;"")* (N184&lt;&gt;""))+((P184=P174)*(Q184="Y")*(R184&lt;&gt;R174)*(S184="Y")*(P184&lt;&gt;"")* (R184&lt;&gt;""))),0)</f>
        <v/>
      </c>
      <c r="W184" s="37">
        <f>IFERROR(SUMPRODUCT(((E184="N")*(D184&lt;&gt;"")* (F184&lt;&gt;""))+((I184="N")*(H184&lt;&gt;"")* (J184&lt;&gt;""))+((M184="N")*(L184&lt;&gt;"")* (N184&lt;&gt;""))+((Q184="N")*(P184&lt;&gt;"")* (R184&lt;&gt;""))),0)</f>
        <v/>
      </c>
      <c r="X184" s="50">
        <f>IFERROR(U184/4,0)</f>
        <v/>
      </c>
    </row>
    <row r="185" ht="18" customHeight="1">
      <c r="B185" s="46">
        <f>'📥 ข้อมูลนักเรียน'!B14</f>
        <v/>
      </c>
      <c r="C185" s="47">
        <f>'📥 ข้อมูลนักเรียน'!C14</f>
        <v/>
      </c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37">
        <f>IFERROR(SUMPRODUCT(((D185=D174)*(E185="Y")*(F185=F174)*(G185="Y")*(D185&lt;&gt;"")* (F185&lt;&gt;""))+((H185=H174)*(I185="Y")*(J185=J174)*(K185="Y")*(H185&lt;&gt;"")* (J185&lt;&gt;""))+((L185=L174)*(M185="Y")*(N185=N174)*(O185="Y")*(L185&lt;&gt;"")* (N185&lt;&gt;""))+((P185=P174)*(Q185="Y")*(R185=R174)*(S185="Y")*(P185&lt;&gt;"")* (R185&lt;&gt;""))),0)</f>
        <v/>
      </c>
      <c r="U185" s="49">
        <f>IFERROR(SUMPRODUCT(((D185&lt;&gt;D174)*(E185="Y")*(F185&lt;&gt;F174)*(G185="Y")*(D185&lt;&gt;"")* (F185&lt;&gt;""))+((H185&lt;&gt;H174)*(I185="Y")*(J185&lt;&gt;J174)*(K185="Y")*(H185&lt;&gt;"")* (J185&lt;&gt;""))+((L185&lt;&gt;L174)*(M185="Y")*(N185&lt;&gt;N174)*(O185="Y")*(L185&lt;&gt;"")* (N185&lt;&gt;""))+((P185&lt;&gt;P174)*(Q185="Y")*(R185&lt;&gt;R174)*(S185="Y")*(P185&lt;&gt;"")* (R185&lt;&gt;""))),0)</f>
        <v/>
      </c>
      <c r="V185" s="37">
        <f>IFERROR(SUMPRODUCT(((D185=D174)*(E185="Y")*(F185&lt;&gt;F174)*(G185="Y")*(D185&lt;&gt;"")* (F185&lt;&gt;""))+((H185=H174)*(I185="Y")*(J185&lt;&gt;J174)*(K185="Y")*(H185&lt;&gt;"")* (J185&lt;&gt;""))+((L185=L174)*(M185="Y")*(N185&lt;&gt;N174)*(O185="Y")*(L185&lt;&gt;"")* (N185&lt;&gt;""))+((P185=P174)*(Q185="Y")*(R185&lt;&gt;R174)*(S185="Y")*(P185&lt;&gt;"")* (R185&lt;&gt;""))),0)</f>
        <v/>
      </c>
      <c r="W185" s="37">
        <f>IFERROR(SUMPRODUCT(((E185="N")*(D185&lt;&gt;"")* (F185&lt;&gt;""))+((I185="N")*(H185&lt;&gt;"")* (J185&lt;&gt;""))+((M185="N")*(L185&lt;&gt;"")* (N185&lt;&gt;""))+((Q185="N")*(P185&lt;&gt;"")* (R185&lt;&gt;""))),0)</f>
        <v/>
      </c>
      <c r="X185" s="50">
        <f>IFERROR(U185/4,0)</f>
        <v/>
      </c>
    </row>
    <row r="186" ht="18" customHeight="1">
      <c r="B186" s="46">
        <f>'📥 ข้อมูลนักเรียน'!B15</f>
        <v/>
      </c>
      <c r="C186" s="51">
        <f>'📥 ข้อมูลนักเรียน'!C15</f>
        <v/>
      </c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37">
        <f>IFERROR(SUMPRODUCT(((D186=D174)*(E186="Y")*(F186=F174)*(G186="Y")*(D186&lt;&gt;"")* (F186&lt;&gt;""))+((H186=H174)*(I186="Y")*(J186=J174)*(K186="Y")*(H186&lt;&gt;"")* (J186&lt;&gt;""))+((L186=L174)*(M186="Y")*(N186=N174)*(O186="Y")*(L186&lt;&gt;"")* (N186&lt;&gt;""))+((P186=P174)*(Q186="Y")*(R186=R174)*(S186="Y")*(P186&lt;&gt;"")* (R186&lt;&gt;""))),0)</f>
        <v/>
      </c>
      <c r="U186" s="49">
        <f>IFERROR(SUMPRODUCT(((D186&lt;&gt;D174)*(E186="Y")*(F186&lt;&gt;F174)*(G186="Y")*(D186&lt;&gt;"")* (F186&lt;&gt;""))+((H186&lt;&gt;H174)*(I186="Y")*(J186&lt;&gt;J174)*(K186="Y")*(H186&lt;&gt;"")* (J186&lt;&gt;""))+((L186&lt;&gt;L174)*(M186="Y")*(N186&lt;&gt;N174)*(O186="Y")*(L186&lt;&gt;"")* (N186&lt;&gt;""))+((P186&lt;&gt;P174)*(Q186="Y")*(R186&lt;&gt;R174)*(S186="Y")*(P186&lt;&gt;"")* (R186&lt;&gt;""))),0)</f>
        <v/>
      </c>
      <c r="V186" s="37">
        <f>IFERROR(SUMPRODUCT(((D186=D174)*(E186="Y")*(F186&lt;&gt;F174)*(G186="Y")*(D186&lt;&gt;"")* (F186&lt;&gt;""))+((H186=H174)*(I186="Y")*(J186&lt;&gt;J174)*(K186="Y")*(H186&lt;&gt;"")* (J186&lt;&gt;""))+((L186=L174)*(M186="Y")*(N186&lt;&gt;N174)*(O186="Y")*(L186&lt;&gt;"")* (N186&lt;&gt;""))+((P186=P174)*(Q186="Y")*(R186&lt;&gt;R174)*(S186="Y")*(P186&lt;&gt;"")* (R186&lt;&gt;""))),0)</f>
        <v/>
      </c>
      <c r="W186" s="37">
        <f>IFERROR(SUMPRODUCT(((E186="N")*(D186&lt;&gt;"")* (F186&lt;&gt;""))+((I186="N")*(H186&lt;&gt;"")* (J186&lt;&gt;""))+((M186="N")*(L186&lt;&gt;"")* (N186&lt;&gt;""))+((Q186="N")*(P186&lt;&gt;"")* (R186&lt;&gt;""))),0)</f>
        <v/>
      </c>
      <c r="X186" s="50">
        <f>IFERROR(U186/4,0)</f>
        <v/>
      </c>
    </row>
    <row r="187" ht="18" customHeight="1">
      <c r="B187" s="46">
        <f>'📥 ข้อมูลนักเรียน'!B16</f>
        <v/>
      </c>
      <c r="C187" s="47">
        <f>'📥 ข้อมูลนักเรียน'!C16</f>
        <v/>
      </c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37">
        <f>IFERROR(SUMPRODUCT(((D187=D174)*(E187="Y")*(F187=F174)*(G187="Y")*(D187&lt;&gt;"")* (F187&lt;&gt;""))+((H187=H174)*(I187="Y")*(J187=J174)*(K187="Y")*(H187&lt;&gt;"")* (J187&lt;&gt;""))+((L187=L174)*(M187="Y")*(N187=N174)*(O187="Y")*(L187&lt;&gt;"")* (N187&lt;&gt;""))+((P187=P174)*(Q187="Y")*(R187=R174)*(S187="Y")*(P187&lt;&gt;"")* (R187&lt;&gt;""))),0)</f>
        <v/>
      </c>
      <c r="U187" s="49">
        <f>IFERROR(SUMPRODUCT(((D187&lt;&gt;D174)*(E187="Y")*(F187&lt;&gt;F174)*(G187="Y")*(D187&lt;&gt;"")* (F187&lt;&gt;""))+((H187&lt;&gt;H174)*(I187="Y")*(J187&lt;&gt;J174)*(K187="Y")*(H187&lt;&gt;"")* (J187&lt;&gt;""))+((L187&lt;&gt;L174)*(M187="Y")*(N187&lt;&gt;N174)*(O187="Y")*(L187&lt;&gt;"")* (N187&lt;&gt;""))+((P187&lt;&gt;P174)*(Q187="Y")*(R187&lt;&gt;R174)*(S187="Y")*(P187&lt;&gt;"")* (R187&lt;&gt;""))),0)</f>
        <v/>
      </c>
      <c r="V187" s="37">
        <f>IFERROR(SUMPRODUCT(((D187=D174)*(E187="Y")*(F187&lt;&gt;F174)*(G187="Y")*(D187&lt;&gt;"")* (F187&lt;&gt;""))+((H187=H174)*(I187="Y")*(J187&lt;&gt;J174)*(K187="Y")*(H187&lt;&gt;"")* (J187&lt;&gt;""))+((L187=L174)*(M187="Y")*(N187&lt;&gt;N174)*(O187="Y")*(L187&lt;&gt;"")* (N187&lt;&gt;""))+((P187=P174)*(Q187="Y")*(R187&lt;&gt;R174)*(S187="Y")*(P187&lt;&gt;"")* (R187&lt;&gt;""))),0)</f>
        <v/>
      </c>
      <c r="W187" s="37">
        <f>IFERROR(SUMPRODUCT(((E187="N")*(D187&lt;&gt;"")* (F187&lt;&gt;""))+((I187="N")*(H187&lt;&gt;"")* (J187&lt;&gt;""))+((M187="N")*(L187&lt;&gt;"")* (N187&lt;&gt;""))+((Q187="N")*(P187&lt;&gt;"")* (R187&lt;&gt;""))),0)</f>
        <v/>
      </c>
      <c r="X187" s="50">
        <f>IFERROR(U187/4,0)</f>
        <v/>
      </c>
    </row>
    <row r="188" ht="18" customHeight="1">
      <c r="B188" s="46">
        <f>'📥 ข้อมูลนักเรียน'!B17</f>
        <v/>
      </c>
      <c r="C188" s="51">
        <f>'📥 ข้อมูลนักเรียน'!C17</f>
        <v/>
      </c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37">
        <f>IFERROR(SUMPRODUCT(((D188=D174)*(E188="Y")*(F188=F174)*(G188="Y")*(D188&lt;&gt;"")* (F188&lt;&gt;""))+((H188=H174)*(I188="Y")*(J188=J174)*(K188="Y")*(H188&lt;&gt;"")* (J188&lt;&gt;""))+((L188=L174)*(M188="Y")*(N188=N174)*(O188="Y")*(L188&lt;&gt;"")* (N188&lt;&gt;""))+((P188=P174)*(Q188="Y")*(R188=R174)*(S188="Y")*(P188&lt;&gt;"")* (R188&lt;&gt;""))),0)</f>
        <v/>
      </c>
      <c r="U188" s="49">
        <f>IFERROR(SUMPRODUCT(((D188&lt;&gt;D174)*(E188="Y")*(F188&lt;&gt;F174)*(G188="Y")*(D188&lt;&gt;"")* (F188&lt;&gt;""))+((H188&lt;&gt;H174)*(I188="Y")*(J188&lt;&gt;J174)*(K188="Y")*(H188&lt;&gt;"")* (J188&lt;&gt;""))+((L188&lt;&gt;L174)*(M188="Y")*(N188&lt;&gt;N174)*(O188="Y")*(L188&lt;&gt;"")* (N188&lt;&gt;""))+((P188&lt;&gt;P174)*(Q188="Y")*(R188&lt;&gt;R174)*(S188="Y")*(P188&lt;&gt;"")* (R188&lt;&gt;""))),0)</f>
        <v/>
      </c>
      <c r="V188" s="37">
        <f>IFERROR(SUMPRODUCT(((D188=D174)*(E188="Y")*(F188&lt;&gt;F174)*(G188="Y")*(D188&lt;&gt;"")* (F188&lt;&gt;""))+((H188=H174)*(I188="Y")*(J188&lt;&gt;J174)*(K188="Y")*(H188&lt;&gt;"")* (J188&lt;&gt;""))+((L188=L174)*(M188="Y")*(N188&lt;&gt;N174)*(O188="Y")*(L188&lt;&gt;"")* (N188&lt;&gt;""))+((P188=P174)*(Q188="Y")*(R188&lt;&gt;R174)*(S188="Y")*(P188&lt;&gt;"")* (R188&lt;&gt;""))),0)</f>
        <v/>
      </c>
      <c r="W188" s="37">
        <f>IFERROR(SUMPRODUCT(((E188="N")*(D188&lt;&gt;"")* (F188&lt;&gt;""))+((I188="N")*(H188&lt;&gt;"")* (J188&lt;&gt;""))+((M188="N")*(L188&lt;&gt;"")* (N188&lt;&gt;""))+((Q188="N")*(P188&lt;&gt;"")* (R188&lt;&gt;""))),0)</f>
        <v/>
      </c>
      <c r="X188" s="50">
        <f>IFERROR(U188/4,0)</f>
        <v/>
      </c>
    </row>
    <row r="189" ht="18" customHeight="1">
      <c r="B189" s="46">
        <f>'📥 ข้อมูลนักเรียน'!B18</f>
        <v/>
      </c>
      <c r="C189" s="47">
        <f>'📥 ข้อมูลนักเรียน'!C18</f>
        <v/>
      </c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37">
        <f>IFERROR(SUMPRODUCT(((D189=D174)*(E189="Y")*(F189=F174)*(G189="Y")*(D189&lt;&gt;"")*(F189&lt;&gt;""))+((H189=H174)*(I189="Y")*(J189=J174)*(K189="Y")*(H189&lt;&gt;"")*(J189&lt;&gt;""))+((L189=L174)*(M189="Y")*(N189=N174)*(O189="Y")*(L189&lt;&gt;"")*(N189&lt;&gt;""))+((P189=P174)*(Q189="Y")*(R189=R174)*(S189="Y")*(P189&lt;&gt;"")*(R189&lt;&gt;""))),0)</f>
        <v/>
      </c>
      <c r="U189" s="49">
        <f>IFERROR(SUMPRODUCT(((D189&lt;&gt;D174)*(E189="Y")*(F189&lt;&gt;F174)*(G189="Y")*(D189&lt;&gt;"")*(F189&lt;&gt;""))+((H189&lt;&gt;H174)*(I189="Y")*(J189&lt;&gt;J174)*(K189="Y")*(H189&lt;&gt;"")*(J189&lt;&gt;""))+((L189&lt;&gt;L174)*(M189="Y")*(N189&lt;&gt;N174)*(O189="Y")*(L189&lt;&gt;"")*(N189&lt;&gt;""))+((P189&lt;&gt;P174)*(Q189="Y")*(R189&lt;&gt;R174)*(S189="Y")*(P189&lt;&gt;"")*(R189&lt;&gt;""))),0)</f>
        <v/>
      </c>
      <c r="V189" s="37">
        <f>IFERROR(SUMPRODUCT(((D189=D174)*(E189="Y")*(F189&lt;&gt;F174)*(G189="Y")*(D189&lt;&gt;"")*(F189&lt;&gt;""))+((H189=H174)*(I189="Y")*(J189&lt;&gt;J174)*(K189="Y")*(H189&lt;&gt;"")*(J189&lt;&gt;""))+((L189=L174)*(M189="Y")*(N189&lt;&gt;N174)*(O189="Y")*(L189&lt;&gt;"")*(N189&lt;&gt;""))+((P189=P174)*(Q189="Y")*(R189&lt;&gt;R174)*(S189="Y")*(P189&lt;&gt;"")*(R189&lt;&gt;""))),0)</f>
        <v/>
      </c>
      <c r="W189" s="37">
        <f>IFERROR(SUMPRODUCT(((E189="N")*(D189&lt;&gt;"")*(F189&lt;&gt;""))+((I189="N")*(H189&lt;&gt;"")*(J189&lt;&gt;""))+((M189="N")*(L189&lt;&gt;"")*(N189&lt;&gt;""))+((Q189="N")*(P189&lt;&gt;"")*(R189&lt;&gt;""))),0)</f>
        <v/>
      </c>
      <c r="X189" s="50">
        <f>IFERROR(U189/4,0)</f>
        <v/>
      </c>
    </row>
    <row r="190" ht="18" customHeight="1">
      <c r="B190" s="46">
        <f>'📥 ข้อมูลนักเรียน'!B19</f>
        <v/>
      </c>
      <c r="C190" s="51">
        <f>'📥 ข้อมูลนักเรียน'!C19</f>
        <v/>
      </c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37">
        <f>IFERROR(SUMPRODUCT(((D190=D174)*(E190="Y")*(F190=F174)*(G190="Y")*(D190&lt;&gt;"")*(F190&lt;&gt;""))+((H190=H174)*(I190="Y")*(J190=J174)*(K190="Y")*(H190&lt;&gt;"")*(J190&lt;&gt;""))+((L190=L174)*(M190="Y")*(N190=N174)*(O190="Y")*(L190&lt;&gt;"")*(N190&lt;&gt;""))+((P190=P174)*(Q190="Y")*(R190=R174)*(S190="Y")*(P190&lt;&gt;"")*(R190&lt;&gt;""))),0)</f>
        <v/>
      </c>
      <c r="U190" s="49">
        <f>IFERROR(SUMPRODUCT(((D190&lt;&gt;D174)*(E190="Y")*(F190&lt;&gt;F174)*(G190="Y")*(D190&lt;&gt;"")*(F190&lt;&gt;""))+((H190&lt;&gt;H174)*(I190="Y")*(J190&lt;&gt;J174)*(K190="Y")*(H190&lt;&gt;"")*(J190&lt;&gt;""))+((L190&lt;&gt;L174)*(M190="Y")*(N190&lt;&gt;N174)*(O190="Y")*(L190&lt;&gt;"")*(N190&lt;&gt;""))+((P190&lt;&gt;P174)*(Q190="Y")*(R190&lt;&gt;R174)*(S190="Y")*(P190&lt;&gt;"")*(R190&lt;&gt;""))),0)</f>
        <v/>
      </c>
      <c r="V190" s="37">
        <f>IFERROR(SUMPRODUCT(((D190=D174)*(E190="Y")*(F190&lt;&gt;F174)*(G190="Y")*(D190&lt;&gt;"")*(F190&lt;&gt;""))+((H190=H174)*(I190="Y")*(J190&lt;&gt;J174)*(K190="Y")*(H190&lt;&gt;"")*(J190&lt;&gt;""))+((L190=L174)*(M190="Y")*(N190&lt;&gt;N174)*(O190="Y")*(L190&lt;&gt;"")*(N190&lt;&gt;""))+((P190=P174)*(Q190="Y")*(R190&lt;&gt;R174)*(S190="Y")*(P190&lt;&gt;"")*(R190&lt;&gt;""))),0)</f>
        <v/>
      </c>
      <c r="W190" s="37">
        <f>IFERROR(SUMPRODUCT(((E190="N")*(D190&lt;&gt;"")*(F190&lt;&gt;""))+((I190="N")*(H190&lt;&gt;"")*(J190&lt;&gt;""))+((M190="N")*(L190&lt;&gt;"")*(N190&lt;&gt;""))+((Q190="N")*(P190&lt;&gt;"")*(R190&lt;&gt;""))),0)</f>
        <v/>
      </c>
      <c r="X190" s="50">
        <f>IFERROR(U190/4,0)</f>
        <v/>
      </c>
    </row>
    <row r="191" ht="18" customHeight="1">
      <c r="B191" s="46">
        <f>'📥 ข้อมูลนักเรียน'!B20</f>
        <v/>
      </c>
      <c r="C191" s="47">
        <f>'📥 ข้อมูลนักเรียน'!C20</f>
        <v/>
      </c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37">
        <f>IFERROR(SUMPRODUCT(((D191=D174)*(E191="Y")*(F191=F174)*(G191="Y")*(D191&lt;&gt;"")*(F191&lt;&gt;""))+((H191=H174)*(I191="Y")*(J191=J174)*(K191="Y")*(H191&lt;&gt;"")*(J191&lt;&gt;""))+((L191=L174)*(M191="Y")*(N191=N174)*(O191="Y")*(L191&lt;&gt;"")*(N191&lt;&gt;""))+((P191=P174)*(Q191="Y")*(R191=R174)*(S191="Y")*(P191&lt;&gt;"")*(R191&lt;&gt;""))),0)</f>
        <v/>
      </c>
      <c r="U191" s="49">
        <f>IFERROR(SUMPRODUCT(((D191&lt;&gt;D174)*(E191="Y")*(F191&lt;&gt;F174)*(G191="Y")*(D191&lt;&gt;"")*(F191&lt;&gt;""))+((H191&lt;&gt;H174)*(I191="Y")*(J191&lt;&gt;J174)*(K191="Y")*(H191&lt;&gt;"")*(J191&lt;&gt;""))+((L191&lt;&gt;L174)*(M191="Y")*(N191&lt;&gt;N174)*(O191="Y")*(L191&lt;&gt;"")*(N191&lt;&gt;""))+((P191&lt;&gt;P174)*(Q191="Y")*(R191&lt;&gt;R174)*(S191="Y")*(P191&lt;&gt;"")*(R191&lt;&gt;""))),0)</f>
        <v/>
      </c>
      <c r="V191" s="37">
        <f>IFERROR(SUMPRODUCT(((D191=D174)*(E191="Y")*(F191&lt;&gt;F174)*(G191="Y")*(D191&lt;&gt;"")*(F191&lt;&gt;""))+((H191=H174)*(I191="Y")*(J191&lt;&gt;J174)*(K191="Y")*(H191&lt;&gt;"")*(J191&lt;&gt;""))+((L191=L174)*(M191="Y")*(N191&lt;&gt;N174)*(O191="Y")*(L191&lt;&gt;"")*(N191&lt;&gt;""))+((P191=P174)*(Q191="Y")*(R191&lt;&gt;R174)*(S191="Y")*(P191&lt;&gt;"")*(R191&lt;&gt;""))),0)</f>
        <v/>
      </c>
      <c r="W191" s="37">
        <f>IFERROR(SUMPRODUCT(((E191="N")*(D191&lt;&gt;"")*(F191&lt;&gt;""))+((I191="N")*(H191&lt;&gt;"")*(J191&lt;&gt;""))+((M191="N")*(L191&lt;&gt;"")*(N191&lt;&gt;""))+((Q191="N")*(P191&lt;&gt;"")*(R191&lt;&gt;""))),0)</f>
        <v/>
      </c>
      <c r="X191" s="50">
        <f>IFERROR(U191/4,0)</f>
        <v/>
      </c>
    </row>
    <row r="192" ht="18" customHeight="1">
      <c r="B192" s="46">
        <f>'📥 ข้อมูลนักเรียน'!B21</f>
        <v/>
      </c>
      <c r="C192" s="51">
        <f>'📥 ข้อมูลนักเรียน'!C21</f>
        <v/>
      </c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37">
        <f>IFERROR(SUMPRODUCT(((D192=D174)*(E192="Y")*(F192=F174)*(G192="Y")*(D192&lt;&gt;"")*(F192&lt;&gt;""))+((H192=H174)*(I192="Y")*(J192=J174)*(K192="Y")*(H192&lt;&gt;"")*(J192&lt;&gt;""))+((L192=L174)*(M192="Y")*(N192=N174)*(O192="Y")*(L192&lt;&gt;"")*(N192&lt;&gt;""))+((P192=P174)*(Q192="Y")*(R192=R174)*(S192="Y")*(P192&lt;&gt;"")*(R192&lt;&gt;""))),0)</f>
        <v/>
      </c>
      <c r="U192" s="49">
        <f>IFERROR(SUMPRODUCT(((D192&lt;&gt;D174)*(E192="Y")*(F192&lt;&gt;F174)*(G192="Y")*(D192&lt;&gt;"")*(F192&lt;&gt;""))+((H192&lt;&gt;H174)*(I192="Y")*(J192&lt;&gt;J174)*(K192="Y")*(H192&lt;&gt;"")*(J192&lt;&gt;""))+((L192&lt;&gt;L174)*(M192="Y")*(N192&lt;&gt;N174)*(O192="Y")*(L192&lt;&gt;"")*(N192&lt;&gt;""))+((P192&lt;&gt;P174)*(Q192="Y")*(R192&lt;&gt;R174)*(S192="Y")*(P192&lt;&gt;"")*(R192&lt;&gt;""))),0)</f>
        <v/>
      </c>
      <c r="V192" s="37">
        <f>IFERROR(SUMPRODUCT(((D192=D174)*(E192="Y")*(F192&lt;&gt;F174)*(G192="Y")*(D192&lt;&gt;"")*(F192&lt;&gt;""))+((H192=H174)*(I192="Y")*(J192&lt;&gt;J174)*(K192="Y")*(H192&lt;&gt;"")*(J192&lt;&gt;""))+((L192=L174)*(M192="Y")*(N192&lt;&gt;N174)*(O192="Y")*(L192&lt;&gt;"")*(N192&lt;&gt;""))+((P192=P174)*(Q192="Y")*(R192&lt;&gt;R174)*(S192="Y")*(P192&lt;&gt;"")*(R192&lt;&gt;""))),0)</f>
        <v/>
      </c>
      <c r="W192" s="37">
        <f>IFERROR(SUMPRODUCT(((E192="N")*(D192&lt;&gt;"")*(F192&lt;&gt;""))+((I192="N")*(H192&lt;&gt;"")*(J192&lt;&gt;""))+((M192="N")*(L192&lt;&gt;"")*(N192&lt;&gt;""))+((Q192="N")*(P192&lt;&gt;"")*(R192&lt;&gt;""))),0)</f>
        <v/>
      </c>
      <c r="X192" s="50">
        <f>IFERROR(U192/4,0)</f>
        <v/>
      </c>
    </row>
    <row r="193" ht="18" customHeight="1">
      <c r="B193" s="46">
        <f>'📥 ข้อมูลนักเรียน'!B22</f>
        <v/>
      </c>
      <c r="C193" s="47">
        <f>'📥 ข้อมูลนักเรียน'!C22</f>
        <v/>
      </c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37">
        <f>IFERROR(SUMPRODUCT(((D193=D174)*(E193="Y")*(F193=F174)*(G193="Y")*(D193&lt;&gt;"")*(F193&lt;&gt;""))+((H193=H174)*(I193="Y")*(J193=J174)*(K193="Y")*(H193&lt;&gt;"")*(J193&lt;&gt;""))+((L193=L174)*(M193="Y")*(N193=N174)*(O193="Y")*(L193&lt;&gt;"")*(N193&lt;&gt;""))+((P193=P174)*(Q193="Y")*(R193=R174)*(S193="Y")*(P193&lt;&gt;"")*(R193&lt;&gt;""))),0)</f>
        <v/>
      </c>
      <c r="U193" s="49">
        <f>IFERROR(SUMPRODUCT(((D193&lt;&gt;D174)*(E193="Y")*(F193&lt;&gt;F174)*(G193="Y")*(D193&lt;&gt;"")*(F193&lt;&gt;""))+((H193&lt;&gt;H174)*(I193="Y")*(J193&lt;&gt;J174)*(K193="Y")*(H193&lt;&gt;"")*(J193&lt;&gt;""))+((L193&lt;&gt;L174)*(M193="Y")*(N193&lt;&gt;N174)*(O193="Y")*(L193&lt;&gt;"")*(N193&lt;&gt;""))+((P193&lt;&gt;P174)*(Q193="Y")*(R193&lt;&gt;R174)*(S193="Y")*(P193&lt;&gt;"")*(R193&lt;&gt;""))),0)</f>
        <v/>
      </c>
      <c r="V193" s="37">
        <f>IFERROR(SUMPRODUCT(((D193=D174)*(E193="Y")*(F193&lt;&gt;F174)*(G193="Y")*(D193&lt;&gt;"")*(F193&lt;&gt;""))+((H193=H174)*(I193="Y")*(J193&lt;&gt;J174)*(K193="Y")*(H193&lt;&gt;"")*(J193&lt;&gt;""))+((L193=L174)*(M193="Y")*(N193&lt;&gt;N174)*(O193="Y")*(L193&lt;&gt;"")*(N193&lt;&gt;""))+((P193=P174)*(Q193="Y")*(R193&lt;&gt;R174)*(S193="Y")*(P193&lt;&gt;"")*(R193&lt;&gt;""))),0)</f>
        <v/>
      </c>
      <c r="W193" s="37">
        <f>IFERROR(SUMPRODUCT(((E193="N")*(D193&lt;&gt;"")*(F193&lt;&gt;""))+((I193="N")*(H193&lt;&gt;"")*(J193&lt;&gt;""))+((M193="N")*(L193&lt;&gt;"")*(N193&lt;&gt;""))+((Q193="N")*(P193&lt;&gt;"")*(R193&lt;&gt;""))),0)</f>
        <v/>
      </c>
      <c r="X193" s="50">
        <f>IFERROR(U193/4,0)</f>
        <v/>
      </c>
    </row>
    <row r="194" ht="18" customHeight="1">
      <c r="B194" s="46">
        <f>'📥 ข้อมูลนักเรียน'!B23</f>
        <v/>
      </c>
      <c r="C194" s="51">
        <f>'📥 ข้อมูลนักเรียน'!C23</f>
        <v/>
      </c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37">
        <f>IFERROR(SUMPRODUCT(((D194=D174)*(E194="Y")*(F194=F174)*(G194="Y")*(D194&lt;&gt;"")*(F194&lt;&gt;""))+((H194=H174)*(I194="Y")*(J194=J174)*(K194="Y")*(H194&lt;&gt;"")*(J194&lt;&gt;""))+((L194=L174)*(M194="Y")*(N194=N174)*(O194="Y")*(L194&lt;&gt;"")*(N194&lt;&gt;""))+((P194=P174)*(Q194="Y")*(R194=R174)*(S194="Y")*(P194&lt;&gt;"")*(R194&lt;&gt;""))),0)</f>
        <v/>
      </c>
      <c r="U194" s="49">
        <f>IFERROR(SUMPRODUCT(((D194&lt;&gt;D174)*(E194="Y")*(F194&lt;&gt;F174)*(G194="Y")*(D194&lt;&gt;"")*(F194&lt;&gt;""))+((H194&lt;&gt;H174)*(I194="Y")*(J194&lt;&gt;J174)*(K194="Y")*(H194&lt;&gt;"")*(J194&lt;&gt;""))+((L194&lt;&gt;L174)*(M194="Y")*(N194&lt;&gt;N174)*(O194="Y")*(L194&lt;&gt;"")*(N194&lt;&gt;""))+((P194&lt;&gt;P174)*(Q194="Y")*(R194&lt;&gt;R174)*(S194="Y")*(P194&lt;&gt;"")*(R194&lt;&gt;""))),0)</f>
        <v/>
      </c>
      <c r="V194" s="37">
        <f>IFERROR(SUMPRODUCT(((D194=D174)*(E194="Y")*(F194&lt;&gt;F174)*(G194="Y")*(D194&lt;&gt;"")*(F194&lt;&gt;""))+((H194=H174)*(I194="Y")*(J194&lt;&gt;J174)*(K194="Y")*(H194&lt;&gt;"")*(J194&lt;&gt;""))+((L194=L174)*(M194="Y")*(N194&lt;&gt;N174)*(O194="Y")*(L194&lt;&gt;"")*(N194&lt;&gt;""))+((P194=P174)*(Q194="Y")*(R194&lt;&gt;R174)*(S194="Y")*(P194&lt;&gt;"")*(R194&lt;&gt;""))),0)</f>
        <v/>
      </c>
      <c r="W194" s="37">
        <f>IFERROR(SUMPRODUCT(((E194="N")*(D194&lt;&gt;"")*(F194&lt;&gt;""))+((I194="N")*(H194&lt;&gt;"")*(J194&lt;&gt;""))+((M194="N")*(L194&lt;&gt;"")*(N194&lt;&gt;""))+((Q194="N")*(P194&lt;&gt;"")*(R194&lt;&gt;""))),0)</f>
        <v/>
      </c>
      <c r="X194" s="50">
        <f>IFERROR(U194/4,0)</f>
        <v/>
      </c>
    </row>
    <row r="195" ht="18" customHeight="1">
      <c r="B195" s="46">
        <f>'📥 ข้อมูลนักเรียน'!B24</f>
        <v/>
      </c>
      <c r="C195" s="47">
        <f>'📥 ข้อมูลนักเรียน'!C24</f>
        <v/>
      </c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37">
        <f>IFERROR(SUMPRODUCT(((D195=D174)*(E195="Y")*(F195=F174)*(G195="Y")*(D195&lt;&gt;"")*(F195&lt;&gt;""))+((H195=H174)*(I195="Y")*(J195=J174)*(K195="Y")*(H195&lt;&gt;"")*(J195&lt;&gt;""))+((L195=L174)*(M195="Y")*(N195=N174)*(O195="Y")*(L195&lt;&gt;"")*(N195&lt;&gt;""))+((P195=P174)*(Q195="Y")*(R195=R174)*(S195="Y")*(P195&lt;&gt;"")*(R195&lt;&gt;""))),0)</f>
        <v/>
      </c>
      <c r="U195" s="49">
        <f>IFERROR(SUMPRODUCT(((D195&lt;&gt;D174)*(E195="Y")*(F195&lt;&gt;F174)*(G195="Y")*(D195&lt;&gt;"")*(F195&lt;&gt;""))+((H195&lt;&gt;H174)*(I195="Y")*(J195&lt;&gt;J174)*(K195="Y")*(H195&lt;&gt;"")*(J195&lt;&gt;""))+((L195&lt;&gt;L174)*(M195="Y")*(N195&lt;&gt;N174)*(O195="Y")*(L195&lt;&gt;"")*(N195&lt;&gt;""))+((P195&lt;&gt;P174)*(Q195="Y")*(R195&lt;&gt;R174)*(S195="Y")*(P195&lt;&gt;"")*(R195&lt;&gt;""))),0)</f>
        <v/>
      </c>
      <c r="V195" s="37">
        <f>IFERROR(SUMPRODUCT(((D195=D174)*(E195="Y")*(F195&lt;&gt;F174)*(G195="Y")*(D195&lt;&gt;"")*(F195&lt;&gt;""))+((H195=H174)*(I195="Y")*(J195&lt;&gt;J174)*(K195="Y")*(H195&lt;&gt;"")*(J195&lt;&gt;""))+((L195=L174)*(M195="Y")*(N195&lt;&gt;N174)*(O195="Y")*(L195&lt;&gt;"")*(N195&lt;&gt;""))+((P195=P174)*(Q195="Y")*(R195&lt;&gt;R174)*(S195="Y")*(P195&lt;&gt;"")*(R195&lt;&gt;""))),0)</f>
        <v/>
      </c>
      <c r="W195" s="37">
        <f>IFERROR(SUMPRODUCT(((E195="N")*(D195&lt;&gt;"")*(F195&lt;&gt;""))+((I195="N")*(H195&lt;&gt;"")*(J195&lt;&gt;""))+((M195="N")*(L195&lt;&gt;"")*(N195&lt;&gt;""))+((Q195="N")*(P195&lt;&gt;"")*(R195&lt;&gt;""))),0)</f>
        <v/>
      </c>
      <c r="X195" s="50">
        <f>IFERROR(U195/4,0)</f>
        <v/>
      </c>
    </row>
    <row r="196" ht="18" customHeight="1">
      <c r="B196" s="46">
        <f>'📥 ข้อมูลนักเรียน'!B25</f>
        <v/>
      </c>
      <c r="C196" s="51">
        <f>'📥 ข้อมูลนักเรียน'!C25</f>
        <v/>
      </c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37">
        <f>IFERROR(SUMPRODUCT(((D196=D174)*(E196="Y")*(F196=F174)*(G196="Y")*(D196&lt;&gt;"")*(F196&lt;&gt;""))+((H196=H174)*(I196="Y")*(J196=J174)*(K196="Y")*(H196&lt;&gt;"")*(J196&lt;&gt;""))+((L196=L174)*(M196="Y")*(N196=N174)*(O196="Y")*(L196&lt;&gt;"")*(N196&lt;&gt;""))+((P196=P174)*(Q196="Y")*(R196=R174)*(S196="Y")*(P196&lt;&gt;"")*(R196&lt;&gt;""))),0)</f>
        <v/>
      </c>
      <c r="U196" s="49">
        <f>IFERROR(SUMPRODUCT(((D196&lt;&gt;D174)*(E196="Y")*(F196&lt;&gt;F174)*(G196="Y")*(D196&lt;&gt;"")*(F196&lt;&gt;""))+((H196&lt;&gt;H174)*(I196="Y")*(J196&lt;&gt;J174)*(K196="Y")*(H196&lt;&gt;"")*(J196&lt;&gt;""))+((L196&lt;&gt;L174)*(M196="Y")*(N196&lt;&gt;N174)*(O196="Y")*(L196&lt;&gt;"")*(N196&lt;&gt;""))+((P196&lt;&gt;P174)*(Q196="Y")*(R196&lt;&gt;R174)*(S196="Y")*(P196&lt;&gt;"")*(R196&lt;&gt;""))),0)</f>
        <v/>
      </c>
      <c r="V196" s="37">
        <f>IFERROR(SUMPRODUCT(((D196=D174)*(E196="Y")*(F196&lt;&gt;F174)*(G196="Y")*(D196&lt;&gt;"")*(F196&lt;&gt;""))+((H196=H174)*(I196="Y")*(J196&lt;&gt;J174)*(K196="Y")*(H196&lt;&gt;"")*(J196&lt;&gt;""))+((L196=L174)*(M196="Y")*(N196&lt;&gt;N174)*(O196="Y")*(L196&lt;&gt;"")*(N196&lt;&gt;""))+((P196=P174)*(Q196="Y")*(R196&lt;&gt;R174)*(S196="Y")*(P196&lt;&gt;"")*(R196&lt;&gt;""))),0)</f>
        <v/>
      </c>
      <c r="W196" s="37">
        <f>IFERROR(SUMPRODUCT(((E196="N")*(D196&lt;&gt;"")*(F196&lt;&gt;""))+((I196="N")*(H196&lt;&gt;"")*(J196&lt;&gt;""))+((M196="N")*(L196&lt;&gt;"")*(N196&lt;&gt;""))+((Q196="N")*(P196&lt;&gt;"")*(R196&lt;&gt;""))),0)</f>
        <v/>
      </c>
      <c r="X196" s="50">
        <f>IFERROR(U196/4,0)</f>
        <v/>
      </c>
    </row>
    <row r="197" ht="18" customHeight="1">
      <c r="B197" s="46">
        <f>'📥 ข้อมูลนักเรียน'!B26</f>
        <v/>
      </c>
      <c r="C197" s="47">
        <f>'📥 ข้อมูลนักเรียน'!C26</f>
        <v/>
      </c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37">
        <f>IFERROR(SUMPRODUCT(((D197=D174)*(E197="Y")*(F197=F174)*(G197="Y")*(D197&lt;&gt;"")*(F197&lt;&gt;""))+((H197=H174)*(I197="Y")*(J197=J174)*(K197="Y")*(H197&lt;&gt;"")*(J197&lt;&gt;""))+((L197=L174)*(M197="Y")*(N197=N174)*(O197="Y")*(L197&lt;&gt;"")*(N197&lt;&gt;""))+((P197=P174)*(Q197="Y")*(R197=R174)*(S197="Y")*(P197&lt;&gt;"")*(R197&lt;&gt;""))),0)</f>
        <v/>
      </c>
      <c r="U197" s="49">
        <f>IFERROR(SUMPRODUCT(((D197&lt;&gt;D174)*(E197="Y")*(F197&lt;&gt;F174)*(G197="Y")*(D197&lt;&gt;"")*(F197&lt;&gt;""))+((H197&lt;&gt;H174)*(I197="Y")*(J197&lt;&gt;J174)*(K197="Y")*(H197&lt;&gt;"")*(J197&lt;&gt;""))+((L197&lt;&gt;L174)*(M197="Y")*(N197&lt;&gt;N174)*(O197="Y")*(L197&lt;&gt;"")*(N197&lt;&gt;""))+((P197&lt;&gt;P174)*(Q197="Y")*(R197&lt;&gt;R174)*(S197="Y")*(P197&lt;&gt;"")*(R197&lt;&gt;""))),0)</f>
        <v/>
      </c>
      <c r="V197" s="37">
        <f>IFERROR(SUMPRODUCT(((D197=D174)*(E197="Y")*(F197&lt;&gt;F174)*(G197="Y")*(D197&lt;&gt;"")*(F197&lt;&gt;""))+((H197=H174)*(I197="Y")*(J197&lt;&gt;J174)*(K197="Y")*(H197&lt;&gt;"")*(J197&lt;&gt;""))+((L197=L174)*(M197="Y")*(N197&lt;&gt;N174)*(O197="Y")*(L197&lt;&gt;"")*(N197&lt;&gt;""))+((P197=P174)*(Q197="Y")*(R197&lt;&gt;R174)*(S197="Y")*(P197&lt;&gt;"")*(R197&lt;&gt;""))),0)</f>
        <v/>
      </c>
      <c r="W197" s="37">
        <f>IFERROR(SUMPRODUCT(((E197="N")*(D197&lt;&gt;"")*(F197&lt;&gt;""))+((I197="N")*(H197&lt;&gt;"")*(J197&lt;&gt;""))+((M197="N")*(L197&lt;&gt;"")*(N197&lt;&gt;""))+((Q197="N")*(P197&lt;&gt;"")*(R197&lt;&gt;""))),0)</f>
        <v/>
      </c>
      <c r="X197" s="50">
        <f>IFERROR(U197/4,0)</f>
        <v/>
      </c>
    </row>
    <row r="198" ht="18" customHeight="1">
      <c r="B198" s="46">
        <f>'📥 ข้อมูลนักเรียน'!B27</f>
        <v/>
      </c>
      <c r="C198" s="51">
        <f>'📥 ข้อมูลนักเรียน'!C27</f>
        <v/>
      </c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37">
        <f>IFERROR(SUMPRODUCT(((D198=D174)*(E198="Y")*(F198=F174)*(G198="Y")*(D198&lt;&gt;"")*(F198&lt;&gt;""))+((H198=H174)*(I198="Y")*(J198=J174)*(K198="Y")*(H198&lt;&gt;"")*(J198&lt;&gt;""))+((L198=L174)*(M198="Y")*(N198=N174)*(O198="Y")*(L198&lt;&gt;"")*(N198&lt;&gt;""))+((P198=P174)*(Q198="Y")*(R198=R174)*(S198="Y")*(P198&lt;&gt;"")*(R198&lt;&gt;""))),0)</f>
        <v/>
      </c>
      <c r="U198" s="49">
        <f>IFERROR(SUMPRODUCT(((D198&lt;&gt;D174)*(E198="Y")*(F198&lt;&gt;F174)*(G198="Y")*(D198&lt;&gt;"")*(F198&lt;&gt;""))+((H198&lt;&gt;H174)*(I198="Y")*(J198&lt;&gt;J174)*(K198="Y")*(H198&lt;&gt;"")*(J198&lt;&gt;""))+((L198&lt;&gt;L174)*(M198="Y")*(N198&lt;&gt;N174)*(O198="Y")*(L198&lt;&gt;"")*(N198&lt;&gt;""))+((P198&lt;&gt;P174)*(Q198="Y")*(R198&lt;&gt;R174)*(S198="Y")*(P198&lt;&gt;"")*(R198&lt;&gt;""))),0)</f>
        <v/>
      </c>
      <c r="V198" s="37">
        <f>IFERROR(SUMPRODUCT(((D198=D174)*(E198="Y")*(F198&lt;&gt;F174)*(G198="Y")*(D198&lt;&gt;"")*(F198&lt;&gt;""))+((H198=H174)*(I198="Y")*(J198&lt;&gt;J174)*(K198="Y")*(H198&lt;&gt;"")*(J198&lt;&gt;""))+((L198=L174)*(M198="Y")*(N198&lt;&gt;N174)*(O198="Y")*(L198&lt;&gt;"")*(N198&lt;&gt;""))+((P198=P174)*(Q198="Y")*(R198&lt;&gt;R174)*(S198="Y")*(P198&lt;&gt;"")*(R198&lt;&gt;""))),0)</f>
        <v/>
      </c>
      <c r="W198" s="37">
        <f>IFERROR(SUMPRODUCT(((E198="N")*(D198&lt;&gt;"")*(F198&lt;&gt;""))+((I198="N")*(H198&lt;&gt;"")*(J198&lt;&gt;""))+((M198="N")*(L198&lt;&gt;"")*(N198&lt;&gt;""))+((Q198="N")*(P198&lt;&gt;"")*(R198&lt;&gt;""))),0)</f>
        <v/>
      </c>
      <c r="X198" s="50">
        <f>IFERROR(U198/4,0)</f>
        <v/>
      </c>
    </row>
    <row r="199" ht="18" customHeight="1">
      <c r="B199" s="46">
        <f>'📥 ข้อมูลนักเรียน'!B28</f>
        <v/>
      </c>
      <c r="C199" s="47">
        <f>'📥 ข้อมูลนักเรียน'!C28</f>
        <v/>
      </c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37">
        <f>IFERROR(SUMPRODUCT(((D199=D174)*(E199="Y")*(F199=F174)*(G199="Y")*(D199&lt;&gt;"")*(F199&lt;&gt;""))+((H199=H174)*(I199="Y")*(J199=J174)*(K199="Y")*(H199&lt;&gt;"")*(J199&lt;&gt;""))+((L199=L174)*(M199="Y")*(N199=N174)*(O199="Y")*(L199&lt;&gt;"")*(N199&lt;&gt;""))+((P199=P174)*(Q199="Y")*(R199=R174)*(S199="Y")*(P199&lt;&gt;"")*(R199&lt;&gt;""))),0)</f>
        <v/>
      </c>
      <c r="U199" s="49">
        <f>IFERROR(SUMPRODUCT(((D199&lt;&gt;D174)*(E199="Y")*(F199&lt;&gt;F174)*(G199="Y")*(D199&lt;&gt;"")*(F199&lt;&gt;""))+((H199&lt;&gt;H174)*(I199="Y")*(J199&lt;&gt;J174)*(K199="Y")*(H199&lt;&gt;"")*(J199&lt;&gt;""))+((L199&lt;&gt;L174)*(M199="Y")*(N199&lt;&gt;N174)*(O199="Y")*(L199&lt;&gt;"")*(N199&lt;&gt;""))+((P199&lt;&gt;P174)*(Q199="Y")*(R199&lt;&gt;R174)*(S199="Y")*(P199&lt;&gt;"")*(R199&lt;&gt;""))),0)</f>
        <v/>
      </c>
      <c r="V199" s="37">
        <f>IFERROR(SUMPRODUCT(((D199=D174)*(E199="Y")*(F199&lt;&gt;F174)*(G199="Y")*(D199&lt;&gt;"")*(F199&lt;&gt;""))+((H199=H174)*(I199="Y")*(J199&lt;&gt;J174)*(K199="Y")*(H199&lt;&gt;"")*(J199&lt;&gt;""))+((L199=L174)*(M199="Y")*(N199&lt;&gt;N174)*(O199="Y")*(L199&lt;&gt;"")*(N199&lt;&gt;""))+((P199=P174)*(Q199="Y")*(R199&lt;&gt;R174)*(S199="Y")*(P199&lt;&gt;"")*(R199&lt;&gt;""))),0)</f>
        <v/>
      </c>
      <c r="W199" s="37">
        <f>IFERROR(SUMPRODUCT(((E199="N")*(D199&lt;&gt;"")*(F199&lt;&gt;""))+((I199="N")*(H199&lt;&gt;"")*(J199&lt;&gt;""))+((M199="N")*(L199&lt;&gt;"")*(N199&lt;&gt;""))+((Q199="N")*(P199&lt;&gt;"")*(R199&lt;&gt;""))),0)</f>
        <v/>
      </c>
      <c r="X199" s="50">
        <f>IFERROR(U199/4,0)</f>
        <v/>
      </c>
    </row>
    <row r="200" ht="18" customHeight="1">
      <c r="B200" s="46">
        <f>'📥 ข้อมูลนักเรียน'!B29</f>
        <v/>
      </c>
      <c r="C200" s="51">
        <f>'📥 ข้อมูลนักเรียน'!C29</f>
        <v/>
      </c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37">
        <f>IFERROR(SUMPRODUCT(((D200=D174)*(E200="Y")*(F200=F174)*(G200="Y")*(D200&lt;&gt;"")*(F200&lt;&gt;""))+((H200=H174)*(I200="Y")*(J200=J174)*(K200="Y")*(H200&lt;&gt;"")*(J200&lt;&gt;""))+((L200=L174)*(M200="Y")*(N200=N174)*(O200="Y")*(L200&lt;&gt;"")*(N200&lt;&gt;""))+((P200=P174)*(Q200="Y")*(R200=R174)*(S200="Y")*(P200&lt;&gt;"")*(R200&lt;&gt;""))),0)</f>
        <v/>
      </c>
      <c r="U200" s="49">
        <f>IFERROR(SUMPRODUCT(((D200&lt;&gt;D174)*(E200="Y")*(F200&lt;&gt;F174)*(G200="Y")*(D200&lt;&gt;"")*(F200&lt;&gt;""))+((H200&lt;&gt;H174)*(I200="Y")*(J200&lt;&gt;J174)*(K200="Y")*(H200&lt;&gt;"")*(J200&lt;&gt;""))+((L200&lt;&gt;L174)*(M200="Y")*(N200&lt;&gt;N174)*(O200="Y")*(L200&lt;&gt;"")*(N200&lt;&gt;""))+((P200&lt;&gt;P174)*(Q200="Y")*(R200&lt;&gt;R174)*(S200="Y")*(P200&lt;&gt;"")*(R200&lt;&gt;""))),0)</f>
        <v/>
      </c>
      <c r="V200" s="37">
        <f>IFERROR(SUMPRODUCT(((D200=D174)*(E200="Y")*(F200&lt;&gt;F174)*(G200="Y")*(D200&lt;&gt;"")*(F200&lt;&gt;""))+((H200=H174)*(I200="Y")*(J200&lt;&gt;J174)*(K200="Y")*(H200&lt;&gt;"")*(J200&lt;&gt;""))+((L200=L174)*(M200="Y")*(N200&lt;&gt;N174)*(O200="Y")*(L200&lt;&gt;"")*(N200&lt;&gt;""))+((P200=P174)*(Q200="Y")*(R200&lt;&gt;R174)*(S200="Y")*(P200&lt;&gt;"")*(R200&lt;&gt;""))),0)</f>
        <v/>
      </c>
      <c r="W200" s="37">
        <f>IFERROR(SUMPRODUCT(((E200="N")*(D200&lt;&gt;"")*(F200&lt;&gt;""))+((I200="N")*(H200&lt;&gt;"")*(J200&lt;&gt;""))+((M200="N")*(L200&lt;&gt;"")*(N200&lt;&gt;""))+((Q200="N")*(P200&lt;&gt;"")*(R200&lt;&gt;""))),0)</f>
        <v/>
      </c>
      <c r="X200" s="50">
        <f>IFERROR(U200/4,0)</f>
        <v/>
      </c>
    </row>
    <row r="201" ht="18" customHeight="1">
      <c r="B201" s="46">
        <f>'📥 ข้อมูลนักเรียน'!B30</f>
        <v/>
      </c>
      <c r="C201" s="47">
        <f>'📥 ข้อมูลนักเรียน'!C30</f>
        <v/>
      </c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37">
        <f>IFERROR(SUMPRODUCT(((D201=D174)*(E201="Y")*(F201=F174)*(G201="Y")*(D201&lt;&gt;"")*(F201&lt;&gt;""))+((H201=H174)*(I201="Y")*(J201=J174)*(K201="Y")*(H201&lt;&gt;"")*(J201&lt;&gt;""))+((L201=L174)*(M201="Y")*(N201=N174)*(O201="Y")*(L201&lt;&gt;"")*(N201&lt;&gt;""))+((P201=P174)*(Q201="Y")*(R201=R174)*(S201="Y")*(P201&lt;&gt;"")*(R201&lt;&gt;""))),0)</f>
        <v/>
      </c>
      <c r="U201" s="49">
        <f>IFERROR(SUMPRODUCT(((D201&lt;&gt;D174)*(E201="Y")*(F201&lt;&gt;F174)*(G201="Y")*(D201&lt;&gt;"")*(F201&lt;&gt;""))+((H201&lt;&gt;H174)*(I201="Y")*(J201&lt;&gt;J174)*(K201="Y")*(H201&lt;&gt;"")*(J201&lt;&gt;""))+((L201&lt;&gt;L174)*(M201="Y")*(N201&lt;&gt;N174)*(O201="Y")*(L201&lt;&gt;"")*(N201&lt;&gt;""))+((P201&lt;&gt;P174)*(Q201="Y")*(R201&lt;&gt;R174)*(S201="Y")*(P201&lt;&gt;"")*(R201&lt;&gt;""))),0)</f>
        <v/>
      </c>
      <c r="V201" s="37">
        <f>IFERROR(SUMPRODUCT(((D201=D174)*(E201="Y")*(F201&lt;&gt;F174)*(G201="Y")*(D201&lt;&gt;"")*(F201&lt;&gt;""))+((H201=H174)*(I201="Y")*(J201&lt;&gt;J174)*(K201="Y")*(H201&lt;&gt;"")*(J201&lt;&gt;""))+((L201=L174)*(M201="Y")*(N201&lt;&gt;N174)*(O201="Y")*(L201&lt;&gt;"")*(N201&lt;&gt;""))+((P201=P174)*(Q201="Y")*(R201&lt;&gt;R174)*(S201="Y")*(P201&lt;&gt;"")*(R201&lt;&gt;""))),0)</f>
        <v/>
      </c>
      <c r="W201" s="37">
        <f>IFERROR(SUMPRODUCT(((E201="N")*(D201&lt;&gt;"")*(F201&lt;&gt;""))+((I201="N")*(H201&lt;&gt;"")*(J201&lt;&gt;""))+((M201="N")*(L201&lt;&gt;"")*(N201&lt;&gt;""))+((Q201="N")*(P201&lt;&gt;"")*(R201&lt;&gt;""))),0)</f>
        <v/>
      </c>
      <c r="X201" s="50">
        <f>IFERROR(U201/4,0)</f>
        <v/>
      </c>
    </row>
    <row r="202" ht="18" customHeight="1">
      <c r="B202" s="46">
        <f>'📥 ข้อมูลนักเรียน'!B31</f>
        <v/>
      </c>
      <c r="C202" s="51">
        <f>'📥 ข้อมูลนักเรียน'!C31</f>
        <v/>
      </c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37">
        <f>IFERROR(SUMPRODUCT(((D202=D174)*(E202="Y")*(F202=F174)*(G202="Y")*(D202&lt;&gt;"")*(F202&lt;&gt;""))+((H202=H174)*(I202="Y")*(J202=J174)*(K202="Y")*(H202&lt;&gt;"")*(J202&lt;&gt;""))+((L202=L174)*(M202="Y")*(N202=N174)*(O202="Y")*(L202&lt;&gt;"")*(N202&lt;&gt;""))+((P202=P174)*(Q202="Y")*(R202=R174)*(S202="Y")*(P202&lt;&gt;"")*(R202&lt;&gt;""))),0)</f>
        <v/>
      </c>
      <c r="U202" s="49">
        <f>IFERROR(SUMPRODUCT(((D202&lt;&gt;D174)*(E202="Y")*(F202&lt;&gt;F174)*(G202="Y")*(D202&lt;&gt;"")*(F202&lt;&gt;""))+((H202&lt;&gt;H174)*(I202="Y")*(J202&lt;&gt;J174)*(K202="Y")*(H202&lt;&gt;"")*(J202&lt;&gt;""))+((L202&lt;&gt;L174)*(M202="Y")*(N202&lt;&gt;N174)*(O202="Y")*(L202&lt;&gt;"")*(N202&lt;&gt;""))+((P202&lt;&gt;P174)*(Q202="Y")*(R202&lt;&gt;R174)*(S202="Y")*(P202&lt;&gt;"")*(R202&lt;&gt;""))),0)</f>
        <v/>
      </c>
      <c r="V202" s="37">
        <f>IFERROR(SUMPRODUCT(((D202=D174)*(E202="Y")*(F202&lt;&gt;F174)*(G202="Y")*(D202&lt;&gt;"")*(F202&lt;&gt;""))+((H202=H174)*(I202="Y")*(J202&lt;&gt;J174)*(K202="Y")*(H202&lt;&gt;"")*(J202&lt;&gt;""))+((L202=L174)*(M202="Y")*(N202&lt;&gt;N174)*(O202="Y")*(L202&lt;&gt;"")*(N202&lt;&gt;""))+((P202=P174)*(Q202="Y")*(R202&lt;&gt;R174)*(S202="Y")*(P202&lt;&gt;"")*(R202&lt;&gt;""))),0)</f>
        <v/>
      </c>
      <c r="W202" s="37">
        <f>IFERROR(SUMPRODUCT(((E202="N")*(D202&lt;&gt;"")*(F202&lt;&gt;""))+((I202="N")*(H202&lt;&gt;"")*(J202&lt;&gt;""))+((M202="N")*(L202&lt;&gt;"")*(N202&lt;&gt;""))+((Q202="N")*(P202&lt;&gt;"")*(R202&lt;&gt;""))),0)</f>
        <v/>
      </c>
      <c r="X202" s="50">
        <f>IFERROR(U202/4,0)</f>
        <v/>
      </c>
    </row>
    <row r="203" ht="18" customHeight="1">
      <c r="B203" s="46">
        <f>'📥 ข้อมูลนักเรียน'!B32</f>
        <v/>
      </c>
      <c r="C203" s="47">
        <f>'📥 ข้อมูลนักเรียน'!C32</f>
        <v/>
      </c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37">
        <f>IFERROR(SUMPRODUCT(((D203=D174)*(E203="Y")*(F203=F174)*(G203="Y")*(D203&lt;&gt;"")*(F203&lt;&gt;""))+((H203=H174)*(I203="Y")*(J203=J174)*(K203="Y")*(H203&lt;&gt;"")*(J203&lt;&gt;""))+((L203=L174)*(M203="Y")*(N203=N174)*(O203="Y")*(L203&lt;&gt;"")*(N203&lt;&gt;""))+((P203=P174)*(Q203="Y")*(R203=R174)*(S203="Y")*(P203&lt;&gt;"")*(R203&lt;&gt;""))),0)</f>
        <v/>
      </c>
      <c r="U203" s="49">
        <f>IFERROR(SUMPRODUCT(((D203&lt;&gt;D174)*(E203="Y")*(F203&lt;&gt;F174)*(G203="Y")*(D203&lt;&gt;"")*(F203&lt;&gt;""))+((H203&lt;&gt;H174)*(I203="Y")*(J203&lt;&gt;J174)*(K203="Y")*(H203&lt;&gt;"")*(J203&lt;&gt;""))+((L203&lt;&gt;L174)*(M203="Y")*(N203&lt;&gt;N174)*(O203="Y")*(L203&lt;&gt;"")*(N203&lt;&gt;""))+((P203&lt;&gt;P174)*(Q203="Y")*(R203&lt;&gt;R174)*(S203="Y")*(P203&lt;&gt;"")*(R203&lt;&gt;""))),0)</f>
        <v/>
      </c>
      <c r="V203" s="37">
        <f>IFERROR(SUMPRODUCT(((D203=D174)*(E203="Y")*(F203&lt;&gt;F174)*(G203="Y")*(D203&lt;&gt;"")*(F203&lt;&gt;""))+((H203=H174)*(I203="Y")*(J203&lt;&gt;J174)*(K203="Y")*(H203&lt;&gt;"")*(J203&lt;&gt;""))+((L203=L174)*(M203="Y")*(N203&lt;&gt;N174)*(O203="Y")*(L203&lt;&gt;"")*(N203&lt;&gt;""))+((P203=P174)*(Q203="Y")*(R203&lt;&gt;R174)*(S203="Y")*(P203&lt;&gt;"")*(R203&lt;&gt;""))),0)</f>
        <v/>
      </c>
      <c r="W203" s="37">
        <f>IFERROR(SUMPRODUCT(((E203="N")*(D203&lt;&gt;"")*(F203&lt;&gt;""))+((I203="N")*(H203&lt;&gt;"")*(J203&lt;&gt;""))+((M203="N")*(L203&lt;&gt;"")*(N203&lt;&gt;""))+((Q203="N")*(P203&lt;&gt;"")*(R203&lt;&gt;""))),0)</f>
        <v/>
      </c>
      <c r="X203" s="50">
        <f>IFERROR(U203/4,0)</f>
        <v/>
      </c>
    </row>
    <row r="204" ht="18" customHeight="1">
      <c r="B204" s="46">
        <f>'📥 ข้อมูลนักเรียน'!B33</f>
        <v/>
      </c>
      <c r="C204" s="51">
        <f>'📥 ข้อมูลนักเรียน'!C33</f>
        <v/>
      </c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37">
        <f>IFERROR(SUMPRODUCT(((D204=D174)*(E204="Y")*(F204=F174)*(G204="Y")*(D204&lt;&gt;"")*(F204&lt;&gt;""))+((H204=H174)*(I204="Y")*(J204=J174)*(K204="Y")*(H204&lt;&gt;"")*(J204&lt;&gt;""))+((L204=L174)*(M204="Y")*(N204=N174)*(O204="Y")*(L204&lt;&gt;"")*(N204&lt;&gt;""))+((P204=P174)*(Q204="Y")*(R204=R174)*(S204="Y")*(P204&lt;&gt;"")*(R204&lt;&gt;""))),0)</f>
        <v/>
      </c>
      <c r="U204" s="49">
        <f>IFERROR(SUMPRODUCT(((D204&lt;&gt;D174)*(E204="Y")*(F204&lt;&gt;F174)*(G204="Y")*(D204&lt;&gt;"")*(F204&lt;&gt;""))+((H204&lt;&gt;H174)*(I204="Y")*(J204&lt;&gt;J174)*(K204="Y")*(H204&lt;&gt;"")*(J204&lt;&gt;""))+((L204&lt;&gt;L174)*(M204="Y")*(N204&lt;&gt;N174)*(O204="Y")*(L204&lt;&gt;"")*(N204&lt;&gt;""))+((P204&lt;&gt;P174)*(Q204="Y")*(R204&lt;&gt;R174)*(S204="Y")*(P204&lt;&gt;"")*(R204&lt;&gt;""))),0)</f>
        <v/>
      </c>
      <c r="V204" s="37">
        <f>IFERROR(SUMPRODUCT(((D204=D174)*(E204="Y")*(F204&lt;&gt;F174)*(G204="Y")*(D204&lt;&gt;"")*(F204&lt;&gt;""))+((H204=H174)*(I204="Y")*(J204&lt;&gt;J174)*(K204="Y")*(H204&lt;&gt;"")*(J204&lt;&gt;""))+((L204=L174)*(M204="Y")*(N204&lt;&gt;N174)*(O204="Y")*(L204&lt;&gt;"")*(N204&lt;&gt;""))+((P204=P174)*(Q204="Y")*(R204&lt;&gt;R174)*(S204="Y")*(P204&lt;&gt;"")*(R204&lt;&gt;""))),0)</f>
        <v/>
      </c>
      <c r="W204" s="37">
        <f>IFERROR(SUMPRODUCT(((E204="N")*(D204&lt;&gt;"")*(F204&lt;&gt;""))+((I204="N")*(H204&lt;&gt;"")*(J204&lt;&gt;""))+((M204="N")*(L204&lt;&gt;"")*(N204&lt;&gt;""))+((Q204="N")*(P204&lt;&gt;"")*(R204&lt;&gt;""))),0)</f>
        <v/>
      </c>
      <c r="X204" s="50">
        <f>IFERROR(U204/4,0)</f>
        <v/>
      </c>
    </row>
    <row r="205" ht="18" customHeight="1">
      <c r="B205" s="46">
        <f>'📥 ข้อมูลนักเรียน'!B34</f>
        <v/>
      </c>
      <c r="C205" s="47">
        <f>'📥 ข้อมูลนักเรียน'!C34</f>
        <v/>
      </c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37">
        <f>IFERROR(SUMPRODUCT(((D205=D174)*(E205="Y")*(F205=F174)*(G205="Y")*(D205&lt;&gt;"")*(F205&lt;&gt;""))+((H205=H174)*(I205="Y")*(J205=J174)*(K205="Y")*(H205&lt;&gt;"")*(J205&lt;&gt;""))+((L205=L174)*(M205="Y")*(N205=N174)*(O205="Y")*(L205&lt;&gt;"")*(N205&lt;&gt;""))+((P205=P174)*(Q205="Y")*(R205=R174)*(S205="Y")*(P205&lt;&gt;"")*(R205&lt;&gt;""))),0)</f>
        <v/>
      </c>
      <c r="U205" s="49">
        <f>IFERROR(SUMPRODUCT(((D205&lt;&gt;D174)*(E205="Y")*(F205&lt;&gt;F174)*(G205="Y")*(D205&lt;&gt;"")*(F205&lt;&gt;""))+((H205&lt;&gt;H174)*(I205="Y")*(J205&lt;&gt;J174)*(K205="Y")*(H205&lt;&gt;"")*(J205&lt;&gt;""))+((L205&lt;&gt;L174)*(M205="Y")*(N205&lt;&gt;N174)*(O205="Y")*(L205&lt;&gt;"")*(N205&lt;&gt;""))+((P205&lt;&gt;P174)*(Q205="Y")*(R205&lt;&gt;R174)*(S205="Y")*(P205&lt;&gt;"")*(R205&lt;&gt;""))),0)</f>
        <v/>
      </c>
      <c r="V205" s="37">
        <f>IFERROR(SUMPRODUCT(((D205=D174)*(E205="Y")*(F205&lt;&gt;F174)*(G205="Y")*(D205&lt;&gt;"")*(F205&lt;&gt;""))+((H205=H174)*(I205="Y")*(J205&lt;&gt;J174)*(K205="Y")*(H205&lt;&gt;"")*(J205&lt;&gt;""))+((L205=L174)*(M205="Y")*(N205&lt;&gt;N174)*(O205="Y")*(L205&lt;&gt;"")*(N205&lt;&gt;""))+((P205=P174)*(Q205="Y")*(R205&lt;&gt;R174)*(S205="Y")*(P205&lt;&gt;"")*(R205&lt;&gt;""))),0)</f>
        <v/>
      </c>
      <c r="W205" s="37">
        <f>IFERROR(SUMPRODUCT(((E205="N")*(D205&lt;&gt;"")*(F205&lt;&gt;""))+((I205="N")*(H205&lt;&gt;"")*(J205&lt;&gt;""))+((M205="N")*(L205&lt;&gt;"")*(N205&lt;&gt;""))+((Q205="N")*(P205&lt;&gt;"")*(R205&lt;&gt;""))),0)</f>
        <v/>
      </c>
      <c r="X205" s="50">
        <f>IFERROR(U205/4,0)</f>
        <v/>
      </c>
    </row>
    <row r="206" ht="18" customHeight="1">
      <c r="B206" s="46">
        <f>'📥 ข้อมูลนักเรียน'!B35</f>
        <v/>
      </c>
      <c r="C206" s="51">
        <f>'📥 ข้อมูลนักเรียน'!C35</f>
        <v/>
      </c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37">
        <f>IFERROR(SUMPRODUCT(((D206=D174)*(E206="Y")*(F206=F174)*(G206="Y")*(D206&lt;&gt;"")*(F206&lt;&gt;""))+((H206=H174)*(I206="Y")*(J206=J174)*(K206="Y")*(H206&lt;&gt;"")*(J206&lt;&gt;""))+((L206=L174)*(M206="Y")*(N206=N174)*(O206="Y")*(L206&lt;&gt;"")*(N206&lt;&gt;""))+((P206=P174)*(Q206="Y")*(R206=R174)*(S206="Y")*(P206&lt;&gt;"")*(R206&lt;&gt;""))),0)</f>
        <v/>
      </c>
      <c r="U206" s="49">
        <f>IFERROR(SUMPRODUCT(((D206&lt;&gt;D174)*(E206="Y")*(F206&lt;&gt;F174)*(G206="Y")*(D206&lt;&gt;"")*(F206&lt;&gt;""))+((H206&lt;&gt;H174)*(I206="Y")*(J206&lt;&gt;J174)*(K206="Y")*(H206&lt;&gt;"")*(J206&lt;&gt;""))+((L206&lt;&gt;L174)*(M206="Y")*(N206&lt;&gt;N174)*(O206="Y")*(L206&lt;&gt;"")*(N206&lt;&gt;""))+((P206&lt;&gt;P174)*(Q206="Y")*(R206&lt;&gt;R174)*(S206="Y")*(P206&lt;&gt;"")*(R206&lt;&gt;""))),0)</f>
        <v/>
      </c>
      <c r="V206" s="37">
        <f>IFERROR(SUMPRODUCT(((D206=D174)*(E206="Y")*(F206&lt;&gt;F174)*(G206="Y")*(D206&lt;&gt;"")*(F206&lt;&gt;""))+((H206=H174)*(I206="Y")*(J206&lt;&gt;J174)*(K206="Y")*(H206&lt;&gt;"")*(J206&lt;&gt;""))+((L206=L174)*(M206="Y")*(N206&lt;&gt;N174)*(O206="Y")*(L206&lt;&gt;"")*(N206&lt;&gt;""))+((P206=P174)*(Q206="Y")*(R206&lt;&gt;R174)*(S206="Y")*(P206&lt;&gt;"")*(R206&lt;&gt;""))),0)</f>
        <v/>
      </c>
      <c r="W206" s="37">
        <f>IFERROR(SUMPRODUCT(((E206="N")*(D206&lt;&gt;"")*(F206&lt;&gt;""))+((I206="N")*(H206&lt;&gt;"")*(J206&lt;&gt;""))+((M206="N")*(L206&lt;&gt;"")*(N206&lt;&gt;""))+((Q206="N")*(P206&lt;&gt;"")*(R206&lt;&gt;""))),0)</f>
        <v/>
      </c>
      <c r="X206" s="50">
        <f>IFERROR(U206/4,0)</f>
        <v/>
      </c>
    </row>
    <row r="207" ht="18" customHeight="1">
      <c r="B207" s="46">
        <f>'📥 ข้อมูลนักเรียน'!B36</f>
        <v/>
      </c>
      <c r="C207" s="47">
        <f>'📥 ข้อมูลนักเรียน'!C36</f>
        <v/>
      </c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37">
        <f>IFERROR(SUMPRODUCT(((D207=D174)*(E207="Y")*(F207=F174)*(G207="Y")*(D207&lt;&gt;"")*(F207&lt;&gt;""))+((H207=H174)*(I207="Y")*(J207=J174)*(K207="Y")*(H207&lt;&gt;"")*(J207&lt;&gt;""))+((L207=L174)*(M207="Y")*(N207=N174)*(O207="Y")*(L207&lt;&gt;"")*(N207&lt;&gt;""))+((P207=P174)*(Q207="Y")*(R207=R174)*(S207="Y")*(P207&lt;&gt;"")*(R207&lt;&gt;""))),0)</f>
        <v/>
      </c>
      <c r="U207" s="49">
        <f>IFERROR(SUMPRODUCT(((D207&lt;&gt;D174)*(E207="Y")*(F207&lt;&gt;F174)*(G207="Y")*(D207&lt;&gt;"")*(F207&lt;&gt;""))+((H207&lt;&gt;H174)*(I207="Y")*(J207&lt;&gt;J174)*(K207="Y")*(H207&lt;&gt;"")*(J207&lt;&gt;""))+((L207&lt;&gt;L174)*(M207="Y")*(N207&lt;&gt;N174)*(O207="Y")*(L207&lt;&gt;"")*(N207&lt;&gt;""))+((P207&lt;&gt;P174)*(Q207="Y")*(R207&lt;&gt;R174)*(S207="Y")*(P207&lt;&gt;"")*(R207&lt;&gt;""))),0)</f>
        <v/>
      </c>
      <c r="V207" s="37">
        <f>IFERROR(SUMPRODUCT(((D207=D174)*(E207="Y")*(F207&lt;&gt;F174)*(G207="Y")*(D207&lt;&gt;"")*(F207&lt;&gt;""))+((H207=H174)*(I207="Y")*(J207&lt;&gt;J174)*(K207="Y")*(H207&lt;&gt;"")*(J207&lt;&gt;""))+((L207=L174)*(M207="Y")*(N207&lt;&gt;N174)*(O207="Y")*(L207&lt;&gt;"")*(N207&lt;&gt;""))+((P207=P174)*(Q207="Y")*(R207&lt;&gt;R174)*(S207="Y")*(P207&lt;&gt;"")*(R207&lt;&gt;""))),0)</f>
        <v/>
      </c>
      <c r="W207" s="37">
        <f>IFERROR(SUMPRODUCT(((E207="N")*(D207&lt;&gt;"")*(F207&lt;&gt;""))+((I207="N")*(H207&lt;&gt;"")*(J207&lt;&gt;""))+((M207="N")*(L207&lt;&gt;"")*(N207&lt;&gt;""))+((Q207="N")*(P207&lt;&gt;"")*(R207&lt;&gt;""))),0)</f>
        <v/>
      </c>
      <c r="X207" s="50">
        <f>IFERROR(U207/4,0)</f>
        <v/>
      </c>
    </row>
    <row r="208" ht="18" customHeight="1">
      <c r="B208" s="46">
        <f>'📥 ข้อมูลนักเรียน'!B37</f>
        <v/>
      </c>
      <c r="C208" s="51">
        <f>'📥 ข้อมูลนักเรียน'!C37</f>
        <v/>
      </c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37">
        <f>IFERROR(SUMPRODUCT(((D208=D174)*(E208="Y")*(F208=F174)*(G208="Y")*(D208&lt;&gt;"")*(F208&lt;&gt;""))+((H208=H174)*(I208="Y")*(J208=J174)*(K208="Y")*(H208&lt;&gt;"")*(J208&lt;&gt;""))+((L208=L174)*(M208="Y")*(N208=N174)*(O208="Y")*(L208&lt;&gt;"")*(N208&lt;&gt;""))+((P208=P174)*(Q208="Y")*(R208=R174)*(S208="Y")*(P208&lt;&gt;"")*(R208&lt;&gt;""))),0)</f>
        <v/>
      </c>
      <c r="U208" s="49">
        <f>IFERROR(SUMPRODUCT(((D208&lt;&gt;D174)*(E208="Y")*(F208&lt;&gt;F174)*(G208="Y")*(D208&lt;&gt;"")*(F208&lt;&gt;""))+((H208&lt;&gt;H174)*(I208="Y")*(J208&lt;&gt;J174)*(K208="Y")*(H208&lt;&gt;"")*(J208&lt;&gt;""))+((L208&lt;&gt;L174)*(M208="Y")*(N208&lt;&gt;N174)*(O208="Y")*(L208&lt;&gt;"")*(N208&lt;&gt;""))+((P208&lt;&gt;P174)*(Q208="Y")*(R208&lt;&gt;R174)*(S208="Y")*(P208&lt;&gt;"")*(R208&lt;&gt;""))),0)</f>
        <v/>
      </c>
      <c r="V208" s="37">
        <f>IFERROR(SUMPRODUCT(((D208=D174)*(E208="Y")*(F208&lt;&gt;F174)*(G208="Y")*(D208&lt;&gt;"")*(F208&lt;&gt;""))+((H208=H174)*(I208="Y")*(J208&lt;&gt;J174)*(K208="Y")*(H208&lt;&gt;"")*(J208&lt;&gt;""))+((L208=L174)*(M208="Y")*(N208&lt;&gt;N174)*(O208="Y")*(L208&lt;&gt;"")*(N208&lt;&gt;""))+((P208=P174)*(Q208="Y")*(R208&lt;&gt;R174)*(S208="Y")*(P208&lt;&gt;"")*(R208&lt;&gt;""))),0)</f>
        <v/>
      </c>
      <c r="W208" s="37">
        <f>IFERROR(SUMPRODUCT(((E208="N")*(D208&lt;&gt;"")*(F208&lt;&gt;""))+((I208="N")*(H208&lt;&gt;"")*(J208&lt;&gt;""))+((M208="N")*(L208&lt;&gt;"")*(N208&lt;&gt;""))+((Q208="N")*(P208&lt;&gt;"")*(R208&lt;&gt;""))),0)</f>
        <v/>
      </c>
      <c r="X208" s="50">
        <f>IFERROR(U208/4,0)</f>
        <v/>
      </c>
    </row>
    <row r="209" ht="18" customHeight="1">
      <c r="B209" s="46">
        <f>'📥 ข้อมูลนักเรียน'!B38</f>
        <v/>
      </c>
      <c r="C209" s="47">
        <f>'📥 ข้อมูลนักเรียน'!C38</f>
        <v/>
      </c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37">
        <f>IFERROR(SUMPRODUCT(((D209=D174)*(E209="Y")*(F209=F174)*(G209="Y")*(D209&lt;&gt;"")*(F209&lt;&gt;""))+((H209=H174)*(I209="Y")*(J209=J174)*(K209="Y")*(H209&lt;&gt;"")*(J209&lt;&gt;""))+((L209=L174)*(M209="Y")*(N209=N174)*(O209="Y")*(L209&lt;&gt;"")*(N209&lt;&gt;""))+((P209=P174)*(Q209="Y")*(R209=R174)*(S209="Y")*(P209&lt;&gt;"")*(R209&lt;&gt;""))),0)</f>
        <v/>
      </c>
      <c r="U209" s="49">
        <f>IFERROR(SUMPRODUCT(((D209&lt;&gt;D174)*(E209="Y")*(F209&lt;&gt;F174)*(G209="Y")*(D209&lt;&gt;"")*(F209&lt;&gt;""))+((H209&lt;&gt;H174)*(I209="Y")*(J209&lt;&gt;J174)*(K209="Y")*(H209&lt;&gt;"")*(J209&lt;&gt;""))+((L209&lt;&gt;L174)*(M209="Y")*(N209&lt;&gt;N174)*(O209="Y")*(L209&lt;&gt;"")*(N209&lt;&gt;""))+((P209&lt;&gt;P174)*(Q209="Y")*(R209&lt;&gt;R174)*(S209="Y")*(P209&lt;&gt;"")*(R209&lt;&gt;""))),0)</f>
        <v/>
      </c>
      <c r="V209" s="37">
        <f>IFERROR(SUMPRODUCT(((D209=D174)*(E209="Y")*(F209&lt;&gt;F174)*(G209="Y")*(D209&lt;&gt;"")*(F209&lt;&gt;""))+((H209=H174)*(I209="Y")*(J209&lt;&gt;J174)*(K209="Y")*(H209&lt;&gt;"")*(J209&lt;&gt;""))+((L209=L174)*(M209="Y")*(N209&lt;&gt;N174)*(O209="Y")*(L209&lt;&gt;"")*(N209&lt;&gt;""))+((P209=P174)*(Q209="Y")*(R209&lt;&gt;R174)*(S209="Y")*(P209&lt;&gt;"")*(R209&lt;&gt;""))),0)</f>
        <v/>
      </c>
      <c r="W209" s="37">
        <f>IFERROR(SUMPRODUCT(((E209="N")*(D209&lt;&gt;"")*(F209&lt;&gt;""))+((I209="N")*(H209&lt;&gt;"")*(J209&lt;&gt;""))+((M209="N")*(L209&lt;&gt;"")*(N209&lt;&gt;""))+((Q209="N")*(P209&lt;&gt;"")*(R209&lt;&gt;""))),0)</f>
        <v/>
      </c>
      <c r="X209" s="50">
        <f>IFERROR(U209/4,0)</f>
        <v/>
      </c>
    </row>
    <row r="210" ht="24" customHeight="1">
      <c r="B210" s="240" t="inlineStr">
        <is>
          <t>สรุป Pre แผน 3</t>
        </is>
      </c>
      <c r="C210" s="369" t="n"/>
      <c r="T210" s="52">
        <f>IFERROR(AVERAGE(T175:T209)*4,0)</f>
        <v/>
      </c>
      <c r="U210" s="53">
        <f>IFERROR(AVERAGE(U175:U209)*4,0)</f>
        <v/>
      </c>
      <c r="V210" s="54">
        <f>IFERROR(AVERAGE(V175:V209)*4,0)</f>
        <v/>
      </c>
      <c r="W210" s="55">
        <f>IFERROR(AVERAGE(W175:W209)*4,0)</f>
        <v/>
      </c>
      <c r="X210" s="56">
        <f>IFERROR(AVERAGE(X175:X209),0)</f>
        <v/>
      </c>
    </row>
    <row r="211" ht="19.5" customHeight="1">
      <c r="B211" s="241" t="inlineStr">
        <is>
          <t>🟢 POST-test — หลังสอน  (แผน 3 ข้อ 9–12)</t>
        </is>
      </c>
    </row>
    <row r="212" ht="27.75" customHeight="1">
      <c r="B212" s="27" t="inlineStr">
        <is>
          <t>ที่</t>
        </is>
      </c>
      <c r="C212" s="27" t="inlineStr">
        <is>
          <t>ชื่อนักเรียน</t>
        </is>
      </c>
      <c r="D212" s="242" t="inlineStr">
        <is>
          <t>ข้อ 9</t>
        </is>
      </c>
      <c r="E212" s="369" t="n"/>
      <c r="F212" s="369" t="n"/>
      <c r="G212" s="369" t="n"/>
      <c r="H212" s="242" t="inlineStr">
        <is>
          <t>ข้อ 10</t>
        </is>
      </c>
      <c r="I212" s="369" t="n"/>
      <c r="J212" s="369" t="n"/>
      <c r="K212" s="369" t="n"/>
      <c r="L212" s="242" t="inlineStr">
        <is>
          <t>ข้อ 11</t>
        </is>
      </c>
      <c r="M212" s="369" t="n"/>
      <c r="N212" s="369" t="n"/>
      <c r="O212" s="369" t="n"/>
      <c r="P212" s="242" t="inlineStr">
        <is>
          <t>ข้อ 12</t>
        </is>
      </c>
      <c r="Q212" s="369" t="n"/>
      <c r="R212" s="369" t="n"/>
      <c r="S212" s="369" t="n"/>
      <c r="T212" s="57" t="inlineStr">
        <is>
          <t>Sound
✅</t>
        </is>
      </c>
      <c r="U212" s="57" t="inlineStr">
        <is>
          <t>Misc
❌</t>
        </is>
      </c>
      <c r="V212" s="57" t="inlineStr">
        <is>
          <t>Guess
🎲</t>
        </is>
      </c>
      <c r="W212" s="57" t="inlineStr">
        <is>
          <t>NoK
❓</t>
        </is>
      </c>
      <c r="X212" s="57" t="inlineStr">
        <is>
          <t>% Misc
(Auto)</t>
        </is>
      </c>
    </row>
    <row r="213" ht="27.75" customHeight="1">
      <c r="B213" s="58" t="n"/>
      <c r="C213" s="59" t="inlineStr">
        <is>
          <t>← กรอกเฉลย T1 และ T3</t>
        </is>
      </c>
      <c r="D213" s="60" t="inlineStr">
        <is>
          <t>T1
(ก-ง)</t>
        </is>
      </c>
      <c r="E213" s="60" t="inlineStr">
        <is>
          <t>T2
(Y/N)</t>
        </is>
      </c>
      <c r="F213" s="60" t="inlineStr">
        <is>
          <t>T3
(ก-ง)</t>
        </is>
      </c>
      <c r="G213" s="60" t="inlineStr">
        <is>
          <t>T4
(Y/N)</t>
        </is>
      </c>
      <c r="H213" s="60" t="inlineStr">
        <is>
          <t>T1
(ก-ง)</t>
        </is>
      </c>
      <c r="I213" s="60" t="inlineStr">
        <is>
          <t>T2
(Y/N)</t>
        </is>
      </c>
      <c r="J213" s="60" t="inlineStr">
        <is>
          <t>T3
(ก-ง)</t>
        </is>
      </c>
      <c r="K213" s="60" t="inlineStr">
        <is>
          <t>T4
(Y/N)</t>
        </is>
      </c>
      <c r="L213" s="60" t="inlineStr">
        <is>
          <t>T1
(ก-ง)</t>
        </is>
      </c>
      <c r="M213" s="60" t="inlineStr">
        <is>
          <t>T2
(Y/N)</t>
        </is>
      </c>
      <c r="N213" s="60" t="inlineStr">
        <is>
          <t>T3
(ก-ง)</t>
        </is>
      </c>
      <c r="O213" s="60" t="inlineStr">
        <is>
          <t>T4
(Y/N)</t>
        </is>
      </c>
      <c r="P213" s="60" t="inlineStr">
        <is>
          <t>T1
(ก-ง)</t>
        </is>
      </c>
      <c r="Q213" s="60" t="inlineStr">
        <is>
          <t>T2
(Y/N)</t>
        </is>
      </c>
      <c r="R213" s="60" t="inlineStr">
        <is>
          <t>T3
(ก-ง)</t>
        </is>
      </c>
      <c r="S213" s="60" t="inlineStr">
        <is>
          <t>T4
(Y/N)</t>
        </is>
      </c>
      <c r="T213" s="61" t="inlineStr">
        <is>
          <t>—</t>
        </is>
      </c>
      <c r="U213" s="61" t="inlineStr">
        <is>
          <t>—</t>
        </is>
      </c>
      <c r="V213" s="61" t="inlineStr">
        <is>
          <t>—</t>
        </is>
      </c>
      <c r="W213" s="61" t="inlineStr">
        <is>
          <t>—</t>
        </is>
      </c>
      <c r="X213" s="61" t="inlineStr">
        <is>
          <t>—</t>
        </is>
      </c>
    </row>
    <row r="214" ht="18" customHeight="1">
      <c r="B214" s="44" t="inlineStr">
        <is>
          <t>KEY</t>
        </is>
      </c>
      <c r="C214" s="45" t="inlineStr">
        <is>
          <t>← กรอกเฉลยที่ถูกต้อง</t>
        </is>
      </c>
      <c r="D214" s="9" t="n"/>
      <c r="E214" s="21" t="inlineStr">
        <is>
          <t>—</t>
        </is>
      </c>
      <c r="F214" s="9" t="n"/>
      <c r="G214" s="21" t="inlineStr">
        <is>
          <t>—</t>
        </is>
      </c>
      <c r="H214" s="9" t="n"/>
      <c r="I214" s="21" t="inlineStr">
        <is>
          <t>—</t>
        </is>
      </c>
      <c r="J214" s="9" t="n"/>
      <c r="K214" s="21" t="inlineStr">
        <is>
          <t>—</t>
        </is>
      </c>
      <c r="L214" s="9" t="n"/>
      <c r="M214" s="21" t="inlineStr">
        <is>
          <t>—</t>
        </is>
      </c>
      <c r="N214" s="9" t="n"/>
      <c r="O214" s="21" t="inlineStr">
        <is>
          <t>—</t>
        </is>
      </c>
      <c r="P214" s="9" t="n"/>
      <c r="Q214" s="21" t="inlineStr">
        <is>
          <t>—</t>
        </is>
      </c>
      <c r="R214" s="9" t="n"/>
      <c r="S214" s="21" t="inlineStr">
        <is>
          <t>—</t>
        </is>
      </c>
      <c r="T214" s="21" t="inlineStr">
        <is>
          <t>—</t>
        </is>
      </c>
      <c r="U214" s="21" t="inlineStr">
        <is>
          <t>—</t>
        </is>
      </c>
      <c r="V214" s="21" t="inlineStr">
        <is>
          <t>—</t>
        </is>
      </c>
      <c r="W214" s="21" t="inlineStr">
        <is>
          <t>—</t>
        </is>
      </c>
      <c r="X214" s="21" t="inlineStr">
        <is>
          <t>—</t>
        </is>
      </c>
    </row>
    <row r="215" ht="18" customHeight="1">
      <c r="B215" s="46">
        <f>'📥 ข้อมูลนักเรียน'!B4</f>
        <v/>
      </c>
      <c r="C215" s="47">
        <f>'📥 ข้อมูลนักเรียน'!C4</f>
        <v/>
      </c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37">
        <f>IFERROR(SUMPRODUCT(((D215=D214)*(E215="Y")*(F215=F214)*(G215="Y")*(D215&lt;&gt;"")* (F215&lt;&gt;""))+((H215=H214)*(I215="Y")*(J215=J214)*(K215="Y")*(H215&lt;&gt;"")* (J215&lt;&gt;""))+((L215=L214)*(M215="Y")*(N215=N214)*(O215="Y")*(L215&lt;&gt;"")* (N215&lt;&gt;""))+((P215=P214)*(Q215="Y")*(R215=R214)*(S215="Y")*(P215&lt;&gt;"")* (R215&lt;&gt;""))),0)</f>
        <v/>
      </c>
      <c r="U215" s="49">
        <f>IFERROR(SUMPRODUCT(((D215&lt;&gt;D214)*(E215="Y")*(F215&lt;&gt;F214)*(G215="Y")*(D215&lt;&gt;"")* (F215&lt;&gt;""))+((H215&lt;&gt;H214)*(I215="Y")*(J215&lt;&gt;J214)*(K215="Y")*(H215&lt;&gt;"")* (J215&lt;&gt;""))+((L215&lt;&gt;L214)*(M215="Y")*(N215&lt;&gt;N214)*(O215="Y")*(L215&lt;&gt;"")* (N215&lt;&gt;""))+((P215&lt;&gt;P214)*(Q215="Y")*(R215&lt;&gt;R214)*(S215="Y")*(P215&lt;&gt;"")* (R215&lt;&gt;""))),0)</f>
        <v/>
      </c>
      <c r="V215" s="37">
        <f>IFERROR(SUMPRODUCT(((D215=D214)*(E215="Y")*(F215&lt;&gt;F214)*(G215="Y")*(D215&lt;&gt;"")* (F215&lt;&gt;""))+((H215=H214)*(I215="Y")*(J215&lt;&gt;J214)*(K215="Y")*(H215&lt;&gt;"")* (J215&lt;&gt;""))+((L215=L214)*(M215="Y")*(N215&lt;&gt;N214)*(O215="Y")*(L215&lt;&gt;"")* (N215&lt;&gt;""))+((P215=P214)*(Q215="Y")*(R215&lt;&gt;R214)*(S215="Y")*(P215&lt;&gt;"")* (R215&lt;&gt;""))),0)</f>
        <v/>
      </c>
      <c r="W215" s="37">
        <f>IFERROR(SUMPRODUCT(((E215="N")*(D215&lt;&gt;"")* (F215&lt;&gt;""))+((I215="N")*(H215&lt;&gt;"")* (J215&lt;&gt;""))+((M215="N")*(L215&lt;&gt;"")* (N215&lt;&gt;""))+((Q215="N")*(P215&lt;&gt;"")* (R215&lt;&gt;""))),0)</f>
        <v/>
      </c>
      <c r="X215" s="50">
        <f>IFERROR(U215/4,0)</f>
        <v/>
      </c>
    </row>
    <row r="216" ht="18" customHeight="1">
      <c r="B216" s="46">
        <f>'📥 ข้อมูลนักเรียน'!B5</f>
        <v/>
      </c>
      <c r="C216" s="51">
        <f>'📥 ข้อมูลนักเรียน'!C5</f>
        <v/>
      </c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37">
        <f>IFERROR(SUMPRODUCT(((D216=D214)*(E216="Y")*(F216=F214)*(G216="Y")*(D216&lt;&gt;"")* (F216&lt;&gt;""))+((H216=H214)*(I216="Y")*(J216=J214)*(K216="Y")*(H216&lt;&gt;"")* (J216&lt;&gt;""))+((L216=L214)*(M216="Y")*(N216=N214)*(O216="Y")*(L216&lt;&gt;"")* (N216&lt;&gt;""))+((P216=P214)*(Q216="Y")*(R216=R214)*(S216="Y")*(P216&lt;&gt;"")* (R216&lt;&gt;""))),0)</f>
        <v/>
      </c>
      <c r="U216" s="49">
        <f>IFERROR(SUMPRODUCT(((D216&lt;&gt;D214)*(E216="Y")*(F216&lt;&gt;F214)*(G216="Y")*(D216&lt;&gt;"")* (F216&lt;&gt;""))+((H216&lt;&gt;H214)*(I216="Y")*(J216&lt;&gt;J214)*(K216="Y")*(H216&lt;&gt;"")* (J216&lt;&gt;""))+((L216&lt;&gt;L214)*(M216="Y")*(N216&lt;&gt;N214)*(O216="Y")*(L216&lt;&gt;"")* (N216&lt;&gt;""))+((P216&lt;&gt;P214)*(Q216="Y")*(R216&lt;&gt;R214)*(S216="Y")*(P216&lt;&gt;"")* (R216&lt;&gt;""))),0)</f>
        <v/>
      </c>
      <c r="V216" s="37">
        <f>IFERROR(SUMPRODUCT(((D216=D214)*(E216="Y")*(F216&lt;&gt;F214)*(G216="Y")*(D216&lt;&gt;"")* (F216&lt;&gt;""))+((H216=H214)*(I216="Y")*(J216&lt;&gt;J214)*(K216="Y")*(H216&lt;&gt;"")* (J216&lt;&gt;""))+((L216=L214)*(M216="Y")*(N216&lt;&gt;N214)*(O216="Y")*(L216&lt;&gt;"")* (N216&lt;&gt;""))+((P216=P214)*(Q216="Y")*(R216&lt;&gt;R214)*(S216="Y")*(P216&lt;&gt;"")* (R216&lt;&gt;""))),0)</f>
        <v/>
      </c>
      <c r="W216" s="37">
        <f>IFERROR(SUMPRODUCT(((E216="N")*(D216&lt;&gt;"")* (F216&lt;&gt;""))+((I216="N")*(H216&lt;&gt;"")* (J216&lt;&gt;""))+((M216="N")*(L216&lt;&gt;"")* (N216&lt;&gt;""))+((Q216="N")*(P216&lt;&gt;"")* (R216&lt;&gt;""))),0)</f>
        <v/>
      </c>
      <c r="X216" s="50">
        <f>IFERROR(U216/4,0)</f>
        <v/>
      </c>
    </row>
    <row r="217" ht="18" customHeight="1">
      <c r="B217" s="46">
        <f>'📥 ข้อมูลนักเรียน'!B6</f>
        <v/>
      </c>
      <c r="C217" s="47">
        <f>'📥 ข้อมูลนักเรียน'!C6</f>
        <v/>
      </c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37">
        <f>IFERROR(SUMPRODUCT(((D217=D214)*(E217="Y")*(F217=F214)*(G217="Y")*(D217&lt;&gt;"")* (F217&lt;&gt;""))+((H217=H214)*(I217="Y")*(J217=J214)*(K217="Y")*(H217&lt;&gt;"")* (J217&lt;&gt;""))+((L217=L214)*(M217="Y")*(N217=N214)*(O217="Y")*(L217&lt;&gt;"")* (N217&lt;&gt;""))+((P217=P214)*(Q217="Y")*(R217=R214)*(S217="Y")*(P217&lt;&gt;"")* (R217&lt;&gt;""))),0)</f>
        <v/>
      </c>
      <c r="U217" s="49">
        <f>IFERROR(SUMPRODUCT(((D217&lt;&gt;D214)*(E217="Y")*(F217&lt;&gt;F214)*(G217="Y")*(D217&lt;&gt;"")* (F217&lt;&gt;""))+((H217&lt;&gt;H214)*(I217="Y")*(J217&lt;&gt;J214)*(K217="Y")*(H217&lt;&gt;"")* (J217&lt;&gt;""))+((L217&lt;&gt;L214)*(M217="Y")*(N217&lt;&gt;N214)*(O217="Y")*(L217&lt;&gt;"")* (N217&lt;&gt;""))+((P217&lt;&gt;P214)*(Q217="Y")*(R217&lt;&gt;R214)*(S217="Y")*(P217&lt;&gt;"")* (R217&lt;&gt;""))),0)</f>
        <v/>
      </c>
      <c r="V217" s="37">
        <f>IFERROR(SUMPRODUCT(((D217=D214)*(E217="Y")*(F217&lt;&gt;F214)*(G217="Y")*(D217&lt;&gt;"")* (F217&lt;&gt;""))+((H217=H214)*(I217="Y")*(J217&lt;&gt;J214)*(K217="Y")*(H217&lt;&gt;"")* (J217&lt;&gt;""))+((L217=L214)*(M217="Y")*(N217&lt;&gt;N214)*(O217="Y")*(L217&lt;&gt;"")* (N217&lt;&gt;""))+((P217=P214)*(Q217="Y")*(R217&lt;&gt;R214)*(S217="Y")*(P217&lt;&gt;"")* (R217&lt;&gt;""))),0)</f>
        <v/>
      </c>
      <c r="W217" s="37">
        <f>IFERROR(SUMPRODUCT(((E217="N")*(D217&lt;&gt;"")* (F217&lt;&gt;""))+((I217="N")*(H217&lt;&gt;"")* (J217&lt;&gt;""))+((M217="N")*(L217&lt;&gt;"")* (N217&lt;&gt;""))+((Q217="N")*(P217&lt;&gt;"")* (R217&lt;&gt;""))),0)</f>
        <v/>
      </c>
      <c r="X217" s="50">
        <f>IFERROR(U217/4,0)</f>
        <v/>
      </c>
    </row>
    <row r="218" ht="18" customHeight="1">
      <c r="B218" s="46">
        <f>'📥 ข้อมูลนักเรียน'!B7</f>
        <v/>
      </c>
      <c r="C218" s="51">
        <f>'📥 ข้อมูลนักเรียน'!C7</f>
        <v/>
      </c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37">
        <f>IFERROR(SUMPRODUCT(((D218=D214)*(E218="Y")*(F218=F214)*(G218="Y")*(D218&lt;&gt;"")* (F218&lt;&gt;""))+((H218=H214)*(I218="Y")*(J218=J214)*(K218="Y")*(H218&lt;&gt;"")* (J218&lt;&gt;""))+((L218=L214)*(M218="Y")*(N218=N214)*(O218="Y")*(L218&lt;&gt;"")* (N218&lt;&gt;""))+((P218=P214)*(Q218="Y")*(R218=R214)*(S218="Y")*(P218&lt;&gt;"")* (R218&lt;&gt;""))),0)</f>
        <v/>
      </c>
      <c r="U218" s="49">
        <f>IFERROR(SUMPRODUCT(((D218&lt;&gt;D214)*(E218="Y")*(F218&lt;&gt;F214)*(G218="Y")*(D218&lt;&gt;"")* (F218&lt;&gt;""))+((H218&lt;&gt;H214)*(I218="Y")*(J218&lt;&gt;J214)*(K218="Y")*(H218&lt;&gt;"")* (J218&lt;&gt;""))+((L218&lt;&gt;L214)*(M218="Y")*(N218&lt;&gt;N214)*(O218="Y")*(L218&lt;&gt;"")* (N218&lt;&gt;""))+((P218&lt;&gt;P214)*(Q218="Y")*(R218&lt;&gt;R214)*(S218="Y")*(P218&lt;&gt;"")* (R218&lt;&gt;""))),0)</f>
        <v/>
      </c>
      <c r="V218" s="37">
        <f>IFERROR(SUMPRODUCT(((D218=D214)*(E218="Y")*(F218&lt;&gt;F214)*(G218="Y")*(D218&lt;&gt;"")* (F218&lt;&gt;""))+((H218=H214)*(I218="Y")*(J218&lt;&gt;J214)*(K218="Y")*(H218&lt;&gt;"")* (J218&lt;&gt;""))+((L218=L214)*(M218="Y")*(N218&lt;&gt;N214)*(O218="Y")*(L218&lt;&gt;"")* (N218&lt;&gt;""))+((P218=P214)*(Q218="Y")*(R218&lt;&gt;R214)*(S218="Y")*(P218&lt;&gt;"")* (R218&lt;&gt;""))),0)</f>
        <v/>
      </c>
      <c r="W218" s="37">
        <f>IFERROR(SUMPRODUCT(((E218="N")*(D218&lt;&gt;"")* (F218&lt;&gt;""))+((I218="N")*(H218&lt;&gt;"")* (J218&lt;&gt;""))+((M218="N")*(L218&lt;&gt;"")* (N218&lt;&gt;""))+((Q218="N")*(P218&lt;&gt;"")* (R218&lt;&gt;""))),0)</f>
        <v/>
      </c>
      <c r="X218" s="50">
        <f>IFERROR(U218/4,0)</f>
        <v/>
      </c>
    </row>
    <row r="219" ht="18" customHeight="1">
      <c r="B219" s="46">
        <f>'📥 ข้อมูลนักเรียน'!B8</f>
        <v/>
      </c>
      <c r="C219" s="47">
        <f>'📥 ข้อมูลนักเรียน'!C8</f>
        <v/>
      </c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37">
        <f>IFERROR(SUMPRODUCT(((D219=D214)*(E219="Y")*(F219=F214)*(G219="Y")*(D219&lt;&gt;"")* (F219&lt;&gt;""))+((H219=H214)*(I219="Y")*(J219=J214)*(K219="Y")*(H219&lt;&gt;"")* (J219&lt;&gt;""))+((L219=L214)*(M219="Y")*(N219=N214)*(O219="Y")*(L219&lt;&gt;"")* (N219&lt;&gt;""))+((P219=P214)*(Q219="Y")*(R219=R214)*(S219="Y")*(P219&lt;&gt;"")* (R219&lt;&gt;""))),0)</f>
        <v/>
      </c>
      <c r="U219" s="49">
        <f>IFERROR(SUMPRODUCT(((D219&lt;&gt;D214)*(E219="Y")*(F219&lt;&gt;F214)*(G219="Y")*(D219&lt;&gt;"")* (F219&lt;&gt;""))+((H219&lt;&gt;H214)*(I219="Y")*(J219&lt;&gt;J214)*(K219="Y")*(H219&lt;&gt;"")* (J219&lt;&gt;""))+((L219&lt;&gt;L214)*(M219="Y")*(N219&lt;&gt;N214)*(O219="Y")*(L219&lt;&gt;"")* (N219&lt;&gt;""))+((P219&lt;&gt;P214)*(Q219="Y")*(R219&lt;&gt;R214)*(S219="Y")*(P219&lt;&gt;"")* (R219&lt;&gt;""))),0)</f>
        <v/>
      </c>
      <c r="V219" s="37">
        <f>IFERROR(SUMPRODUCT(((D219=D214)*(E219="Y")*(F219&lt;&gt;F214)*(G219="Y")*(D219&lt;&gt;"")* (F219&lt;&gt;""))+((H219=H214)*(I219="Y")*(J219&lt;&gt;J214)*(K219="Y")*(H219&lt;&gt;"")* (J219&lt;&gt;""))+((L219=L214)*(M219="Y")*(N219&lt;&gt;N214)*(O219="Y")*(L219&lt;&gt;"")* (N219&lt;&gt;""))+((P219=P214)*(Q219="Y")*(R219&lt;&gt;R214)*(S219="Y")*(P219&lt;&gt;"")* (R219&lt;&gt;""))),0)</f>
        <v/>
      </c>
      <c r="W219" s="37">
        <f>IFERROR(SUMPRODUCT(((E219="N")*(D219&lt;&gt;"")* (F219&lt;&gt;""))+((I219="N")*(H219&lt;&gt;"")* (J219&lt;&gt;""))+((M219="N")*(L219&lt;&gt;"")* (N219&lt;&gt;""))+((Q219="N")*(P219&lt;&gt;"")* (R219&lt;&gt;""))),0)</f>
        <v/>
      </c>
      <c r="X219" s="50">
        <f>IFERROR(U219/4,0)</f>
        <v/>
      </c>
    </row>
    <row r="220" ht="18" customHeight="1">
      <c r="B220" s="46">
        <f>'📥 ข้อมูลนักเรียน'!B9</f>
        <v/>
      </c>
      <c r="C220" s="51">
        <f>'📥 ข้อมูลนักเรียน'!C9</f>
        <v/>
      </c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37">
        <f>IFERROR(SUMPRODUCT(((D220=D214)*(E220="Y")*(F220=F214)*(G220="Y")*(D220&lt;&gt;"")* (F220&lt;&gt;""))+((H220=H214)*(I220="Y")*(J220=J214)*(K220="Y")*(H220&lt;&gt;"")* (J220&lt;&gt;""))+((L220=L214)*(M220="Y")*(N220=N214)*(O220="Y")*(L220&lt;&gt;"")* (N220&lt;&gt;""))+((P220=P214)*(Q220="Y")*(R220=R214)*(S220="Y")*(P220&lt;&gt;"")* (R220&lt;&gt;""))),0)</f>
        <v/>
      </c>
      <c r="U220" s="49">
        <f>IFERROR(SUMPRODUCT(((D220&lt;&gt;D214)*(E220="Y")*(F220&lt;&gt;F214)*(G220="Y")*(D220&lt;&gt;"")* (F220&lt;&gt;""))+((H220&lt;&gt;H214)*(I220="Y")*(J220&lt;&gt;J214)*(K220="Y")*(H220&lt;&gt;"")* (J220&lt;&gt;""))+((L220&lt;&gt;L214)*(M220="Y")*(N220&lt;&gt;N214)*(O220="Y")*(L220&lt;&gt;"")* (N220&lt;&gt;""))+((P220&lt;&gt;P214)*(Q220="Y")*(R220&lt;&gt;R214)*(S220="Y")*(P220&lt;&gt;"")* (R220&lt;&gt;""))),0)</f>
        <v/>
      </c>
      <c r="V220" s="37">
        <f>IFERROR(SUMPRODUCT(((D220=D214)*(E220="Y")*(F220&lt;&gt;F214)*(G220="Y")*(D220&lt;&gt;"")* (F220&lt;&gt;""))+((H220=H214)*(I220="Y")*(J220&lt;&gt;J214)*(K220="Y")*(H220&lt;&gt;"")* (J220&lt;&gt;""))+((L220=L214)*(M220="Y")*(N220&lt;&gt;N214)*(O220="Y")*(L220&lt;&gt;"")* (N220&lt;&gt;""))+((P220=P214)*(Q220="Y")*(R220&lt;&gt;R214)*(S220="Y")*(P220&lt;&gt;"")* (R220&lt;&gt;""))),0)</f>
        <v/>
      </c>
      <c r="W220" s="37">
        <f>IFERROR(SUMPRODUCT(((E220="N")*(D220&lt;&gt;"")* (F220&lt;&gt;""))+((I220="N")*(H220&lt;&gt;"")* (J220&lt;&gt;""))+((M220="N")*(L220&lt;&gt;"")* (N220&lt;&gt;""))+((Q220="N")*(P220&lt;&gt;"")* (R220&lt;&gt;""))),0)</f>
        <v/>
      </c>
      <c r="X220" s="50">
        <f>IFERROR(U220/4,0)</f>
        <v/>
      </c>
    </row>
    <row r="221" ht="18" customHeight="1">
      <c r="B221" s="46">
        <f>'📥 ข้อมูลนักเรียน'!B10</f>
        <v/>
      </c>
      <c r="C221" s="47">
        <f>'📥 ข้อมูลนักเรียน'!C10</f>
        <v/>
      </c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37">
        <f>IFERROR(SUMPRODUCT(((D221=D214)*(E221="Y")*(F221=F214)*(G221="Y")*(D221&lt;&gt;"")* (F221&lt;&gt;""))+((H221=H214)*(I221="Y")*(J221=J214)*(K221="Y")*(H221&lt;&gt;"")* (J221&lt;&gt;""))+((L221=L214)*(M221="Y")*(N221=N214)*(O221="Y")*(L221&lt;&gt;"")* (N221&lt;&gt;""))+((P221=P214)*(Q221="Y")*(R221=R214)*(S221="Y")*(P221&lt;&gt;"")* (R221&lt;&gt;""))),0)</f>
        <v/>
      </c>
      <c r="U221" s="49">
        <f>IFERROR(SUMPRODUCT(((D221&lt;&gt;D214)*(E221="Y")*(F221&lt;&gt;F214)*(G221="Y")*(D221&lt;&gt;"")* (F221&lt;&gt;""))+((H221&lt;&gt;H214)*(I221="Y")*(J221&lt;&gt;J214)*(K221="Y")*(H221&lt;&gt;"")* (J221&lt;&gt;""))+((L221&lt;&gt;L214)*(M221="Y")*(N221&lt;&gt;N214)*(O221="Y")*(L221&lt;&gt;"")* (N221&lt;&gt;""))+((P221&lt;&gt;P214)*(Q221="Y")*(R221&lt;&gt;R214)*(S221="Y")*(P221&lt;&gt;"")* (R221&lt;&gt;""))),0)</f>
        <v/>
      </c>
      <c r="V221" s="37">
        <f>IFERROR(SUMPRODUCT(((D221=D214)*(E221="Y")*(F221&lt;&gt;F214)*(G221="Y")*(D221&lt;&gt;"")* (F221&lt;&gt;""))+((H221=H214)*(I221="Y")*(J221&lt;&gt;J214)*(K221="Y")*(H221&lt;&gt;"")* (J221&lt;&gt;""))+((L221=L214)*(M221="Y")*(N221&lt;&gt;N214)*(O221="Y")*(L221&lt;&gt;"")* (N221&lt;&gt;""))+((P221=P214)*(Q221="Y")*(R221&lt;&gt;R214)*(S221="Y")*(P221&lt;&gt;"")* (R221&lt;&gt;""))),0)</f>
        <v/>
      </c>
      <c r="W221" s="37">
        <f>IFERROR(SUMPRODUCT(((E221="N")*(D221&lt;&gt;"")* (F221&lt;&gt;""))+((I221="N")*(H221&lt;&gt;"")* (J221&lt;&gt;""))+((M221="N")*(L221&lt;&gt;"")* (N221&lt;&gt;""))+((Q221="N")*(P221&lt;&gt;"")* (R221&lt;&gt;""))),0)</f>
        <v/>
      </c>
      <c r="X221" s="50">
        <f>IFERROR(U221/4,0)</f>
        <v/>
      </c>
    </row>
    <row r="222" ht="18" customHeight="1">
      <c r="B222" s="46">
        <f>'📥 ข้อมูลนักเรียน'!B11</f>
        <v/>
      </c>
      <c r="C222" s="51">
        <f>'📥 ข้อมูลนักเรียน'!C11</f>
        <v/>
      </c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37">
        <f>IFERROR(SUMPRODUCT(((D222=D214)*(E222="Y")*(F222=F214)*(G222="Y")*(D222&lt;&gt;"")* (F222&lt;&gt;""))+((H222=H214)*(I222="Y")*(J222=J214)*(K222="Y")*(H222&lt;&gt;"")* (J222&lt;&gt;""))+((L222=L214)*(M222="Y")*(N222=N214)*(O222="Y")*(L222&lt;&gt;"")* (N222&lt;&gt;""))+((P222=P214)*(Q222="Y")*(R222=R214)*(S222="Y")*(P222&lt;&gt;"")* (R222&lt;&gt;""))),0)</f>
        <v/>
      </c>
      <c r="U222" s="49">
        <f>IFERROR(SUMPRODUCT(((D222&lt;&gt;D214)*(E222="Y")*(F222&lt;&gt;F214)*(G222="Y")*(D222&lt;&gt;"")* (F222&lt;&gt;""))+((H222&lt;&gt;H214)*(I222="Y")*(J222&lt;&gt;J214)*(K222="Y")*(H222&lt;&gt;"")* (J222&lt;&gt;""))+((L222&lt;&gt;L214)*(M222="Y")*(N222&lt;&gt;N214)*(O222="Y")*(L222&lt;&gt;"")* (N222&lt;&gt;""))+((P222&lt;&gt;P214)*(Q222="Y")*(R222&lt;&gt;R214)*(S222="Y")*(P222&lt;&gt;"")* (R222&lt;&gt;""))),0)</f>
        <v/>
      </c>
      <c r="V222" s="37">
        <f>IFERROR(SUMPRODUCT(((D222=D214)*(E222="Y")*(F222&lt;&gt;F214)*(G222="Y")*(D222&lt;&gt;"")* (F222&lt;&gt;""))+((H222=H214)*(I222="Y")*(J222&lt;&gt;J214)*(K222="Y")*(H222&lt;&gt;"")* (J222&lt;&gt;""))+((L222=L214)*(M222="Y")*(N222&lt;&gt;N214)*(O222="Y")*(L222&lt;&gt;"")* (N222&lt;&gt;""))+((P222=P214)*(Q222="Y")*(R222&lt;&gt;R214)*(S222="Y")*(P222&lt;&gt;"")* (R222&lt;&gt;""))),0)</f>
        <v/>
      </c>
      <c r="W222" s="37">
        <f>IFERROR(SUMPRODUCT(((E222="N")*(D222&lt;&gt;"")* (F222&lt;&gt;""))+((I222="N")*(H222&lt;&gt;"")* (J222&lt;&gt;""))+((M222="N")*(L222&lt;&gt;"")* (N222&lt;&gt;""))+((Q222="N")*(P222&lt;&gt;"")* (R222&lt;&gt;""))),0)</f>
        <v/>
      </c>
      <c r="X222" s="50">
        <f>IFERROR(U222/4,0)</f>
        <v/>
      </c>
    </row>
    <row r="223" ht="18" customHeight="1">
      <c r="B223" s="46">
        <f>'📥 ข้อมูลนักเรียน'!B12</f>
        <v/>
      </c>
      <c r="C223" s="47">
        <f>'📥 ข้อมูลนักเรียน'!C12</f>
        <v/>
      </c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37">
        <f>IFERROR(SUMPRODUCT(((D223=D214)*(E223="Y")*(F223=F214)*(G223="Y")*(D223&lt;&gt;"")* (F223&lt;&gt;""))+((H223=H214)*(I223="Y")*(J223=J214)*(K223="Y")*(H223&lt;&gt;"")* (J223&lt;&gt;""))+((L223=L214)*(M223="Y")*(N223=N214)*(O223="Y")*(L223&lt;&gt;"")* (N223&lt;&gt;""))+((P223=P214)*(Q223="Y")*(R223=R214)*(S223="Y")*(P223&lt;&gt;"")* (R223&lt;&gt;""))),0)</f>
        <v/>
      </c>
      <c r="U223" s="49">
        <f>IFERROR(SUMPRODUCT(((D223&lt;&gt;D214)*(E223="Y")*(F223&lt;&gt;F214)*(G223="Y")*(D223&lt;&gt;"")* (F223&lt;&gt;""))+((H223&lt;&gt;H214)*(I223="Y")*(J223&lt;&gt;J214)*(K223="Y")*(H223&lt;&gt;"")* (J223&lt;&gt;""))+((L223&lt;&gt;L214)*(M223="Y")*(N223&lt;&gt;N214)*(O223="Y")*(L223&lt;&gt;"")* (N223&lt;&gt;""))+((P223&lt;&gt;P214)*(Q223="Y")*(R223&lt;&gt;R214)*(S223="Y")*(P223&lt;&gt;"")* (R223&lt;&gt;""))),0)</f>
        <v/>
      </c>
      <c r="V223" s="37">
        <f>IFERROR(SUMPRODUCT(((D223=D214)*(E223="Y")*(F223&lt;&gt;F214)*(G223="Y")*(D223&lt;&gt;"")* (F223&lt;&gt;""))+((H223=H214)*(I223="Y")*(J223&lt;&gt;J214)*(K223="Y")*(H223&lt;&gt;"")* (J223&lt;&gt;""))+((L223=L214)*(M223="Y")*(N223&lt;&gt;N214)*(O223="Y")*(L223&lt;&gt;"")* (N223&lt;&gt;""))+((P223=P214)*(Q223="Y")*(R223&lt;&gt;R214)*(S223="Y")*(P223&lt;&gt;"")* (R223&lt;&gt;""))),0)</f>
        <v/>
      </c>
      <c r="W223" s="37">
        <f>IFERROR(SUMPRODUCT(((E223="N")*(D223&lt;&gt;"")* (F223&lt;&gt;""))+((I223="N")*(H223&lt;&gt;"")* (J223&lt;&gt;""))+((M223="N")*(L223&lt;&gt;"")* (N223&lt;&gt;""))+((Q223="N")*(P223&lt;&gt;"")* (R223&lt;&gt;""))),0)</f>
        <v/>
      </c>
      <c r="X223" s="50">
        <f>IFERROR(U223/4,0)</f>
        <v/>
      </c>
    </row>
    <row r="224" ht="18" customHeight="1">
      <c r="B224" s="46">
        <f>'📥 ข้อมูลนักเรียน'!B13</f>
        <v/>
      </c>
      <c r="C224" s="51">
        <f>'📥 ข้อมูลนักเรียน'!C13</f>
        <v/>
      </c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37">
        <f>IFERROR(SUMPRODUCT(((D224=D214)*(E224="Y")*(F224=F214)*(G224="Y")*(D224&lt;&gt;"")* (F224&lt;&gt;""))+((H224=H214)*(I224="Y")*(J224=J214)*(K224="Y")*(H224&lt;&gt;"")* (J224&lt;&gt;""))+((L224=L214)*(M224="Y")*(N224=N214)*(O224="Y")*(L224&lt;&gt;"")* (N224&lt;&gt;""))+((P224=P214)*(Q224="Y")*(R224=R214)*(S224="Y")*(P224&lt;&gt;"")* (R224&lt;&gt;""))),0)</f>
        <v/>
      </c>
      <c r="U224" s="49">
        <f>IFERROR(SUMPRODUCT(((D224&lt;&gt;D214)*(E224="Y")*(F224&lt;&gt;F214)*(G224="Y")*(D224&lt;&gt;"")* (F224&lt;&gt;""))+((H224&lt;&gt;H214)*(I224="Y")*(J224&lt;&gt;J214)*(K224="Y")*(H224&lt;&gt;"")* (J224&lt;&gt;""))+((L224&lt;&gt;L214)*(M224="Y")*(N224&lt;&gt;N214)*(O224="Y")*(L224&lt;&gt;"")* (N224&lt;&gt;""))+((P224&lt;&gt;P214)*(Q224="Y")*(R224&lt;&gt;R214)*(S224="Y")*(P224&lt;&gt;"")* (R224&lt;&gt;""))),0)</f>
        <v/>
      </c>
      <c r="V224" s="37">
        <f>IFERROR(SUMPRODUCT(((D224=D214)*(E224="Y")*(F224&lt;&gt;F214)*(G224="Y")*(D224&lt;&gt;"")* (F224&lt;&gt;""))+((H224=H214)*(I224="Y")*(J224&lt;&gt;J214)*(K224="Y")*(H224&lt;&gt;"")* (J224&lt;&gt;""))+((L224=L214)*(M224="Y")*(N224&lt;&gt;N214)*(O224="Y")*(L224&lt;&gt;"")* (N224&lt;&gt;""))+((P224=P214)*(Q224="Y")*(R224&lt;&gt;R214)*(S224="Y")*(P224&lt;&gt;"")* (R224&lt;&gt;""))),0)</f>
        <v/>
      </c>
      <c r="W224" s="37">
        <f>IFERROR(SUMPRODUCT(((E224="N")*(D224&lt;&gt;"")* (F224&lt;&gt;""))+((I224="N")*(H224&lt;&gt;"")* (J224&lt;&gt;""))+((M224="N")*(L224&lt;&gt;"")* (N224&lt;&gt;""))+((Q224="N")*(P224&lt;&gt;"")* (R224&lt;&gt;""))),0)</f>
        <v/>
      </c>
      <c r="X224" s="50">
        <f>IFERROR(U224/4,0)</f>
        <v/>
      </c>
    </row>
    <row r="225" ht="18" customHeight="1">
      <c r="B225" s="46">
        <f>'📥 ข้อมูลนักเรียน'!B14</f>
        <v/>
      </c>
      <c r="C225" s="47">
        <f>'📥 ข้อมูลนักเรียน'!C14</f>
        <v/>
      </c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37">
        <f>IFERROR(SUMPRODUCT(((D225=D214)*(E225="Y")*(F225=F214)*(G225="Y")*(D225&lt;&gt;"")* (F225&lt;&gt;""))+((H225=H214)*(I225="Y")*(J225=J214)*(K225="Y")*(H225&lt;&gt;"")* (J225&lt;&gt;""))+((L225=L214)*(M225="Y")*(N225=N214)*(O225="Y")*(L225&lt;&gt;"")* (N225&lt;&gt;""))+((P225=P214)*(Q225="Y")*(R225=R214)*(S225="Y")*(P225&lt;&gt;"")* (R225&lt;&gt;""))),0)</f>
        <v/>
      </c>
      <c r="U225" s="49">
        <f>IFERROR(SUMPRODUCT(((D225&lt;&gt;D214)*(E225="Y")*(F225&lt;&gt;F214)*(G225="Y")*(D225&lt;&gt;"")* (F225&lt;&gt;""))+((H225&lt;&gt;H214)*(I225="Y")*(J225&lt;&gt;J214)*(K225="Y")*(H225&lt;&gt;"")* (J225&lt;&gt;""))+((L225&lt;&gt;L214)*(M225="Y")*(N225&lt;&gt;N214)*(O225="Y")*(L225&lt;&gt;"")* (N225&lt;&gt;""))+((P225&lt;&gt;P214)*(Q225="Y")*(R225&lt;&gt;R214)*(S225="Y")*(P225&lt;&gt;"")* (R225&lt;&gt;""))),0)</f>
        <v/>
      </c>
      <c r="V225" s="37">
        <f>IFERROR(SUMPRODUCT(((D225=D214)*(E225="Y")*(F225&lt;&gt;F214)*(G225="Y")*(D225&lt;&gt;"")* (F225&lt;&gt;""))+((H225=H214)*(I225="Y")*(J225&lt;&gt;J214)*(K225="Y")*(H225&lt;&gt;"")* (J225&lt;&gt;""))+((L225=L214)*(M225="Y")*(N225&lt;&gt;N214)*(O225="Y")*(L225&lt;&gt;"")* (N225&lt;&gt;""))+((P225=P214)*(Q225="Y")*(R225&lt;&gt;R214)*(S225="Y")*(P225&lt;&gt;"")* (R225&lt;&gt;""))),0)</f>
        <v/>
      </c>
      <c r="W225" s="37">
        <f>IFERROR(SUMPRODUCT(((E225="N")*(D225&lt;&gt;"")* (F225&lt;&gt;""))+((I225="N")*(H225&lt;&gt;"")* (J225&lt;&gt;""))+((M225="N")*(L225&lt;&gt;"")* (N225&lt;&gt;""))+((Q225="N")*(P225&lt;&gt;"")* (R225&lt;&gt;""))),0)</f>
        <v/>
      </c>
      <c r="X225" s="50">
        <f>IFERROR(U225/4,0)</f>
        <v/>
      </c>
    </row>
    <row r="226" ht="18" customHeight="1">
      <c r="B226" s="46">
        <f>'📥 ข้อมูลนักเรียน'!B15</f>
        <v/>
      </c>
      <c r="C226" s="51">
        <f>'📥 ข้อมูลนักเรียน'!C15</f>
        <v/>
      </c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37">
        <f>IFERROR(SUMPRODUCT(((D226=D214)*(E226="Y")*(F226=F214)*(G226="Y")*(D226&lt;&gt;"")* (F226&lt;&gt;""))+((H226=H214)*(I226="Y")*(J226=J214)*(K226="Y")*(H226&lt;&gt;"")* (J226&lt;&gt;""))+((L226=L214)*(M226="Y")*(N226=N214)*(O226="Y")*(L226&lt;&gt;"")* (N226&lt;&gt;""))+((P226=P214)*(Q226="Y")*(R226=R214)*(S226="Y")*(P226&lt;&gt;"")* (R226&lt;&gt;""))),0)</f>
        <v/>
      </c>
      <c r="U226" s="49">
        <f>IFERROR(SUMPRODUCT(((D226&lt;&gt;D214)*(E226="Y")*(F226&lt;&gt;F214)*(G226="Y")*(D226&lt;&gt;"")* (F226&lt;&gt;""))+((H226&lt;&gt;H214)*(I226="Y")*(J226&lt;&gt;J214)*(K226="Y")*(H226&lt;&gt;"")* (J226&lt;&gt;""))+((L226&lt;&gt;L214)*(M226="Y")*(N226&lt;&gt;N214)*(O226="Y")*(L226&lt;&gt;"")* (N226&lt;&gt;""))+((P226&lt;&gt;P214)*(Q226="Y")*(R226&lt;&gt;R214)*(S226="Y")*(P226&lt;&gt;"")* (R226&lt;&gt;""))),0)</f>
        <v/>
      </c>
      <c r="V226" s="37">
        <f>IFERROR(SUMPRODUCT(((D226=D214)*(E226="Y")*(F226&lt;&gt;F214)*(G226="Y")*(D226&lt;&gt;"")* (F226&lt;&gt;""))+((H226=H214)*(I226="Y")*(J226&lt;&gt;J214)*(K226="Y")*(H226&lt;&gt;"")* (J226&lt;&gt;""))+((L226=L214)*(M226="Y")*(N226&lt;&gt;N214)*(O226="Y")*(L226&lt;&gt;"")* (N226&lt;&gt;""))+((P226=P214)*(Q226="Y")*(R226&lt;&gt;R214)*(S226="Y")*(P226&lt;&gt;"")* (R226&lt;&gt;""))),0)</f>
        <v/>
      </c>
      <c r="W226" s="37">
        <f>IFERROR(SUMPRODUCT(((E226="N")*(D226&lt;&gt;"")* (F226&lt;&gt;""))+((I226="N")*(H226&lt;&gt;"")* (J226&lt;&gt;""))+((M226="N")*(L226&lt;&gt;"")* (N226&lt;&gt;""))+((Q226="N")*(P226&lt;&gt;"")* (R226&lt;&gt;""))),0)</f>
        <v/>
      </c>
      <c r="X226" s="50">
        <f>IFERROR(U226/4,0)</f>
        <v/>
      </c>
    </row>
    <row r="227" ht="18" customHeight="1">
      <c r="B227" s="46">
        <f>'📥 ข้อมูลนักเรียน'!B16</f>
        <v/>
      </c>
      <c r="C227" s="47">
        <f>'📥 ข้อมูลนักเรียน'!C16</f>
        <v/>
      </c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37">
        <f>IFERROR(SUMPRODUCT(((D227=D214)*(E227="Y")*(F227=F214)*(G227="Y")*(D227&lt;&gt;"")* (F227&lt;&gt;""))+((H227=H214)*(I227="Y")*(J227=J214)*(K227="Y")*(H227&lt;&gt;"")* (J227&lt;&gt;""))+((L227=L214)*(M227="Y")*(N227=N214)*(O227="Y")*(L227&lt;&gt;"")* (N227&lt;&gt;""))+((P227=P214)*(Q227="Y")*(R227=R214)*(S227="Y")*(P227&lt;&gt;"")* (R227&lt;&gt;""))),0)</f>
        <v/>
      </c>
      <c r="U227" s="49">
        <f>IFERROR(SUMPRODUCT(((D227&lt;&gt;D214)*(E227="Y")*(F227&lt;&gt;F214)*(G227="Y")*(D227&lt;&gt;"")* (F227&lt;&gt;""))+((H227&lt;&gt;H214)*(I227="Y")*(J227&lt;&gt;J214)*(K227="Y")*(H227&lt;&gt;"")* (J227&lt;&gt;""))+((L227&lt;&gt;L214)*(M227="Y")*(N227&lt;&gt;N214)*(O227="Y")*(L227&lt;&gt;"")* (N227&lt;&gt;""))+((P227&lt;&gt;P214)*(Q227="Y")*(R227&lt;&gt;R214)*(S227="Y")*(P227&lt;&gt;"")* (R227&lt;&gt;""))),0)</f>
        <v/>
      </c>
      <c r="V227" s="37">
        <f>IFERROR(SUMPRODUCT(((D227=D214)*(E227="Y")*(F227&lt;&gt;F214)*(G227="Y")*(D227&lt;&gt;"")* (F227&lt;&gt;""))+((H227=H214)*(I227="Y")*(J227&lt;&gt;J214)*(K227="Y")*(H227&lt;&gt;"")* (J227&lt;&gt;""))+((L227=L214)*(M227="Y")*(N227&lt;&gt;N214)*(O227="Y")*(L227&lt;&gt;"")* (N227&lt;&gt;""))+((P227=P214)*(Q227="Y")*(R227&lt;&gt;R214)*(S227="Y")*(P227&lt;&gt;"")* (R227&lt;&gt;""))),0)</f>
        <v/>
      </c>
      <c r="W227" s="37">
        <f>IFERROR(SUMPRODUCT(((E227="N")*(D227&lt;&gt;"")* (F227&lt;&gt;""))+((I227="N")*(H227&lt;&gt;"")* (J227&lt;&gt;""))+((M227="N")*(L227&lt;&gt;"")* (N227&lt;&gt;""))+((Q227="N")*(P227&lt;&gt;"")* (R227&lt;&gt;""))),0)</f>
        <v/>
      </c>
      <c r="X227" s="50">
        <f>IFERROR(U227/4,0)</f>
        <v/>
      </c>
    </row>
    <row r="228" ht="18" customHeight="1">
      <c r="B228" s="46">
        <f>'📥 ข้อมูลนักเรียน'!B17</f>
        <v/>
      </c>
      <c r="C228" s="51">
        <f>'📥 ข้อมูลนักเรียน'!C17</f>
        <v/>
      </c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37">
        <f>IFERROR(SUMPRODUCT(((D228=D214)*(E228="Y")*(F228=F214)*(G228="Y")*(D228&lt;&gt;"")* (F228&lt;&gt;""))+((H228=H214)*(I228="Y")*(J228=J214)*(K228="Y")*(H228&lt;&gt;"")* (J228&lt;&gt;""))+((L228=L214)*(M228="Y")*(N228=N214)*(O228="Y")*(L228&lt;&gt;"")* (N228&lt;&gt;""))+((P228=P214)*(Q228="Y")*(R228=R214)*(S228="Y")*(P228&lt;&gt;"")* (R228&lt;&gt;""))),0)</f>
        <v/>
      </c>
      <c r="U228" s="49">
        <f>IFERROR(SUMPRODUCT(((D228&lt;&gt;D214)*(E228="Y")*(F228&lt;&gt;F214)*(G228="Y")*(D228&lt;&gt;"")* (F228&lt;&gt;""))+((H228&lt;&gt;H214)*(I228="Y")*(J228&lt;&gt;J214)*(K228="Y")*(H228&lt;&gt;"")* (J228&lt;&gt;""))+((L228&lt;&gt;L214)*(M228="Y")*(N228&lt;&gt;N214)*(O228="Y")*(L228&lt;&gt;"")* (N228&lt;&gt;""))+((P228&lt;&gt;P214)*(Q228="Y")*(R228&lt;&gt;R214)*(S228="Y")*(P228&lt;&gt;"")* (R228&lt;&gt;""))),0)</f>
        <v/>
      </c>
      <c r="V228" s="37">
        <f>IFERROR(SUMPRODUCT(((D228=D214)*(E228="Y")*(F228&lt;&gt;F214)*(G228="Y")*(D228&lt;&gt;"")* (F228&lt;&gt;""))+((H228=H214)*(I228="Y")*(J228&lt;&gt;J214)*(K228="Y")*(H228&lt;&gt;"")* (J228&lt;&gt;""))+((L228=L214)*(M228="Y")*(N228&lt;&gt;N214)*(O228="Y")*(L228&lt;&gt;"")* (N228&lt;&gt;""))+((P228=P214)*(Q228="Y")*(R228&lt;&gt;R214)*(S228="Y")*(P228&lt;&gt;"")* (R228&lt;&gt;""))),0)</f>
        <v/>
      </c>
      <c r="W228" s="37">
        <f>IFERROR(SUMPRODUCT(((E228="N")*(D228&lt;&gt;"")* (F228&lt;&gt;""))+((I228="N")*(H228&lt;&gt;"")* (J228&lt;&gt;""))+((M228="N")*(L228&lt;&gt;"")* (N228&lt;&gt;""))+((Q228="N")*(P228&lt;&gt;"")* (R228&lt;&gt;""))),0)</f>
        <v/>
      </c>
      <c r="X228" s="50">
        <f>IFERROR(U228/4,0)</f>
        <v/>
      </c>
    </row>
    <row r="229" ht="18" customHeight="1">
      <c r="B229" s="46">
        <f>'📥 ข้อมูลนักเรียน'!B18</f>
        <v/>
      </c>
      <c r="C229" s="47">
        <f>'📥 ข้อมูลนักเรียน'!C18</f>
        <v/>
      </c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37">
        <f>IFERROR(SUMPRODUCT(((D229=D214)*(E229="Y")*(F229=F214)*(G229="Y")*(D229&lt;&gt;"")*(F229&lt;&gt;""))+((H229=H214)*(I229="Y")*(J229=J214)*(K229="Y")*(H229&lt;&gt;"")*(J229&lt;&gt;""))+((L229=L214)*(M229="Y")*(N229=N214)*(O229="Y")*(L229&lt;&gt;"")*(N229&lt;&gt;""))+((P229=P214)*(Q229="Y")*(R229=R214)*(S229="Y")*(P229&lt;&gt;"")*(R229&lt;&gt;""))),0)</f>
        <v/>
      </c>
      <c r="U229" s="49">
        <f>IFERROR(SUMPRODUCT(((D229&lt;&gt;D214)*(E229="Y")*(F229&lt;&gt;F214)*(G229="Y")*(D229&lt;&gt;"")*(F229&lt;&gt;""))+((H229&lt;&gt;H214)*(I229="Y")*(J229&lt;&gt;J214)*(K229="Y")*(H229&lt;&gt;"")*(J229&lt;&gt;""))+((L229&lt;&gt;L214)*(M229="Y")*(N229&lt;&gt;N214)*(O229="Y")*(L229&lt;&gt;"")*(N229&lt;&gt;""))+((P229&lt;&gt;P214)*(Q229="Y")*(R229&lt;&gt;R214)*(S229="Y")*(P229&lt;&gt;"")*(R229&lt;&gt;""))),0)</f>
        <v/>
      </c>
      <c r="V229" s="37">
        <f>IFERROR(SUMPRODUCT(((D229=D214)*(E229="Y")*(F229&lt;&gt;F214)*(G229="Y")*(D229&lt;&gt;"")*(F229&lt;&gt;""))+((H229=H214)*(I229="Y")*(J229&lt;&gt;J214)*(K229="Y")*(H229&lt;&gt;"")*(J229&lt;&gt;""))+((L229=L214)*(M229="Y")*(N229&lt;&gt;N214)*(O229="Y")*(L229&lt;&gt;"")*(N229&lt;&gt;""))+((P229=P214)*(Q229="Y")*(R229&lt;&gt;R214)*(S229="Y")*(P229&lt;&gt;"")*(R229&lt;&gt;""))),0)</f>
        <v/>
      </c>
      <c r="W229" s="37">
        <f>IFERROR(SUMPRODUCT(((E229="N")*(D229&lt;&gt;"")*(F229&lt;&gt;""))+((I229="N")*(H229&lt;&gt;"")*(J229&lt;&gt;""))+((M229="N")*(L229&lt;&gt;"")*(N229&lt;&gt;""))+((Q229="N")*(P229&lt;&gt;"")*(R229&lt;&gt;""))),0)</f>
        <v/>
      </c>
      <c r="X229" s="50">
        <f>IFERROR(U229/4,0)</f>
        <v/>
      </c>
    </row>
    <row r="230" ht="18" customHeight="1">
      <c r="B230" s="46">
        <f>'📥 ข้อมูลนักเรียน'!B19</f>
        <v/>
      </c>
      <c r="C230" s="51">
        <f>'📥 ข้อมูลนักเรียน'!C19</f>
        <v/>
      </c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37">
        <f>IFERROR(SUMPRODUCT(((D230=D214)*(E230="Y")*(F230=F214)*(G230="Y")*(D230&lt;&gt;"")*(F230&lt;&gt;""))+((H230=H214)*(I230="Y")*(J230=J214)*(K230="Y")*(H230&lt;&gt;"")*(J230&lt;&gt;""))+((L230=L214)*(M230="Y")*(N230=N214)*(O230="Y")*(L230&lt;&gt;"")*(N230&lt;&gt;""))+((P230=P214)*(Q230="Y")*(R230=R214)*(S230="Y")*(P230&lt;&gt;"")*(R230&lt;&gt;""))),0)</f>
        <v/>
      </c>
      <c r="U230" s="49">
        <f>IFERROR(SUMPRODUCT(((D230&lt;&gt;D214)*(E230="Y")*(F230&lt;&gt;F214)*(G230="Y")*(D230&lt;&gt;"")*(F230&lt;&gt;""))+((H230&lt;&gt;H214)*(I230="Y")*(J230&lt;&gt;J214)*(K230="Y")*(H230&lt;&gt;"")*(J230&lt;&gt;""))+((L230&lt;&gt;L214)*(M230="Y")*(N230&lt;&gt;N214)*(O230="Y")*(L230&lt;&gt;"")*(N230&lt;&gt;""))+((P230&lt;&gt;P214)*(Q230="Y")*(R230&lt;&gt;R214)*(S230="Y")*(P230&lt;&gt;"")*(R230&lt;&gt;""))),0)</f>
        <v/>
      </c>
      <c r="V230" s="37">
        <f>IFERROR(SUMPRODUCT(((D230=D214)*(E230="Y")*(F230&lt;&gt;F214)*(G230="Y")*(D230&lt;&gt;"")*(F230&lt;&gt;""))+((H230=H214)*(I230="Y")*(J230&lt;&gt;J214)*(K230="Y")*(H230&lt;&gt;"")*(J230&lt;&gt;""))+((L230=L214)*(M230="Y")*(N230&lt;&gt;N214)*(O230="Y")*(L230&lt;&gt;"")*(N230&lt;&gt;""))+((P230=P214)*(Q230="Y")*(R230&lt;&gt;R214)*(S230="Y")*(P230&lt;&gt;"")*(R230&lt;&gt;""))),0)</f>
        <v/>
      </c>
      <c r="W230" s="37">
        <f>IFERROR(SUMPRODUCT(((E230="N")*(D230&lt;&gt;"")*(F230&lt;&gt;""))+((I230="N")*(H230&lt;&gt;"")*(J230&lt;&gt;""))+((M230="N")*(L230&lt;&gt;"")*(N230&lt;&gt;""))+((Q230="N")*(P230&lt;&gt;"")*(R230&lt;&gt;""))),0)</f>
        <v/>
      </c>
      <c r="X230" s="50">
        <f>IFERROR(U230/4,0)</f>
        <v/>
      </c>
    </row>
    <row r="231" ht="18" customHeight="1">
      <c r="B231" s="46">
        <f>'📥 ข้อมูลนักเรียน'!B20</f>
        <v/>
      </c>
      <c r="C231" s="47">
        <f>'📥 ข้อมูลนักเรียน'!C20</f>
        <v/>
      </c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37">
        <f>IFERROR(SUMPRODUCT(((D231=D214)*(E231="Y")*(F231=F214)*(G231="Y")*(D231&lt;&gt;"")*(F231&lt;&gt;""))+((H231=H214)*(I231="Y")*(J231=J214)*(K231="Y")*(H231&lt;&gt;"")*(J231&lt;&gt;""))+((L231=L214)*(M231="Y")*(N231=N214)*(O231="Y")*(L231&lt;&gt;"")*(N231&lt;&gt;""))+((P231=P214)*(Q231="Y")*(R231=R214)*(S231="Y")*(P231&lt;&gt;"")*(R231&lt;&gt;""))),0)</f>
        <v/>
      </c>
      <c r="U231" s="49">
        <f>IFERROR(SUMPRODUCT(((D231&lt;&gt;D214)*(E231="Y")*(F231&lt;&gt;F214)*(G231="Y")*(D231&lt;&gt;"")*(F231&lt;&gt;""))+((H231&lt;&gt;H214)*(I231="Y")*(J231&lt;&gt;J214)*(K231="Y")*(H231&lt;&gt;"")*(J231&lt;&gt;""))+((L231&lt;&gt;L214)*(M231="Y")*(N231&lt;&gt;N214)*(O231="Y")*(L231&lt;&gt;"")*(N231&lt;&gt;""))+((P231&lt;&gt;P214)*(Q231="Y")*(R231&lt;&gt;R214)*(S231="Y")*(P231&lt;&gt;"")*(R231&lt;&gt;""))),0)</f>
        <v/>
      </c>
      <c r="V231" s="37">
        <f>IFERROR(SUMPRODUCT(((D231=D214)*(E231="Y")*(F231&lt;&gt;F214)*(G231="Y")*(D231&lt;&gt;"")*(F231&lt;&gt;""))+((H231=H214)*(I231="Y")*(J231&lt;&gt;J214)*(K231="Y")*(H231&lt;&gt;"")*(J231&lt;&gt;""))+((L231=L214)*(M231="Y")*(N231&lt;&gt;N214)*(O231="Y")*(L231&lt;&gt;"")*(N231&lt;&gt;""))+((P231=P214)*(Q231="Y")*(R231&lt;&gt;R214)*(S231="Y")*(P231&lt;&gt;"")*(R231&lt;&gt;""))),0)</f>
        <v/>
      </c>
      <c r="W231" s="37">
        <f>IFERROR(SUMPRODUCT(((E231="N")*(D231&lt;&gt;"")*(F231&lt;&gt;""))+((I231="N")*(H231&lt;&gt;"")*(J231&lt;&gt;""))+((M231="N")*(L231&lt;&gt;"")*(N231&lt;&gt;""))+((Q231="N")*(P231&lt;&gt;"")*(R231&lt;&gt;""))),0)</f>
        <v/>
      </c>
      <c r="X231" s="50">
        <f>IFERROR(U231/4,0)</f>
        <v/>
      </c>
    </row>
    <row r="232" ht="18" customHeight="1">
      <c r="B232" s="46">
        <f>'📥 ข้อมูลนักเรียน'!B21</f>
        <v/>
      </c>
      <c r="C232" s="51">
        <f>'📥 ข้อมูลนักเรียน'!C21</f>
        <v/>
      </c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37">
        <f>IFERROR(SUMPRODUCT(((D232=D214)*(E232="Y")*(F232=F214)*(G232="Y")*(D232&lt;&gt;"")*(F232&lt;&gt;""))+((H232=H214)*(I232="Y")*(J232=J214)*(K232="Y")*(H232&lt;&gt;"")*(J232&lt;&gt;""))+((L232=L214)*(M232="Y")*(N232=N214)*(O232="Y")*(L232&lt;&gt;"")*(N232&lt;&gt;""))+((P232=P214)*(Q232="Y")*(R232=R214)*(S232="Y")*(P232&lt;&gt;"")*(R232&lt;&gt;""))),0)</f>
        <v/>
      </c>
      <c r="U232" s="49">
        <f>IFERROR(SUMPRODUCT(((D232&lt;&gt;D214)*(E232="Y")*(F232&lt;&gt;F214)*(G232="Y")*(D232&lt;&gt;"")*(F232&lt;&gt;""))+((H232&lt;&gt;H214)*(I232="Y")*(J232&lt;&gt;J214)*(K232="Y")*(H232&lt;&gt;"")*(J232&lt;&gt;""))+((L232&lt;&gt;L214)*(M232="Y")*(N232&lt;&gt;N214)*(O232="Y")*(L232&lt;&gt;"")*(N232&lt;&gt;""))+((P232&lt;&gt;P214)*(Q232="Y")*(R232&lt;&gt;R214)*(S232="Y")*(P232&lt;&gt;"")*(R232&lt;&gt;""))),0)</f>
        <v/>
      </c>
      <c r="V232" s="37">
        <f>IFERROR(SUMPRODUCT(((D232=D214)*(E232="Y")*(F232&lt;&gt;F214)*(G232="Y")*(D232&lt;&gt;"")*(F232&lt;&gt;""))+((H232=H214)*(I232="Y")*(J232&lt;&gt;J214)*(K232="Y")*(H232&lt;&gt;"")*(J232&lt;&gt;""))+((L232=L214)*(M232="Y")*(N232&lt;&gt;N214)*(O232="Y")*(L232&lt;&gt;"")*(N232&lt;&gt;""))+((P232=P214)*(Q232="Y")*(R232&lt;&gt;R214)*(S232="Y")*(P232&lt;&gt;"")*(R232&lt;&gt;""))),0)</f>
        <v/>
      </c>
      <c r="W232" s="37">
        <f>IFERROR(SUMPRODUCT(((E232="N")*(D232&lt;&gt;"")*(F232&lt;&gt;""))+((I232="N")*(H232&lt;&gt;"")*(J232&lt;&gt;""))+((M232="N")*(L232&lt;&gt;"")*(N232&lt;&gt;""))+((Q232="N")*(P232&lt;&gt;"")*(R232&lt;&gt;""))),0)</f>
        <v/>
      </c>
      <c r="X232" s="50">
        <f>IFERROR(U232/4,0)</f>
        <v/>
      </c>
    </row>
    <row r="233" ht="18" customHeight="1">
      <c r="B233" s="46">
        <f>'📥 ข้อมูลนักเรียน'!B22</f>
        <v/>
      </c>
      <c r="C233" s="47">
        <f>'📥 ข้อมูลนักเรียน'!C22</f>
        <v/>
      </c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37">
        <f>IFERROR(SUMPRODUCT(((D233=D214)*(E233="Y")*(F233=F214)*(G233="Y")*(D233&lt;&gt;"")*(F233&lt;&gt;""))+((H233=H214)*(I233="Y")*(J233=J214)*(K233="Y")*(H233&lt;&gt;"")*(J233&lt;&gt;""))+((L233=L214)*(M233="Y")*(N233=N214)*(O233="Y")*(L233&lt;&gt;"")*(N233&lt;&gt;""))+((P233=P214)*(Q233="Y")*(R233=R214)*(S233="Y")*(P233&lt;&gt;"")*(R233&lt;&gt;""))),0)</f>
        <v/>
      </c>
      <c r="U233" s="49">
        <f>IFERROR(SUMPRODUCT(((D233&lt;&gt;D214)*(E233="Y")*(F233&lt;&gt;F214)*(G233="Y")*(D233&lt;&gt;"")*(F233&lt;&gt;""))+((H233&lt;&gt;H214)*(I233="Y")*(J233&lt;&gt;J214)*(K233="Y")*(H233&lt;&gt;"")*(J233&lt;&gt;""))+((L233&lt;&gt;L214)*(M233="Y")*(N233&lt;&gt;N214)*(O233="Y")*(L233&lt;&gt;"")*(N233&lt;&gt;""))+((P233&lt;&gt;P214)*(Q233="Y")*(R233&lt;&gt;R214)*(S233="Y")*(P233&lt;&gt;"")*(R233&lt;&gt;""))),0)</f>
        <v/>
      </c>
      <c r="V233" s="37">
        <f>IFERROR(SUMPRODUCT(((D233=D214)*(E233="Y")*(F233&lt;&gt;F214)*(G233="Y")*(D233&lt;&gt;"")*(F233&lt;&gt;""))+((H233=H214)*(I233="Y")*(J233&lt;&gt;J214)*(K233="Y")*(H233&lt;&gt;"")*(J233&lt;&gt;""))+((L233=L214)*(M233="Y")*(N233&lt;&gt;N214)*(O233="Y")*(L233&lt;&gt;"")*(N233&lt;&gt;""))+((P233=P214)*(Q233="Y")*(R233&lt;&gt;R214)*(S233="Y")*(P233&lt;&gt;"")*(R233&lt;&gt;""))),0)</f>
        <v/>
      </c>
      <c r="W233" s="37">
        <f>IFERROR(SUMPRODUCT(((E233="N")*(D233&lt;&gt;"")*(F233&lt;&gt;""))+((I233="N")*(H233&lt;&gt;"")*(J233&lt;&gt;""))+((M233="N")*(L233&lt;&gt;"")*(N233&lt;&gt;""))+((Q233="N")*(P233&lt;&gt;"")*(R233&lt;&gt;""))),0)</f>
        <v/>
      </c>
      <c r="X233" s="50">
        <f>IFERROR(U233/4,0)</f>
        <v/>
      </c>
    </row>
    <row r="234" ht="18" customHeight="1">
      <c r="B234" s="46">
        <f>'📥 ข้อมูลนักเรียน'!B23</f>
        <v/>
      </c>
      <c r="C234" s="51">
        <f>'📥 ข้อมูลนักเรียน'!C23</f>
        <v/>
      </c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37">
        <f>IFERROR(SUMPRODUCT(((D234=D214)*(E234="Y")*(F234=F214)*(G234="Y")*(D234&lt;&gt;"")*(F234&lt;&gt;""))+((H234=H214)*(I234="Y")*(J234=J214)*(K234="Y")*(H234&lt;&gt;"")*(J234&lt;&gt;""))+((L234=L214)*(M234="Y")*(N234=N214)*(O234="Y")*(L234&lt;&gt;"")*(N234&lt;&gt;""))+((P234=P214)*(Q234="Y")*(R234=R214)*(S234="Y")*(P234&lt;&gt;"")*(R234&lt;&gt;""))),0)</f>
        <v/>
      </c>
      <c r="U234" s="49">
        <f>IFERROR(SUMPRODUCT(((D234&lt;&gt;D214)*(E234="Y")*(F234&lt;&gt;F214)*(G234="Y")*(D234&lt;&gt;"")*(F234&lt;&gt;""))+((H234&lt;&gt;H214)*(I234="Y")*(J234&lt;&gt;J214)*(K234="Y")*(H234&lt;&gt;"")*(J234&lt;&gt;""))+((L234&lt;&gt;L214)*(M234="Y")*(N234&lt;&gt;N214)*(O234="Y")*(L234&lt;&gt;"")*(N234&lt;&gt;""))+((P234&lt;&gt;P214)*(Q234="Y")*(R234&lt;&gt;R214)*(S234="Y")*(P234&lt;&gt;"")*(R234&lt;&gt;""))),0)</f>
        <v/>
      </c>
      <c r="V234" s="37">
        <f>IFERROR(SUMPRODUCT(((D234=D214)*(E234="Y")*(F234&lt;&gt;F214)*(G234="Y")*(D234&lt;&gt;"")*(F234&lt;&gt;""))+((H234=H214)*(I234="Y")*(J234&lt;&gt;J214)*(K234="Y")*(H234&lt;&gt;"")*(J234&lt;&gt;""))+((L234=L214)*(M234="Y")*(N234&lt;&gt;N214)*(O234="Y")*(L234&lt;&gt;"")*(N234&lt;&gt;""))+((P234=P214)*(Q234="Y")*(R234&lt;&gt;R214)*(S234="Y")*(P234&lt;&gt;"")*(R234&lt;&gt;""))),0)</f>
        <v/>
      </c>
      <c r="W234" s="37">
        <f>IFERROR(SUMPRODUCT(((E234="N")*(D234&lt;&gt;"")*(F234&lt;&gt;""))+((I234="N")*(H234&lt;&gt;"")*(J234&lt;&gt;""))+((M234="N")*(L234&lt;&gt;"")*(N234&lt;&gt;""))+((Q234="N")*(P234&lt;&gt;"")*(R234&lt;&gt;""))),0)</f>
        <v/>
      </c>
      <c r="X234" s="50">
        <f>IFERROR(U234/4,0)</f>
        <v/>
      </c>
    </row>
    <row r="235" ht="18" customHeight="1">
      <c r="B235" s="46">
        <f>'📥 ข้อมูลนักเรียน'!B24</f>
        <v/>
      </c>
      <c r="C235" s="47">
        <f>'📥 ข้อมูลนักเรียน'!C24</f>
        <v/>
      </c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37">
        <f>IFERROR(SUMPRODUCT(((D235=D214)*(E235="Y")*(F235=F214)*(G235="Y")*(D235&lt;&gt;"")*(F235&lt;&gt;""))+((H235=H214)*(I235="Y")*(J235=J214)*(K235="Y")*(H235&lt;&gt;"")*(J235&lt;&gt;""))+((L235=L214)*(M235="Y")*(N235=N214)*(O235="Y")*(L235&lt;&gt;"")*(N235&lt;&gt;""))+((P235=P214)*(Q235="Y")*(R235=R214)*(S235="Y")*(P235&lt;&gt;"")*(R235&lt;&gt;""))),0)</f>
        <v/>
      </c>
      <c r="U235" s="49">
        <f>IFERROR(SUMPRODUCT(((D235&lt;&gt;D214)*(E235="Y")*(F235&lt;&gt;F214)*(G235="Y")*(D235&lt;&gt;"")*(F235&lt;&gt;""))+((H235&lt;&gt;H214)*(I235="Y")*(J235&lt;&gt;J214)*(K235="Y")*(H235&lt;&gt;"")*(J235&lt;&gt;""))+((L235&lt;&gt;L214)*(M235="Y")*(N235&lt;&gt;N214)*(O235="Y")*(L235&lt;&gt;"")*(N235&lt;&gt;""))+((P235&lt;&gt;P214)*(Q235="Y")*(R235&lt;&gt;R214)*(S235="Y")*(P235&lt;&gt;"")*(R235&lt;&gt;""))),0)</f>
        <v/>
      </c>
      <c r="V235" s="37">
        <f>IFERROR(SUMPRODUCT(((D235=D214)*(E235="Y")*(F235&lt;&gt;F214)*(G235="Y")*(D235&lt;&gt;"")*(F235&lt;&gt;""))+((H235=H214)*(I235="Y")*(J235&lt;&gt;J214)*(K235="Y")*(H235&lt;&gt;"")*(J235&lt;&gt;""))+((L235=L214)*(M235="Y")*(N235&lt;&gt;N214)*(O235="Y")*(L235&lt;&gt;"")*(N235&lt;&gt;""))+((P235=P214)*(Q235="Y")*(R235&lt;&gt;R214)*(S235="Y")*(P235&lt;&gt;"")*(R235&lt;&gt;""))),0)</f>
        <v/>
      </c>
      <c r="W235" s="37">
        <f>IFERROR(SUMPRODUCT(((E235="N")*(D235&lt;&gt;"")*(F235&lt;&gt;""))+((I235="N")*(H235&lt;&gt;"")*(J235&lt;&gt;""))+((M235="N")*(L235&lt;&gt;"")*(N235&lt;&gt;""))+((Q235="N")*(P235&lt;&gt;"")*(R235&lt;&gt;""))),0)</f>
        <v/>
      </c>
      <c r="X235" s="50">
        <f>IFERROR(U235/4,0)</f>
        <v/>
      </c>
    </row>
    <row r="236" ht="18" customHeight="1">
      <c r="B236" s="46">
        <f>'📥 ข้อมูลนักเรียน'!B25</f>
        <v/>
      </c>
      <c r="C236" s="51">
        <f>'📥 ข้อมูลนักเรียน'!C25</f>
        <v/>
      </c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37">
        <f>IFERROR(SUMPRODUCT(((D236=D214)*(E236="Y")*(F236=F214)*(G236="Y")*(D236&lt;&gt;"")*(F236&lt;&gt;""))+((H236=H214)*(I236="Y")*(J236=J214)*(K236="Y")*(H236&lt;&gt;"")*(J236&lt;&gt;""))+((L236=L214)*(M236="Y")*(N236=N214)*(O236="Y")*(L236&lt;&gt;"")*(N236&lt;&gt;""))+((P236=P214)*(Q236="Y")*(R236=R214)*(S236="Y")*(P236&lt;&gt;"")*(R236&lt;&gt;""))),0)</f>
        <v/>
      </c>
      <c r="U236" s="49">
        <f>IFERROR(SUMPRODUCT(((D236&lt;&gt;D214)*(E236="Y")*(F236&lt;&gt;F214)*(G236="Y")*(D236&lt;&gt;"")*(F236&lt;&gt;""))+((H236&lt;&gt;H214)*(I236="Y")*(J236&lt;&gt;J214)*(K236="Y")*(H236&lt;&gt;"")*(J236&lt;&gt;""))+((L236&lt;&gt;L214)*(M236="Y")*(N236&lt;&gt;N214)*(O236="Y")*(L236&lt;&gt;"")*(N236&lt;&gt;""))+((P236&lt;&gt;P214)*(Q236="Y")*(R236&lt;&gt;R214)*(S236="Y")*(P236&lt;&gt;"")*(R236&lt;&gt;""))),0)</f>
        <v/>
      </c>
      <c r="V236" s="37">
        <f>IFERROR(SUMPRODUCT(((D236=D214)*(E236="Y")*(F236&lt;&gt;F214)*(G236="Y")*(D236&lt;&gt;"")*(F236&lt;&gt;""))+((H236=H214)*(I236="Y")*(J236&lt;&gt;J214)*(K236="Y")*(H236&lt;&gt;"")*(J236&lt;&gt;""))+((L236=L214)*(M236="Y")*(N236&lt;&gt;N214)*(O236="Y")*(L236&lt;&gt;"")*(N236&lt;&gt;""))+((P236=P214)*(Q236="Y")*(R236&lt;&gt;R214)*(S236="Y")*(P236&lt;&gt;"")*(R236&lt;&gt;""))),0)</f>
        <v/>
      </c>
      <c r="W236" s="37">
        <f>IFERROR(SUMPRODUCT(((E236="N")*(D236&lt;&gt;"")*(F236&lt;&gt;""))+((I236="N")*(H236&lt;&gt;"")*(J236&lt;&gt;""))+((M236="N")*(L236&lt;&gt;"")*(N236&lt;&gt;""))+((Q236="N")*(P236&lt;&gt;"")*(R236&lt;&gt;""))),0)</f>
        <v/>
      </c>
      <c r="X236" s="50">
        <f>IFERROR(U236/4,0)</f>
        <v/>
      </c>
    </row>
    <row r="237" ht="18" customHeight="1">
      <c r="B237" s="46">
        <f>'📥 ข้อมูลนักเรียน'!B26</f>
        <v/>
      </c>
      <c r="C237" s="47">
        <f>'📥 ข้อมูลนักเรียน'!C26</f>
        <v/>
      </c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37">
        <f>IFERROR(SUMPRODUCT(((D237=D214)*(E237="Y")*(F237=F214)*(G237="Y")*(D237&lt;&gt;"")*(F237&lt;&gt;""))+((H237=H214)*(I237="Y")*(J237=J214)*(K237="Y")*(H237&lt;&gt;"")*(J237&lt;&gt;""))+((L237=L214)*(M237="Y")*(N237=N214)*(O237="Y")*(L237&lt;&gt;"")*(N237&lt;&gt;""))+((P237=P214)*(Q237="Y")*(R237=R214)*(S237="Y")*(P237&lt;&gt;"")*(R237&lt;&gt;""))),0)</f>
        <v/>
      </c>
      <c r="U237" s="49">
        <f>IFERROR(SUMPRODUCT(((D237&lt;&gt;D214)*(E237="Y")*(F237&lt;&gt;F214)*(G237="Y")*(D237&lt;&gt;"")*(F237&lt;&gt;""))+((H237&lt;&gt;H214)*(I237="Y")*(J237&lt;&gt;J214)*(K237="Y")*(H237&lt;&gt;"")*(J237&lt;&gt;""))+((L237&lt;&gt;L214)*(M237="Y")*(N237&lt;&gt;N214)*(O237="Y")*(L237&lt;&gt;"")*(N237&lt;&gt;""))+((P237&lt;&gt;P214)*(Q237="Y")*(R237&lt;&gt;R214)*(S237="Y")*(P237&lt;&gt;"")*(R237&lt;&gt;""))),0)</f>
        <v/>
      </c>
      <c r="V237" s="37">
        <f>IFERROR(SUMPRODUCT(((D237=D214)*(E237="Y")*(F237&lt;&gt;F214)*(G237="Y")*(D237&lt;&gt;"")*(F237&lt;&gt;""))+((H237=H214)*(I237="Y")*(J237&lt;&gt;J214)*(K237="Y")*(H237&lt;&gt;"")*(J237&lt;&gt;""))+((L237=L214)*(M237="Y")*(N237&lt;&gt;N214)*(O237="Y")*(L237&lt;&gt;"")*(N237&lt;&gt;""))+((P237=P214)*(Q237="Y")*(R237&lt;&gt;R214)*(S237="Y")*(P237&lt;&gt;"")*(R237&lt;&gt;""))),0)</f>
        <v/>
      </c>
      <c r="W237" s="37">
        <f>IFERROR(SUMPRODUCT(((E237="N")*(D237&lt;&gt;"")*(F237&lt;&gt;""))+((I237="N")*(H237&lt;&gt;"")*(J237&lt;&gt;""))+((M237="N")*(L237&lt;&gt;"")*(N237&lt;&gt;""))+((Q237="N")*(P237&lt;&gt;"")*(R237&lt;&gt;""))),0)</f>
        <v/>
      </c>
      <c r="X237" s="50">
        <f>IFERROR(U237/4,0)</f>
        <v/>
      </c>
    </row>
    <row r="238" ht="18" customHeight="1">
      <c r="B238" s="46">
        <f>'📥 ข้อมูลนักเรียน'!B27</f>
        <v/>
      </c>
      <c r="C238" s="51">
        <f>'📥 ข้อมูลนักเรียน'!C27</f>
        <v/>
      </c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37">
        <f>IFERROR(SUMPRODUCT(((D238=D214)*(E238="Y")*(F238=F214)*(G238="Y")*(D238&lt;&gt;"")*(F238&lt;&gt;""))+((H238=H214)*(I238="Y")*(J238=J214)*(K238="Y")*(H238&lt;&gt;"")*(J238&lt;&gt;""))+((L238=L214)*(M238="Y")*(N238=N214)*(O238="Y")*(L238&lt;&gt;"")*(N238&lt;&gt;""))+((P238=P214)*(Q238="Y")*(R238=R214)*(S238="Y")*(P238&lt;&gt;"")*(R238&lt;&gt;""))),0)</f>
        <v/>
      </c>
      <c r="U238" s="49">
        <f>IFERROR(SUMPRODUCT(((D238&lt;&gt;D214)*(E238="Y")*(F238&lt;&gt;F214)*(G238="Y")*(D238&lt;&gt;"")*(F238&lt;&gt;""))+((H238&lt;&gt;H214)*(I238="Y")*(J238&lt;&gt;J214)*(K238="Y")*(H238&lt;&gt;"")*(J238&lt;&gt;""))+((L238&lt;&gt;L214)*(M238="Y")*(N238&lt;&gt;N214)*(O238="Y")*(L238&lt;&gt;"")*(N238&lt;&gt;""))+((P238&lt;&gt;P214)*(Q238="Y")*(R238&lt;&gt;R214)*(S238="Y")*(P238&lt;&gt;"")*(R238&lt;&gt;""))),0)</f>
        <v/>
      </c>
      <c r="V238" s="37">
        <f>IFERROR(SUMPRODUCT(((D238=D214)*(E238="Y")*(F238&lt;&gt;F214)*(G238="Y")*(D238&lt;&gt;"")*(F238&lt;&gt;""))+((H238=H214)*(I238="Y")*(J238&lt;&gt;J214)*(K238="Y")*(H238&lt;&gt;"")*(J238&lt;&gt;""))+((L238=L214)*(M238="Y")*(N238&lt;&gt;N214)*(O238="Y")*(L238&lt;&gt;"")*(N238&lt;&gt;""))+((P238=P214)*(Q238="Y")*(R238&lt;&gt;R214)*(S238="Y")*(P238&lt;&gt;"")*(R238&lt;&gt;""))),0)</f>
        <v/>
      </c>
      <c r="W238" s="37">
        <f>IFERROR(SUMPRODUCT(((E238="N")*(D238&lt;&gt;"")*(F238&lt;&gt;""))+((I238="N")*(H238&lt;&gt;"")*(J238&lt;&gt;""))+((M238="N")*(L238&lt;&gt;"")*(N238&lt;&gt;""))+((Q238="N")*(P238&lt;&gt;"")*(R238&lt;&gt;""))),0)</f>
        <v/>
      </c>
      <c r="X238" s="50">
        <f>IFERROR(U238/4,0)</f>
        <v/>
      </c>
    </row>
    <row r="239" ht="18" customHeight="1">
      <c r="B239" s="46">
        <f>'📥 ข้อมูลนักเรียน'!B28</f>
        <v/>
      </c>
      <c r="C239" s="47">
        <f>'📥 ข้อมูลนักเรียน'!C28</f>
        <v/>
      </c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37">
        <f>IFERROR(SUMPRODUCT(((D239=D214)*(E239="Y")*(F239=F214)*(G239="Y")*(D239&lt;&gt;"")*(F239&lt;&gt;""))+((H239=H214)*(I239="Y")*(J239=J214)*(K239="Y")*(H239&lt;&gt;"")*(J239&lt;&gt;""))+((L239=L214)*(M239="Y")*(N239=N214)*(O239="Y")*(L239&lt;&gt;"")*(N239&lt;&gt;""))+((P239=P214)*(Q239="Y")*(R239=R214)*(S239="Y")*(P239&lt;&gt;"")*(R239&lt;&gt;""))),0)</f>
        <v/>
      </c>
      <c r="U239" s="49">
        <f>IFERROR(SUMPRODUCT(((D239&lt;&gt;D214)*(E239="Y")*(F239&lt;&gt;F214)*(G239="Y")*(D239&lt;&gt;"")*(F239&lt;&gt;""))+((H239&lt;&gt;H214)*(I239="Y")*(J239&lt;&gt;J214)*(K239="Y")*(H239&lt;&gt;"")*(J239&lt;&gt;""))+((L239&lt;&gt;L214)*(M239="Y")*(N239&lt;&gt;N214)*(O239="Y")*(L239&lt;&gt;"")*(N239&lt;&gt;""))+((P239&lt;&gt;P214)*(Q239="Y")*(R239&lt;&gt;R214)*(S239="Y")*(P239&lt;&gt;"")*(R239&lt;&gt;""))),0)</f>
        <v/>
      </c>
      <c r="V239" s="37">
        <f>IFERROR(SUMPRODUCT(((D239=D214)*(E239="Y")*(F239&lt;&gt;F214)*(G239="Y")*(D239&lt;&gt;"")*(F239&lt;&gt;""))+((H239=H214)*(I239="Y")*(J239&lt;&gt;J214)*(K239="Y")*(H239&lt;&gt;"")*(J239&lt;&gt;""))+((L239=L214)*(M239="Y")*(N239&lt;&gt;N214)*(O239="Y")*(L239&lt;&gt;"")*(N239&lt;&gt;""))+((P239=P214)*(Q239="Y")*(R239&lt;&gt;R214)*(S239="Y")*(P239&lt;&gt;"")*(R239&lt;&gt;""))),0)</f>
        <v/>
      </c>
      <c r="W239" s="37">
        <f>IFERROR(SUMPRODUCT(((E239="N")*(D239&lt;&gt;"")*(F239&lt;&gt;""))+((I239="N")*(H239&lt;&gt;"")*(J239&lt;&gt;""))+((M239="N")*(L239&lt;&gt;"")*(N239&lt;&gt;""))+((Q239="N")*(P239&lt;&gt;"")*(R239&lt;&gt;""))),0)</f>
        <v/>
      </c>
      <c r="X239" s="50">
        <f>IFERROR(U239/4,0)</f>
        <v/>
      </c>
    </row>
    <row r="240" ht="18" customHeight="1">
      <c r="B240" s="46">
        <f>'📥 ข้อมูลนักเรียน'!B29</f>
        <v/>
      </c>
      <c r="C240" s="51">
        <f>'📥 ข้อมูลนักเรียน'!C29</f>
        <v/>
      </c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37">
        <f>IFERROR(SUMPRODUCT(((D240=D214)*(E240="Y")*(F240=F214)*(G240="Y")*(D240&lt;&gt;"")*(F240&lt;&gt;""))+((H240=H214)*(I240="Y")*(J240=J214)*(K240="Y")*(H240&lt;&gt;"")*(J240&lt;&gt;""))+((L240=L214)*(M240="Y")*(N240=N214)*(O240="Y")*(L240&lt;&gt;"")*(N240&lt;&gt;""))+((P240=P214)*(Q240="Y")*(R240=R214)*(S240="Y")*(P240&lt;&gt;"")*(R240&lt;&gt;""))),0)</f>
        <v/>
      </c>
      <c r="U240" s="49">
        <f>IFERROR(SUMPRODUCT(((D240&lt;&gt;D214)*(E240="Y")*(F240&lt;&gt;F214)*(G240="Y")*(D240&lt;&gt;"")*(F240&lt;&gt;""))+((H240&lt;&gt;H214)*(I240="Y")*(J240&lt;&gt;J214)*(K240="Y")*(H240&lt;&gt;"")*(J240&lt;&gt;""))+((L240&lt;&gt;L214)*(M240="Y")*(N240&lt;&gt;N214)*(O240="Y")*(L240&lt;&gt;"")*(N240&lt;&gt;""))+((P240&lt;&gt;P214)*(Q240="Y")*(R240&lt;&gt;R214)*(S240="Y")*(P240&lt;&gt;"")*(R240&lt;&gt;""))),0)</f>
        <v/>
      </c>
      <c r="V240" s="37">
        <f>IFERROR(SUMPRODUCT(((D240=D214)*(E240="Y")*(F240&lt;&gt;F214)*(G240="Y")*(D240&lt;&gt;"")*(F240&lt;&gt;""))+((H240=H214)*(I240="Y")*(J240&lt;&gt;J214)*(K240="Y")*(H240&lt;&gt;"")*(J240&lt;&gt;""))+((L240=L214)*(M240="Y")*(N240&lt;&gt;N214)*(O240="Y")*(L240&lt;&gt;"")*(N240&lt;&gt;""))+((P240=P214)*(Q240="Y")*(R240&lt;&gt;R214)*(S240="Y")*(P240&lt;&gt;"")*(R240&lt;&gt;""))),0)</f>
        <v/>
      </c>
      <c r="W240" s="37">
        <f>IFERROR(SUMPRODUCT(((E240="N")*(D240&lt;&gt;"")*(F240&lt;&gt;""))+((I240="N")*(H240&lt;&gt;"")*(J240&lt;&gt;""))+((M240="N")*(L240&lt;&gt;"")*(N240&lt;&gt;""))+((Q240="N")*(P240&lt;&gt;"")*(R240&lt;&gt;""))),0)</f>
        <v/>
      </c>
      <c r="X240" s="50">
        <f>IFERROR(U240/4,0)</f>
        <v/>
      </c>
    </row>
    <row r="241" ht="18" customHeight="1">
      <c r="B241" s="46">
        <f>'📥 ข้อมูลนักเรียน'!B30</f>
        <v/>
      </c>
      <c r="C241" s="47">
        <f>'📥 ข้อมูลนักเรียน'!C30</f>
        <v/>
      </c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37">
        <f>IFERROR(SUMPRODUCT(((D241=D214)*(E241="Y")*(F241=F214)*(G241="Y")*(D241&lt;&gt;"")*(F241&lt;&gt;""))+((H241=H214)*(I241="Y")*(J241=J214)*(K241="Y")*(H241&lt;&gt;"")*(J241&lt;&gt;""))+((L241=L214)*(M241="Y")*(N241=N214)*(O241="Y")*(L241&lt;&gt;"")*(N241&lt;&gt;""))+((P241=P214)*(Q241="Y")*(R241=R214)*(S241="Y")*(P241&lt;&gt;"")*(R241&lt;&gt;""))),0)</f>
        <v/>
      </c>
      <c r="U241" s="49">
        <f>IFERROR(SUMPRODUCT(((D241&lt;&gt;D214)*(E241="Y")*(F241&lt;&gt;F214)*(G241="Y")*(D241&lt;&gt;"")*(F241&lt;&gt;""))+((H241&lt;&gt;H214)*(I241="Y")*(J241&lt;&gt;J214)*(K241="Y")*(H241&lt;&gt;"")*(J241&lt;&gt;""))+((L241&lt;&gt;L214)*(M241="Y")*(N241&lt;&gt;N214)*(O241="Y")*(L241&lt;&gt;"")*(N241&lt;&gt;""))+((P241&lt;&gt;P214)*(Q241="Y")*(R241&lt;&gt;R214)*(S241="Y")*(P241&lt;&gt;"")*(R241&lt;&gt;""))),0)</f>
        <v/>
      </c>
      <c r="V241" s="37">
        <f>IFERROR(SUMPRODUCT(((D241=D214)*(E241="Y")*(F241&lt;&gt;F214)*(G241="Y")*(D241&lt;&gt;"")*(F241&lt;&gt;""))+((H241=H214)*(I241="Y")*(J241&lt;&gt;J214)*(K241="Y")*(H241&lt;&gt;"")*(J241&lt;&gt;""))+((L241=L214)*(M241="Y")*(N241&lt;&gt;N214)*(O241="Y")*(L241&lt;&gt;"")*(N241&lt;&gt;""))+((P241=P214)*(Q241="Y")*(R241&lt;&gt;R214)*(S241="Y")*(P241&lt;&gt;"")*(R241&lt;&gt;""))),0)</f>
        <v/>
      </c>
      <c r="W241" s="37">
        <f>IFERROR(SUMPRODUCT(((E241="N")*(D241&lt;&gt;"")*(F241&lt;&gt;""))+((I241="N")*(H241&lt;&gt;"")*(J241&lt;&gt;""))+((M241="N")*(L241&lt;&gt;"")*(N241&lt;&gt;""))+((Q241="N")*(P241&lt;&gt;"")*(R241&lt;&gt;""))),0)</f>
        <v/>
      </c>
      <c r="X241" s="50">
        <f>IFERROR(U241/4,0)</f>
        <v/>
      </c>
    </row>
    <row r="242" ht="18" customHeight="1">
      <c r="B242" s="46">
        <f>'📥 ข้อมูลนักเรียน'!B31</f>
        <v/>
      </c>
      <c r="C242" s="51">
        <f>'📥 ข้อมูลนักเรียน'!C31</f>
        <v/>
      </c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37">
        <f>IFERROR(SUMPRODUCT(((D242=D214)*(E242="Y")*(F242=F214)*(G242="Y")*(D242&lt;&gt;"")*(F242&lt;&gt;""))+((H242=H214)*(I242="Y")*(J242=J214)*(K242="Y")*(H242&lt;&gt;"")*(J242&lt;&gt;""))+((L242=L214)*(M242="Y")*(N242=N214)*(O242="Y")*(L242&lt;&gt;"")*(N242&lt;&gt;""))+((P242=P214)*(Q242="Y")*(R242=R214)*(S242="Y")*(P242&lt;&gt;"")*(R242&lt;&gt;""))),0)</f>
        <v/>
      </c>
      <c r="U242" s="49">
        <f>IFERROR(SUMPRODUCT(((D242&lt;&gt;D214)*(E242="Y")*(F242&lt;&gt;F214)*(G242="Y")*(D242&lt;&gt;"")*(F242&lt;&gt;""))+((H242&lt;&gt;H214)*(I242="Y")*(J242&lt;&gt;J214)*(K242="Y")*(H242&lt;&gt;"")*(J242&lt;&gt;""))+((L242&lt;&gt;L214)*(M242="Y")*(N242&lt;&gt;N214)*(O242="Y")*(L242&lt;&gt;"")*(N242&lt;&gt;""))+((P242&lt;&gt;P214)*(Q242="Y")*(R242&lt;&gt;R214)*(S242="Y")*(P242&lt;&gt;"")*(R242&lt;&gt;""))),0)</f>
        <v/>
      </c>
      <c r="V242" s="37">
        <f>IFERROR(SUMPRODUCT(((D242=D214)*(E242="Y")*(F242&lt;&gt;F214)*(G242="Y")*(D242&lt;&gt;"")*(F242&lt;&gt;""))+((H242=H214)*(I242="Y")*(J242&lt;&gt;J214)*(K242="Y")*(H242&lt;&gt;"")*(J242&lt;&gt;""))+((L242=L214)*(M242="Y")*(N242&lt;&gt;N214)*(O242="Y")*(L242&lt;&gt;"")*(N242&lt;&gt;""))+((P242=P214)*(Q242="Y")*(R242&lt;&gt;R214)*(S242="Y")*(P242&lt;&gt;"")*(R242&lt;&gt;""))),0)</f>
        <v/>
      </c>
      <c r="W242" s="37">
        <f>IFERROR(SUMPRODUCT(((E242="N")*(D242&lt;&gt;"")*(F242&lt;&gt;""))+((I242="N")*(H242&lt;&gt;"")*(J242&lt;&gt;""))+((M242="N")*(L242&lt;&gt;"")*(N242&lt;&gt;""))+((Q242="N")*(P242&lt;&gt;"")*(R242&lt;&gt;""))),0)</f>
        <v/>
      </c>
      <c r="X242" s="50">
        <f>IFERROR(U242/4,0)</f>
        <v/>
      </c>
    </row>
    <row r="243" ht="18" customHeight="1">
      <c r="B243" s="46">
        <f>'📥 ข้อมูลนักเรียน'!B32</f>
        <v/>
      </c>
      <c r="C243" s="47">
        <f>'📥 ข้อมูลนักเรียน'!C32</f>
        <v/>
      </c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37">
        <f>IFERROR(SUMPRODUCT(((D243=D214)*(E243="Y")*(F243=F214)*(G243="Y")*(D243&lt;&gt;"")*(F243&lt;&gt;""))+((H243=H214)*(I243="Y")*(J243=J214)*(K243="Y")*(H243&lt;&gt;"")*(J243&lt;&gt;""))+((L243=L214)*(M243="Y")*(N243=N214)*(O243="Y")*(L243&lt;&gt;"")*(N243&lt;&gt;""))+((P243=P214)*(Q243="Y")*(R243=R214)*(S243="Y")*(P243&lt;&gt;"")*(R243&lt;&gt;""))),0)</f>
        <v/>
      </c>
      <c r="U243" s="49">
        <f>IFERROR(SUMPRODUCT(((D243&lt;&gt;D214)*(E243="Y")*(F243&lt;&gt;F214)*(G243="Y")*(D243&lt;&gt;"")*(F243&lt;&gt;""))+((H243&lt;&gt;H214)*(I243="Y")*(J243&lt;&gt;J214)*(K243="Y")*(H243&lt;&gt;"")*(J243&lt;&gt;""))+((L243&lt;&gt;L214)*(M243="Y")*(N243&lt;&gt;N214)*(O243="Y")*(L243&lt;&gt;"")*(N243&lt;&gt;""))+((P243&lt;&gt;P214)*(Q243="Y")*(R243&lt;&gt;R214)*(S243="Y")*(P243&lt;&gt;"")*(R243&lt;&gt;""))),0)</f>
        <v/>
      </c>
      <c r="V243" s="37">
        <f>IFERROR(SUMPRODUCT(((D243=D214)*(E243="Y")*(F243&lt;&gt;F214)*(G243="Y")*(D243&lt;&gt;"")*(F243&lt;&gt;""))+((H243=H214)*(I243="Y")*(J243&lt;&gt;J214)*(K243="Y")*(H243&lt;&gt;"")*(J243&lt;&gt;""))+((L243=L214)*(M243="Y")*(N243&lt;&gt;N214)*(O243="Y")*(L243&lt;&gt;"")*(N243&lt;&gt;""))+((P243=P214)*(Q243="Y")*(R243&lt;&gt;R214)*(S243="Y")*(P243&lt;&gt;"")*(R243&lt;&gt;""))),0)</f>
        <v/>
      </c>
      <c r="W243" s="37">
        <f>IFERROR(SUMPRODUCT(((E243="N")*(D243&lt;&gt;"")*(F243&lt;&gt;""))+((I243="N")*(H243&lt;&gt;"")*(J243&lt;&gt;""))+((M243="N")*(L243&lt;&gt;"")*(N243&lt;&gt;""))+((Q243="N")*(P243&lt;&gt;"")*(R243&lt;&gt;""))),0)</f>
        <v/>
      </c>
      <c r="X243" s="50">
        <f>IFERROR(U243/4,0)</f>
        <v/>
      </c>
    </row>
    <row r="244" ht="18" customHeight="1">
      <c r="B244" s="46">
        <f>'📥 ข้อมูลนักเรียน'!B33</f>
        <v/>
      </c>
      <c r="C244" s="51">
        <f>'📥 ข้อมูลนักเรียน'!C33</f>
        <v/>
      </c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37">
        <f>IFERROR(SUMPRODUCT(((D244=D214)*(E244="Y")*(F244=F214)*(G244="Y")*(D244&lt;&gt;"")*(F244&lt;&gt;""))+((H244=H214)*(I244="Y")*(J244=J214)*(K244="Y")*(H244&lt;&gt;"")*(J244&lt;&gt;""))+((L244=L214)*(M244="Y")*(N244=N214)*(O244="Y")*(L244&lt;&gt;"")*(N244&lt;&gt;""))+((P244=P214)*(Q244="Y")*(R244=R214)*(S244="Y")*(P244&lt;&gt;"")*(R244&lt;&gt;""))),0)</f>
        <v/>
      </c>
      <c r="U244" s="49">
        <f>IFERROR(SUMPRODUCT(((D244&lt;&gt;D214)*(E244="Y")*(F244&lt;&gt;F214)*(G244="Y")*(D244&lt;&gt;"")*(F244&lt;&gt;""))+((H244&lt;&gt;H214)*(I244="Y")*(J244&lt;&gt;J214)*(K244="Y")*(H244&lt;&gt;"")*(J244&lt;&gt;""))+((L244&lt;&gt;L214)*(M244="Y")*(N244&lt;&gt;N214)*(O244="Y")*(L244&lt;&gt;"")*(N244&lt;&gt;""))+((P244&lt;&gt;P214)*(Q244="Y")*(R244&lt;&gt;R214)*(S244="Y")*(P244&lt;&gt;"")*(R244&lt;&gt;""))),0)</f>
        <v/>
      </c>
      <c r="V244" s="37">
        <f>IFERROR(SUMPRODUCT(((D244=D214)*(E244="Y")*(F244&lt;&gt;F214)*(G244="Y")*(D244&lt;&gt;"")*(F244&lt;&gt;""))+((H244=H214)*(I244="Y")*(J244&lt;&gt;J214)*(K244="Y")*(H244&lt;&gt;"")*(J244&lt;&gt;""))+((L244=L214)*(M244="Y")*(N244&lt;&gt;N214)*(O244="Y")*(L244&lt;&gt;"")*(N244&lt;&gt;""))+((P244=P214)*(Q244="Y")*(R244&lt;&gt;R214)*(S244="Y")*(P244&lt;&gt;"")*(R244&lt;&gt;""))),0)</f>
        <v/>
      </c>
      <c r="W244" s="37">
        <f>IFERROR(SUMPRODUCT(((E244="N")*(D244&lt;&gt;"")*(F244&lt;&gt;""))+((I244="N")*(H244&lt;&gt;"")*(J244&lt;&gt;""))+((M244="N")*(L244&lt;&gt;"")*(N244&lt;&gt;""))+((Q244="N")*(P244&lt;&gt;"")*(R244&lt;&gt;""))),0)</f>
        <v/>
      </c>
      <c r="X244" s="50">
        <f>IFERROR(U244/4,0)</f>
        <v/>
      </c>
    </row>
    <row r="245" ht="18" customHeight="1">
      <c r="B245" s="46">
        <f>'📥 ข้อมูลนักเรียน'!B34</f>
        <v/>
      </c>
      <c r="C245" s="47">
        <f>'📥 ข้อมูลนักเรียน'!C34</f>
        <v/>
      </c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37">
        <f>IFERROR(SUMPRODUCT(((D245=D214)*(E245="Y")*(F245=F214)*(G245="Y")*(D245&lt;&gt;"")*(F245&lt;&gt;""))+((H245=H214)*(I245="Y")*(J245=J214)*(K245="Y")*(H245&lt;&gt;"")*(J245&lt;&gt;""))+((L245=L214)*(M245="Y")*(N245=N214)*(O245="Y")*(L245&lt;&gt;"")*(N245&lt;&gt;""))+((P245=P214)*(Q245="Y")*(R245=R214)*(S245="Y")*(P245&lt;&gt;"")*(R245&lt;&gt;""))),0)</f>
        <v/>
      </c>
      <c r="U245" s="49">
        <f>IFERROR(SUMPRODUCT(((D245&lt;&gt;D214)*(E245="Y")*(F245&lt;&gt;F214)*(G245="Y")*(D245&lt;&gt;"")*(F245&lt;&gt;""))+((H245&lt;&gt;H214)*(I245="Y")*(J245&lt;&gt;J214)*(K245="Y")*(H245&lt;&gt;"")*(J245&lt;&gt;""))+((L245&lt;&gt;L214)*(M245="Y")*(N245&lt;&gt;N214)*(O245="Y")*(L245&lt;&gt;"")*(N245&lt;&gt;""))+((P245&lt;&gt;P214)*(Q245="Y")*(R245&lt;&gt;R214)*(S245="Y")*(P245&lt;&gt;"")*(R245&lt;&gt;""))),0)</f>
        <v/>
      </c>
      <c r="V245" s="37">
        <f>IFERROR(SUMPRODUCT(((D245=D214)*(E245="Y")*(F245&lt;&gt;F214)*(G245="Y")*(D245&lt;&gt;"")*(F245&lt;&gt;""))+((H245=H214)*(I245="Y")*(J245&lt;&gt;J214)*(K245="Y")*(H245&lt;&gt;"")*(J245&lt;&gt;""))+((L245=L214)*(M245="Y")*(N245&lt;&gt;N214)*(O245="Y")*(L245&lt;&gt;"")*(N245&lt;&gt;""))+((P245=P214)*(Q245="Y")*(R245&lt;&gt;R214)*(S245="Y")*(P245&lt;&gt;"")*(R245&lt;&gt;""))),0)</f>
        <v/>
      </c>
      <c r="W245" s="37">
        <f>IFERROR(SUMPRODUCT(((E245="N")*(D245&lt;&gt;"")*(F245&lt;&gt;""))+((I245="N")*(H245&lt;&gt;"")*(J245&lt;&gt;""))+((M245="N")*(L245&lt;&gt;"")*(N245&lt;&gt;""))+((Q245="N")*(P245&lt;&gt;"")*(R245&lt;&gt;""))),0)</f>
        <v/>
      </c>
      <c r="X245" s="50">
        <f>IFERROR(U245/4,0)</f>
        <v/>
      </c>
    </row>
    <row r="246" ht="18" customHeight="1">
      <c r="B246" s="46">
        <f>'📥 ข้อมูลนักเรียน'!B35</f>
        <v/>
      </c>
      <c r="C246" s="51">
        <f>'📥 ข้อมูลนักเรียน'!C35</f>
        <v/>
      </c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37">
        <f>IFERROR(SUMPRODUCT(((D246=D214)*(E246="Y")*(F246=F214)*(G246="Y")*(D246&lt;&gt;"")*(F246&lt;&gt;""))+((H246=H214)*(I246="Y")*(J246=J214)*(K246="Y")*(H246&lt;&gt;"")*(J246&lt;&gt;""))+((L246=L214)*(M246="Y")*(N246=N214)*(O246="Y")*(L246&lt;&gt;"")*(N246&lt;&gt;""))+((P246=P214)*(Q246="Y")*(R246=R214)*(S246="Y")*(P246&lt;&gt;"")*(R246&lt;&gt;""))),0)</f>
        <v/>
      </c>
      <c r="U246" s="49">
        <f>IFERROR(SUMPRODUCT(((D246&lt;&gt;D214)*(E246="Y")*(F246&lt;&gt;F214)*(G246="Y")*(D246&lt;&gt;"")*(F246&lt;&gt;""))+((H246&lt;&gt;H214)*(I246="Y")*(J246&lt;&gt;J214)*(K246="Y")*(H246&lt;&gt;"")*(J246&lt;&gt;""))+((L246&lt;&gt;L214)*(M246="Y")*(N246&lt;&gt;N214)*(O246="Y")*(L246&lt;&gt;"")*(N246&lt;&gt;""))+((P246&lt;&gt;P214)*(Q246="Y")*(R246&lt;&gt;R214)*(S246="Y")*(P246&lt;&gt;"")*(R246&lt;&gt;""))),0)</f>
        <v/>
      </c>
      <c r="V246" s="37">
        <f>IFERROR(SUMPRODUCT(((D246=D214)*(E246="Y")*(F246&lt;&gt;F214)*(G246="Y")*(D246&lt;&gt;"")*(F246&lt;&gt;""))+((H246=H214)*(I246="Y")*(J246&lt;&gt;J214)*(K246="Y")*(H246&lt;&gt;"")*(J246&lt;&gt;""))+((L246=L214)*(M246="Y")*(N246&lt;&gt;N214)*(O246="Y")*(L246&lt;&gt;"")*(N246&lt;&gt;""))+((P246=P214)*(Q246="Y")*(R246&lt;&gt;R214)*(S246="Y")*(P246&lt;&gt;"")*(R246&lt;&gt;""))),0)</f>
        <v/>
      </c>
      <c r="W246" s="37">
        <f>IFERROR(SUMPRODUCT(((E246="N")*(D246&lt;&gt;"")*(F246&lt;&gt;""))+((I246="N")*(H246&lt;&gt;"")*(J246&lt;&gt;""))+((M246="N")*(L246&lt;&gt;"")*(N246&lt;&gt;""))+((Q246="N")*(P246&lt;&gt;"")*(R246&lt;&gt;""))),0)</f>
        <v/>
      </c>
      <c r="X246" s="50">
        <f>IFERROR(U246/4,0)</f>
        <v/>
      </c>
    </row>
    <row r="247" ht="18" customHeight="1">
      <c r="B247" s="46">
        <f>'📥 ข้อมูลนักเรียน'!B36</f>
        <v/>
      </c>
      <c r="C247" s="47">
        <f>'📥 ข้อมูลนักเรียน'!C36</f>
        <v/>
      </c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37">
        <f>IFERROR(SUMPRODUCT(((D247=D214)*(E247="Y")*(F247=F214)*(G247="Y")*(D247&lt;&gt;"")*(F247&lt;&gt;""))+((H247=H214)*(I247="Y")*(J247=J214)*(K247="Y")*(H247&lt;&gt;"")*(J247&lt;&gt;""))+((L247=L214)*(M247="Y")*(N247=N214)*(O247="Y")*(L247&lt;&gt;"")*(N247&lt;&gt;""))+((P247=P214)*(Q247="Y")*(R247=R214)*(S247="Y")*(P247&lt;&gt;"")*(R247&lt;&gt;""))),0)</f>
        <v/>
      </c>
      <c r="U247" s="49">
        <f>IFERROR(SUMPRODUCT(((D247&lt;&gt;D214)*(E247="Y")*(F247&lt;&gt;F214)*(G247="Y")*(D247&lt;&gt;"")*(F247&lt;&gt;""))+((H247&lt;&gt;H214)*(I247="Y")*(J247&lt;&gt;J214)*(K247="Y")*(H247&lt;&gt;"")*(J247&lt;&gt;""))+((L247&lt;&gt;L214)*(M247="Y")*(N247&lt;&gt;N214)*(O247="Y")*(L247&lt;&gt;"")*(N247&lt;&gt;""))+((P247&lt;&gt;P214)*(Q247="Y")*(R247&lt;&gt;R214)*(S247="Y")*(P247&lt;&gt;"")*(R247&lt;&gt;""))),0)</f>
        <v/>
      </c>
      <c r="V247" s="37">
        <f>IFERROR(SUMPRODUCT(((D247=D214)*(E247="Y")*(F247&lt;&gt;F214)*(G247="Y")*(D247&lt;&gt;"")*(F247&lt;&gt;""))+((H247=H214)*(I247="Y")*(J247&lt;&gt;J214)*(K247="Y")*(H247&lt;&gt;"")*(J247&lt;&gt;""))+((L247=L214)*(M247="Y")*(N247&lt;&gt;N214)*(O247="Y")*(L247&lt;&gt;"")*(N247&lt;&gt;""))+((P247=P214)*(Q247="Y")*(R247&lt;&gt;R214)*(S247="Y")*(P247&lt;&gt;"")*(R247&lt;&gt;""))),0)</f>
        <v/>
      </c>
      <c r="W247" s="37">
        <f>IFERROR(SUMPRODUCT(((E247="N")*(D247&lt;&gt;"")*(F247&lt;&gt;""))+((I247="N")*(H247&lt;&gt;"")*(J247&lt;&gt;""))+((M247="N")*(L247&lt;&gt;"")*(N247&lt;&gt;""))+((Q247="N")*(P247&lt;&gt;"")*(R247&lt;&gt;""))),0)</f>
        <v/>
      </c>
      <c r="X247" s="50">
        <f>IFERROR(U247/4,0)</f>
        <v/>
      </c>
    </row>
    <row r="248" ht="18" customHeight="1">
      <c r="B248" s="46">
        <f>'📥 ข้อมูลนักเรียน'!B37</f>
        <v/>
      </c>
      <c r="C248" s="51">
        <f>'📥 ข้อมูลนักเรียน'!C37</f>
        <v/>
      </c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37">
        <f>IFERROR(SUMPRODUCT(((D248=D214)*(E248="Y")*(F248=F214)*(G248="Y")*(D248&lt;&gt;"")*(F248&lt;&gt;""))+((H248=H214)*(I248="Y")*(J248=J214)*(K248="Y")*(H248&lt;&gt;"")*(J248&lt;&gt;""))+((L248=L214)*(M248="Y")*(N248=N214)*(O248="Y")*(L248&lt;&gt;"")*(N248&lt;&gt;""))+((P248=P214)*(Q248="Y")*(R248=R214)*(S248="Y")*(P248&lt;&gt;"")*(R248&lt;&gt;""))),0)</f>
        <v/>
      </c>
      <c r="U248" s="49">
        <f>IFERROR(SUMPRODUCT(((D248&lt;&gt;D214)*(E248="Y")*(F248&lt;&gt;F214)*(G248="Y")*(D248&lt;&gt;"")*(F248&lt;&gt;""))+((H248&lt;&gt;H214)*(I248="Y")*(J248&lt;&gt;J214)*(K248="Y")*(H248&lt;&gt;"")*(J248&lt;&gt;""))+((L248&lt;&gt;L214)*(M248="Y")*(N248&lt;&gt;N214)*(O248="Y")*(L248&lt;&gt;"")*(N248&lt;&gt;""))+((P248&lt;&gt;P214)*(Q248="Y")*(R248&lt;&gt;R214)*(S248="Y")*(P248&lt;&gt;"")*(R248&lt;&gt;""))),0)</f>
        <v/>
      </c>
      <c r="V248" s="37">
        <f>IFERROR(SUMPRODUCT(((D248=D214)*(E248="Y")*(F248&lt;&gt;F214)*(G248="Y")*(D248&lt;&gt;"")*(F248&lt;&gt;""))+((H248=H214)*(I248="Y")*(J248&lt;&gt;J214)*(K248="Y")*(H248&lt;&gt;"")*(J248&lt;&gt;""))+((L248=L214)*(M248="Y")*(N248&lt;&gt;N214)*(O248="Y")*(L248&lt;&gt;"")*(N248&lt;&gt;""))+((P248=P214)*(Q248="Y")*(R248&lt;&gt;R214)*(S248="Y")*(P248&lt;&gt;"")*(R248&lt;&gt;""))),0)</f>
        <v/>
      </c>
      <c r="W248" s="37">
        <f>IFERROR(SUMPRODUCT(((E248="N")*(D248&lt;&gt;"")*(F248&lt;&gt;""))+((I248="N")*(H248&lt;&gt;"")*(J248&lt;&gt;""))+((M248="N")*(L248&lt;&gt;"")*(N248&lt;&gt;""))+((Q248="N")*(P248&lt;&gt;"")*(R248&lt;&gt;""))),0)</f>
        <v/>
      </c>
      <c r="X248" s="50">
        <f>IFERROR(U248/4,0)</f>
        <v/>
      </c>
    </row>
    <row r="249" ht="18" customHeight="1">
      <c r="B249" s="46">
        <f>'📥 ข้อมูลนักเรียน'!B38</f>
        <v/>
      </c>
      <c r="C249" s="47">
        <f>'📥 ข้อมูลนักเรียน'!C38</f>
        <v/>
      </c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37">
        <f>IFERROR(SUMPRODUCT(((D249=D214)*(E249="Y")*(F249=F214)*(G249="Y")*(D249&lt;&gt;"")*(F249&lt;&gt;""))+((H249=H214)*(I249="Y")*(J249=J214)*(K249="Y")*(H249&lt;&gt;"")*(J249&lt;&gt;""))+((L249=L214)*(M249="Y")*(N249=N214)*(O249="Y")*(L249&lt;&gt;"")*(N249&lt;&gt;""))+((P249=P214)*(Q249="Y")*(R249=R214)*(S249="Y")*(P249&lt;&gt;"")*(R249&lt;&gt;""))),0)</f>
        <v/>
      </c>
      <c r="U249" s="49">
        <f>IFERROR(SUMPRODUCT(((D249&lt;&gt;D214)*(E249="Y")*(F249&lt;&gt;F214)*(G249="Y")*(D249&lt;&gt;"")*(F249&lt;&gt;""))+((H249&lt;&gt;H214)*(I249="Y")*(J249&lt;&gt;J214)*(K249="Y")*(H249&lt;&gt;"")*(J249&lt;&gt;""))+((L249&lt;&gt;L214)*(M249="Y")*(N249&lt;&gt;N214)*(O249="Y")*(L249&lt;&gt;"")*(N249&lt;&gt;""))+((P249&lt;&gt;P214)*(Q249="Y")*(R249&lt;&gt;R214)*(S249="Y")*(P249&lt;&gt;"")*(R249&lt;&gt;""))),0)</f>
        <v/>
      </c>
      <c r="V249" s="37">
        <f>IFERROR(SUMPRODUCT(((D249=D214)*(E249="Y")*(F249&lt;&gt;F214)*(G249="Y")*(D249&lt;&gt;"")*(F249&lt;&gt;""))+((H249=H214)*(I249="Y")*(J249&lt;&gt;J214)*(K249="Y")*(H249&lt;&gt;"")*(J249&lt;&gt;""))+((L249=L214)*(M249="Y")*(N249&lt;&gt;N214)*(O249="Y")*(L249&lt;&gt;"")*(N249&lt;&gt;""))+((P249=P214)*(Q249="Y")*(R249&lt;&gt;R214)*(S249="Y")*(P249&lt;&gt;"")*(R249&lt;&gt;""))),0)</f>
        <v/>
      </c>
      <c r="W249" s="37">
        <f>IFERROR(SUMPRODUCT(((E249="N")*(D249&lt;&gt;"")*(F249&lt;&gt;""))+((I249="N")*(H249&lt;&gt;"")*(J249&lt;&gt;""))+((M249="N")*(L249&lt;&gt;"")*(N249&lt;&gt;""))+((Q249="N")*(P249&lt;&gt;"")*(R249&lt;&gt;""))),0)</f>
        <v/>
      </c>
      <c r="X249" s="50">
        <f>IFERROR(U249/4,0)</f>
        <v/>
      </c>
    </row>
    <row r="250" ht="24" customHeight="1">
      <c r="B250" s="226" t="inlineStr">
        <is>
          <t>สรุป Post แผน 3</t>
        </is>
      </c>
      <c r="C250" s="369" t="n"/>
      <c r="T250" s="52">
        <f>IFERROR(AVERAGE(T215:T249)*4,0)</f>
        <v/>
      </c>
      <c r="U250" s="53">
        <f>IFERROR(AVERAGE(U215:U249)*4,0)</f>
        <v/>
      </c>
      <c r="V250" s="54">
        <f>IFERROR(AVERAGE(V215:V249)*4,0)</f>
        <v/>
      </c>
      <c r="W250" s="55">
        <f>IFERROR(AVERAGE(W215:W249)*4,0)</f>
        <v/>
      </c>
      <c r="X250" s="56">
        <f>IFERROR(AVERAGE(X215:X249),0)</f>
        <v/>
      </c>
    </row>
    <row r="251" ht="7.5" customHeight="1"/>
    <row r="252" ht="21.75" customHeight="1">
      <c r="B252" s="243" t="inlineStr">
        <is>
          <t>▌ แผนที่ 4  |  คาบที่ 7  |  Misconception: M4  |  ข้อที่ 13–16  |  ⚠️ POST ONLY (ไม่มี Pre)</t>
        </is>
      </c>
      <c r="C252" s="379" t="n"/>
      <c r="D252" s="379" t="n"/>
      <c r="E252" s="379" t="n"/>
      <c r="F252" s="379" t="n"/>
      <c r="G252" s="379" t="n"/>
      <c r="H252" s="379" t="n"/>
      <c r="I252" s="379" t="n"/>
      <c r="J252" s="379" t="n"/>
      <c r="K252" s="379" t="n"/>
      <c r="L252" s="379" t="n"/>
      <c r="M252" s="379" t="n"/>
      <c r="N252" s="379" t="n"/>
      <c r="O252" s="379" t="n"/>
      <c r="P252" s="379" t="n"/>
      <c r="Q252" s="379" t="n"/>
      <c r="R252" s="379" t="n"/>
      <c r="S252" s="379" t="n"/>
      <c r="T252" s="379" t="n"/>
      <c r="U252" s="379" t="n"/>
      <c r="V252" s="379" t="n"/>
      <c r="W252" s="379" t="n"/>
      <c r="X252" s="379" t="n"/>
    </row>
    <row r="253" ht="15.75" customHeight="1">
      <c r="B253" s="244" t="inlineStr">
        <is>
          <t xml:space="preserve">   📍 M4: สรุปและฝึกปัญหา (Post only — ไม่มี Pre)</t>
        </is>
      </c>
    </row>
    <row r="254" ht="19.5" customHeight="1">
      <c r="B254" s="241" t="inlineStr">
        <is>
          <t>🟢 POST-test — หลังสอน  (แผน 4 ข้อ 13–16)</t>
        </is>
      </c>
    </row>
    <row r="255" ht="27.75" customHeight="1">
      <c r="B255" s="27" t="inlineStr">
        <is>
          <t>ที่</t>
        </is>
      </c>
      <c r="C255" s="27" t="inlineStr">
        <is>
          <t>ชื่อนักเรียน</t>
        </is>
      </c>
      <c r="D255" s="242" t="inlineStr">
        <is>
          <t>ข้อ 13</t>
        </is>
      </c>
      <c r="E255" s="369" t="n"/>
      <c r="F255" s="369" t="n"/>
      <c r="G255" s="369" t="n"/>
      <c r="H255" s="242" t="inlineStr">
        <is>
          <t>ข้อ 14</t>
        </is>
      </c>
      <c r="I255" s="369" t="n"/>
      <c r="J255" s="369" t="n"/>
      <c r="K255" s="369" t="n"/>
      <c r="L255" s="242" t="inlineStr">
        <is>
          <t>ข้อ 15</t>
        </is>
      </c>
      <c r="M255" s="369" t="n"/>
      <c r="N255" s="369" t="n"/>
      <c r="O255" s="369" t="n"/>
      <c r="P255" s="242" t="inlineStr">
        <is>
          <t>ข้อ 16</t>
        </is>
      </c>
      <c r="Q255" s="369" t="n"/>
      <c r="R255" s="369" t="n"/>
      <c r="S255" s="369" t="n"/>
      <c r="T255" s="57" t="inlineStr">
        <is>
          <t>Sound
✅</t>
        </is>
      </c>
      <c r="U255" s="57" t="inlineStr">
        <is>
          <t>Misc
❌</t>
        </is>
      </c>
      <c r="V255" s="57" t="inlineStr">
        <is>
          <t>Guess
🎲</t>
        </is>
      </c>
      <c r="W255" s="57" t="inlineStr">
        <is>
          <t>NoK
❓</t>
        </is>
      </c>
      <c r="X255" s="57" t="inlineStr">
        <is>
          <t>% Misc
(Auto)</t>
        </is>
      </c>
    </row>
    <row r="256" ht="27.75" customHeight="1">
      <c r="B256" s="58" t="n"/>
      <c r="C256" s="59" t="inlineStr">
        <is>
          <t>← กรอกเฉลย T1 และ T3</t>
        </is>
      </c>
      <c r="D256" s="60" t="inlineStr">
        <is>
          <t>T1
(ก-ง)</t>
        </is>
      </c>
      <c r="E256" s="60" t="inlineStr">
        <is>
          <t>T2
(Y/N)</t>
        </is>
      </c>
      <c r="F256" s="60" t="inlineStr">
        <is>
          <t>T3
(ก-ง)</t>
        </is>
      </c>
      <c r="G256" s="60" t="inlineStr">
        <is>
          <t>T4
(Y/N)</t>
        </is>
      </c>
      <c r="H256" s="60" t="inlineStr">
        <is>
          <t>T1
(ก-ง)</t>
        </is>
      </c>
      <c r="I256" s="60" t="inlineStr">
        <is>
          <t>T2
(Y/N)</t>
        </is>
      </c>
      <c r="J256" s="60" t="inlineStr">
        <is>
          <t>T3
(ก-ง)</t>
        </is>
      </c>
      <c r="K256" s="60" t="inlineStr">
        <is>
          <t>T4
(Y/N)</t>
        </is>
      </c>
      <c r="L256" s="60" t="inlineStr">
        <is>
          <t>T1
(ก-ง)</t>
        </is>
      </c>
      <c r="M256" s="60" t="inlineStr">
        <is>
          <t>T2
(Y/N)</t>
        </is>
      </c>
      <c r="N256" s="60" t="inlineStr">
        <is>
          <t>T3
(ก-ง)</t>
        </is>
      </c>
      <c r="O256" s="60" t="inlineStr">
        <is>
          <t>T4
(Y/N)</t>
        </is>
      </c>
      <c r="P256" s="60" t="inlineStr">
        <is>
          <t>T1
(ก-ง)</t>
        </is>
      </c>
      <c r="Q256" s="60" t="inlineStr">
        <is>
          <t>T2
(Y/N)</t>
        </is>
      </c>
      <c r="R256" s="60" t="inlineStr">
        <is>
          <t>T3
(ก-ง)</t>
        </is>
      </c>
      <c r="S256" s="60" t="inlineStr">
        <is>
          <t>T4
(Y/N)</t>
        </is>
      </c>
      <c r="T256" s="61" t="inlineStr">
        <is>
          <t>—</t>
        </is>
      </c>
      <c r="U256" s="61" t="inlineStr">
        <is>
          <t>—</t>
        </is>
      </c>
      <c r="V256" s="61" t="inlineStr">
        <is>
          <t>—</t>
        </is>
      </c>
      <c r="W256" s="61" t="inlineStr">
        <is>
          <t>—</t>
        </is>
      </c>
      <c r="X256" s="61" t="inlineStr">
        <is>
          <t>—</t>
        </is>
      </c>
    </row>
    <row r="257" ht="18" customHeight="1">
      <c r="B257" s="44" t="inlineStr">
        <is>
          <t>KEY</t>
        </is>
      </c>
      <c r="C257" s="45" t="inlineStr">
        <is>
          <t>← กรอกเฉลยที่ถูกต้อง</t>
        </is>
      </c>
      <c r="D257" s="9" t="n"/>
      <c r="E257" s="21" t="inlineStr">
        <is>
          <t>—</t>
        </is>
      </c>
      <c r="F257" s="9" t="n"/>
      <c r="G257" s="21" t="inlineStr">
        <is>
          <t>—</t>
        </is>
      </c>
      <c r="H257" s="9" t="n"/>
      <c r="I257" s="21" t="inlineStr">
        <is>
          <t>—</t>
        </is>
      </c>
      <c r="J257" s="9" t="n"/>
      <c r="K257" s="21" t="inlineStr">
        <is>
          <t>—</t>
        </is>
      </c>
      <c r="L257" s="9" t="n"/>
      <c r="M257" s="21" t="inlineStr">
        <is>
          <t>—</t>
        </is>
      </c>
      <c r="N257" s="9" t="n"/>
      <c r="O257" s="21" t="inlineStr">
        <is>
          <t>—</t>
        </is>
      </c>
      <c r="P257" s="9" t="n"/>
      <c r="Q257" s="21" t="inlineStr">
        <is>
          <t>—</t>
        </is>
      </c>
      <c r="R257" s="9" t="n"/>
      <c r="S257" s="21" t="inlineStr">
        <is>
          <t>—</t>
        </is>
      </c>
      <c r="T257" s="21" t="inlineStr">
        <is>
          <t>—</t>
        </is>
      </c>
      <c r="U257" s="21" t="inlineStr">
        <is>
          <t>—</t>
        </is>
      </c>
      <c r="V257" s="21" t="inlineStr">
        <is>
          <t>—</t>
        </is>
      </c>
      <c r="W257" s="21" t="inlineStr">
        <is>
          <t>—</t>
        </is>
      </c>
      <c r="X257" s="21" t="inlineStr">
        <is>
          <t>—</t>
        </is>
      </c>
    </row>
    <row r="258" ht="18" customHeight="1">
      <c r="B258" s="46">
        <f>'📥 ข้อมูลนักเรียน'!B4</f>
        <v/>
      </c>
      <c r="C258" s="47">
        <f>'📥 ข้อมูลนักเรียน'!C4</f>
        <v/>
      </c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37">
        <f>IFERROR(SUMPRODUCT(((D258=D257)*(E258="Y")*(F258=F257)*(G258="Y")*(D258&lt;&gt;"")* (F258&lt;&gt;""))+((H258=H257)*(I258="Y")*(J258=J257)*(K258="Y")*(H258&lt;&gt;"")* (J258&lt;&gt;""))+((L258=L257)*(M258="Y")*(N258=N257)*(O258="Y")*(L258&lt;&gt;"")* (N258&lt;&gt;""))+((P258=P257)*(Q258="Y")*(R258=R257)*(S258="Y")*(P258&lt;&gt;"")* (R258&lt;&gt;""))),0)</f>
        <v/>
      </c>
      <c r="U258" s="49">
        <f>IFERROR(SUMPRODUCT(((D258&lt;&gt;D257)*(E258="Y")*(F258&lt;&gt;F257)*(G258="Y")*(D258&lt;&gt;"")* (F258&lt;&gt;""))+((H258&lt;&gt;H257)*(I258="Y")*(J258&lt;&gt;J257)*(K258="Y")*(H258&lt;&gt;"")* (J258&lt;&gt;""))+((L258&lt;&gt;L257)*(M258="Y")*(N258&lt;&gt;N257)*(O258="Y")*(L258&lt;&gt;"")* (N258&lt;&gt;""))+((P258&lt;&gt;P257)*(Q258="Y")*(R258&lt;&gt;R257)*(S258="Y")*(P258&lt;&gt;"")* (R258&lt;&gt;""))),0)</f>
        <v/>
      </c>
      <c r="V258" s="37">
        <f>IFERROR(SUMPRODUCT(((D258=D257)*(E258="Y")*(F258&lt;&gt;F257)*(G258="Y")*(D258&lt;&gt;"")* (F258&lt;&gt;""))+((H258=H257)*(I258="Y")*(J258&lt;&gt;J257)*(K258="Y")*(H258&lt;&gt;"")* (J258&lt;&gt;""))+((L258=L257)*(M258="Y")*(N258&lt;&gt;N257)*(O258="Y")*(L258&lt;&gt;"")* (N258&lt;&gt;""))+((P258=P257)*(Q258="Y")*(R258&lt;&gt;R257)*(S258="Y")*(P258&lt;&gt;"")* (R258&lt;&gt;""))),0)</f>
        <v/>
      </c>
      <c r="W258" s="37">
        <f>IFERROR(SUMPRODUCT(((E258="N")*(D258&lt;&gt;"")* (F258&lt;&gt;""))+((I258="N")*(H258&lt;&gt;"")* (J258&lt;&gt;""))+((M258="N")*(L258&lt;&gt;"")* (N258&lt;&gt;""))+((Q258="N")*(P258&lt;&gt;"")* (R258&lt;&gt;""))),0)</f>
        <v/>
      </c>
      <c r="X258" s="50">
        <f>IFERROR(U258/4,0)</f>
        <v/>
      </c>
    </row>
    <row r="259" ht="18" customHeight="1">
      <c r="B259" s="46">
        <f>'📥 ข้อมูลนักเรียน'!B5</f>
        <v/>
      </c>
      <c r="C259" s="51">
        <f>'📥 ข้อมูลนักเรียน'!C5</f>
        <v/>
      </c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37">
        <f>IFERROR(SUMPRODUCT(((D259=D257)*(E259="Y")*(F259=F257)*(G259="Y")*(D259&lt;&gt;"")* (F259&lt;&gt;""))+((H259=H257)*(I259="Y")*(J259=J257)*(K259="Y")*(H259&lt;&gt;"")* (J259&lt;&gt;""))+((L259=L257)*(M259="Y")*(N259=N257)*(O259="Y")*(L259&lt;&gt;"")* (N259&lt;&gt;""))+((P259=P257)*(Q259="Y")*(R259=R257)*(S259="Y")*(P259&lt;&gt;"")* (R259&lt;&gt;""))),0)</f>
        <v/>
      </c>
      <c r="U259" s="49">
        <f>IFERROR(SUMPRODUCT(((D259&lt;&gt;D257)*(E259="Y")*(F259&lt;&gt;F257)*(G259="Y")*(D259&lt;&gt;"")* (F259&lt;&gt;""))+((H259&lt;&gt;H257)*(I259="Y")*(J259&lt;&gt;J257)*(K259="Y")*(H259&lt;&gt;"")* (J259&lt;&gt;""))+((L259&lt;&gt;L257)*(M259="Y")*(N259&lt;&gt;N257)*(O259="Y")*(L259&lt;&gt;"")* (N259&lt;&gt;""))+((P259&lt;&gt;P257)*(Q259="Y")*(R259&lt;&gt;R257)*(S259="Y")*(P259&lt;&gt;"")* (R259&lt;&gt;""))),0)</f>
        <v/>
      </c>
      <c r="V259" s="37">
        <f>IFERROR(SUMPRODUCT(((D259=D257)*(E259="Y")*(F259&lt;&gt;F257)*(G259="Y")*(D259&lt;&gt;"")* (F259&lt;&gt;""))+((H259=H257)*(I259="Y")*(J259&lt;&gt;J257)*(K259="Y")*(H259&lt;&gt;"")* (J259&lt;&gt;""))+((L259=L257)*(M259="Y")*(N259&lt;&gt;N257)*(O259="Y")*(L259&lt;&gt;"")* (N259&lt;&gt;""))+((P259=P257)*(Q259="Y")*(R259&lt;&gt;R257)*(S259="Y")*(P259&lt;&gt;"")* (R259&lt;&gt;""))),0)</f>
        <v/>
      </c>
      <c r="W259" s="37">
        <f>IFERROR(SUMPRODUCT(((E259="N")*(D259&lt;&gt;"")* (F259&lt;&gt;""))+((I259="N")*(H259&lt;&gt;"")* (J259&lt;&gt;""))+((M259="N")*(L259&lt;&gt;"")* (N259&lt;&gt;""))+((Q259="N")*(P259&lt;&gt;"")* (R259&lt;&gt;""))),0)</f>
        <v/>
      </c>
      <c r="X259" s="50">
        <f>IFERROR(U259/4,0)</f>
        <v/>
      </c>
    </row>
    <row r="260" ht="18" customHeight="1">
      <c r="B260" s="46">
        <f>'📥 ข้อมูลนักเรียน'!B6</f>
        <v/>
      </c>
      <c r="C260" s="47">
        <f>'📥 ข้อมูลนักเรียน'!C6</f>
        <v/>
      </c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37">
        <f>IFERROR(SUMPRODUCT(((D260=D257)*(E260="Y")*(F260=F257)*(G260="Y")*(D260&lt;&gt;"")* (F260&lt;&gt;""))+((H260=H257)*(I260="Y")*(J260=J257)*(K260="Y")*(H260&lt;&gt;"")* (J260&lt;&gt;""))+((L260=L257)*(M260="Y")*(N260=N257)*(O260="Y")*(L260&lt;&gt;"")* (N260&lt;&gt;""))+((P260=P257)*(Q260="Y")*(R260=R257)*(S260="Y")*(P260&lt;&gt;"")* (R260&lt;&gt;""))),0)</f>
        <v/>
      </c>
      <c r="U260" s="49">
        <f>IFERROR(SUMPRODUCT(((D260&lt;&gt;D257)*(E260="Y")*(F260&lt;&gt;F257)*(G260="Y")*(D260&lt;&gt;"")* (F260&lt;&gt;""))+((H260&lt;&gt;H257)*(I260="Y")*(J260&lt;&gt;J257)*(K260="Y")*(H260&lt;&gt;"")* (J260&lt;&gt;""))+((L260&lt;&gt;L257)*(M260="Y")*(N260&lt;&gt;N257)*(O260="Y")*(L260&lt;&gt;"")* (N260&lt;&gt;""))+((P260&lt;&gt;P257)*(Q260="Y")*(R260&lt;&gt;R257)*(S260="Y")*(P260&lt;&gt;"")* (R260&lt;&gt;""))),0)</f>
        <v/>
      </c>
      <c r="V260" s="37">
        <f>IFERROR(SUMPRODUCT(((D260=D257)*(E260="Y")*(F260&lt;&gt;F257)*(G260="Y")*(D260&lt;&gt;"")* (F260&lt;&gt;""))+((H260=H257)*(I260="Y")*(J260&lt;&gt;J257)*(K260="Y")*(H260&lt;&gt;"")* (J260&lt;&gt;""))+((L260=L257)*(M260="Y")*(N260&lt;&gt;N257)*(O260="Y")*(L260&lt;&gt;"")* (N260&lt;&gt;""))+((P260=P257)*(Q260="Y")*(R260&lt;&gt;R257)*(S260="Y")*(P260&lt;&gt;"")* (R260&lt;&gt;""))),0)</f>
        <v/>
      </c>
      <c r="W260" s="37">
        <f>IFERROR(SUMPRODUCT(((E260="N")*(D260&lt;&gt;"")* (F260&lt;&gt;""))+((I260="N")*(H260&lt;&gt;"")* (J260&lt;&gt;""))+((M260="N")*(L260&lt;&gt;"")* (N260&lt;&gt;""))+((Q260="N")*(P260&lt;&gt;"")* (R260&lt;&gt;""))),0)</f>
        <v/>
      </c>
      <c r="X260" s="50">
        <f>IFERROR(U260/4,0)</f>
        <v/>
      </c>
    </row>
    <row r="261" ht="18" customHeight="1">
      <c r="B261" s="46">
        <f>'📥 ข้อมูลนักเรียน'!B7</f>
        <v/>
      </c>
      <c r="C261" s="51">
        <f>'📥 ข้อมูลนักเรียน'!C7</f>
        <v/>
      </c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37">
        <f>IFERROR(SUMPRODUCT(((D261=D257)*(E261="Y")*(F261=F257)*(G261="Y")*(D261&lt;&gt;"")* (F261&lt;&gt;""))+((H261=H257)*(I261="Y")*(J261=J257)*(K261="Y")*(H261&lt;&gt;"")* (J261&lt;&gt;""))+((L261=L257)*(M261="Y")*(N261=N257)*(O261="Y")*(L261&lt;&gt;"")* (N261&lt;&gt;""))+((P261=P257)*(Q261="Y")*(R261=R257)*(S261="Y")*(P261&lt;&gt;"")* (R261&lt;&gt;""))),0)</f>
        <v/>
      </c>
      <c r="U261" s="49">
        <f>IFERROR(SUMPRODUCT(((D261&lt;&gt;D257)*(E261="Y")*(F261&lt;&gt;F257)*(G261="Y")*(D261&lt;&gt;"")* (F261&lt;&gt;""))+((H261&lt;&gt;H257)*(I261="Y")*(J261&lt;&gt;J257)*(K261="Y")*(H261&lt;&gt;"")* (J261&lt;&gt;""))+((L261&lt;&gt;L257)*(M261="Y")*(N261&lt;&gt;N257)*(O261="Y")*(L261&lt;&gt;"")* (N261&lt;&gt;""))+((P261&lt;&gt;P257)*(Q261="Y")*(R261&lt;&gt;R257)*(S261="Y")*(P261&lt;&gt;"")* (R261&lt;&gt;""))),0)</f>
        <v/>
      </c>
      <c r="V261" s="37">
        <f>IFERROR(SUMPRODUCT(((D261=D257)*(E261="Y")*(F261&lt;&gt;F257)*(G261="Y")*(D261&lt;&gt;"")* (F261&lt;&gt;""))+((H261=H257)*(I261="Y")*(J261&lt;&gt;J257)*(K261="Y")*(H261&lt;&gt;"")* (J261&lt;&gt;""))+((L261=L257)*(M261="Y")*(N261&lt;&gt;N257)*(O261="Y")*(L261&lt;&gt;"")* (N261&lt;&gt;""))+((P261=P257)*(Q261="Y")*(R261&lt;&gt;R257)*(S261="Y")*(P261&lt;&gt;"")* (R261&lt;&gt;""))),0)</f>
        <v/>
      </c>
      <c r="W261" s="37">
        <f>IFERROR(SUMPRODUCT(((E261="N")*(D261&lt;&gt;"")* (F261&lt;&gt;""))+((I261="N")*(H261&lt;&gt;"")* (J261&lt;&gt;""))+((M261="N")*(L261&lt;&gt;"")* (N261&lt;&gt;""))+((Q261="N")*(P261&lt;&gt;"")* (R261&lt;&gt;""))),0)</f>
        <v/>
      </c>
      <c r="X261" s="50">
        <f>IFERROR(U261/4,0)</f>
        <v/>
      </c>
    </row>
    <row r="262" ht="18" customHeight="1">
      <c r="B262" s="46">
        <f>'📥 ข้อมูลนักเรียน'!B8</f>
        <v/>
      </c>
      <c r="C262" s="47">
        <f>'📥 ข้อมูลนักเรียน'!C8</f>
        <v/>
      </c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37">
        <f>IFERROR(SUMPRODUCT(((D262=D257)*(E262="Y")*(F262=F257)*(G262="Y")*(D262&lt;&gt;"")* (F262&lt;&gt;""))+((H262=H257)*(I262="Y")*(J262=J257)*(K262="Y")*(H262&lt;&gt;"")* (J262&lt;&gt;""))+((L262=L257)*(M262="Y")*(N262=N257)*(O262="Y")*(L262&lt;&gt;"")* (N262&lt;&gt;""))+((P262=P257)*(Q262="Y")*(R262=R257)*(S262="Y")*(P262&lt;&gt;"")* (R262&lt;&gt;""))),0)</f>
        <v/>
      </c>
      <c r="U262" s="49">
        <f>IFERROR(SUMPRODUCT(((D262&lt;&gt;D257)*(E262="Y")*(F262&lt;&gt;F257)*(G262="Y")*(D262&lt;&gt;"")* (F262&lt;&gt;""))+((H262&lt;&gt;H257)*(I262="Y")*(J262&lt;&gt;J257)*(K262="Y")*(H262&lt;&gt;"")* (J262&lt;&gt;""))+((L262&lt;&gt;L257)*(M262="Y")*(N262&lt;&gt;N257)*(O262="Y")*(L262&lt;&gt;"")* (N262&lt;&gt;""))+((P262&lt;&gt;P257)*(Q262="Y")*(R262&lt;&gt;R257)*(S262="Y")*(P262&lt;&gt;"")* (R262&lt;&gt;""))),0)</f>
        <v/>
      </c>
      <c r="V262" s="37">
        <f>IFERROR(SUMPRODUCT(((D262=D257)*(E262="Y")*(F262&lt;&gt;F257)*(G262="Y")*(D262&lt;&gt;"")* (F262&lt;&gt;""))+((H262=H257)*(I262="Y")*(J262&lt;&gt;J257)*(K262="Y")*(H262&lt;&gt;"")* (J262&lt;&gt;""))+((L262=L257)*(M262="Y")*(N262&lt;&gt;N257)*(O262="Y")*(L262&lt;&gt;"")* (N262&lt;&gt;""))+((P262=P257)*(Q262="Y")*(R262&lt;&gt;R257)*(S262="Y")*(P262&lt;&gt;"")* (R262&lt;&gt;""))),0)</f>
        <v/>
      </c>
      <c r="W262" s="37">
        <f>IFERROR(SUMPRODUCT(((E262="N")*(D262&lt;&gt;"")* (F262&lt;&gt;""))+((I262="N")*(H262&lt;&gt;"")* (J262&lt;&gt;""))+((M262="N")*(L262&lt;&gt;"")* (N262&lt;&gt;""))+((Q262="N")*(P262&lt;&gt;"")* (R262&lt;&gt;""))),0)</f>
        <v/>
      </c>
      <c r="X262" s="50">
        <f>IFERROR(U262/4,0)</f>
        <v/>
      </c>
    </row>
    <row r="263" ht="18" customHeight="1">
      <c r="B263" s="46">
        <f>'📥 ข้อมูลนักเรียน'!B9</f>
        <v/>
      </c>
      <c r="C263" s="51">
        <f>'📥 ข้อมูลนักเรียน'!C9</f>
        <v/>
      </c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37">
        <f>IFERROR(SUMPRODUCT(((D263=D257)*(E263="Y")*(F263=F257)*(G263="Y")*(D263&lt;&gt;"")* (F263&lt;&gt;""))+((H263=H257)*(I263="Y")*(J263=J257)*(K263="Y")*(H263&lt;&gt;"")* (J263&lt;&gt;""))+((L263=L257)*(M263="Y")*(N263=N257)*(O263="Y")*(L263&lt;&gt;"")* (N263&lt;&gt;""))+((P263=P257)*(Q263="Y")*(R263=R257)*(S263="Y")*(P263&lt;&gt;"")* (R263&lt;&gt;""))),0)</f>
        <v/>
      </c>
      <c r="U263" s="49">
        <f>IFERROR(SUMPRODUCT(((D263&lt;&gt;D257)*(E263="Y")*(F263&lt;&gt;F257)*(G263="Y")*(D263&lt;&gt;"")* (F263&lt;&gt;""))+((H263&lt;&gt;H257)*(I263="Y")*(J263&lt;&gt;J257)*(K263="Y")*(H263&lt;&gt;"")* (J263&lt;&gt;""))+((L263&lt;&gt;L257)*(M263="Y")*(N263&lt;&gt;N257)*(O263="Y")*(L263&lt;&gt;"")* (N263&lt;&gt;""))+((P263&lt;&gt;P257)*(Q263="Y")*(R263&lt;&gt;R257)*(S263="Y")*(P263&lt;&gt;"")* (R263&lt;&gt;""))),0)</f>
        <v/>
      </c>
      <c r="V263" s="37">
        <f>IFERROR(SUMPRODUCT(((D263=D257)*(E263="Y")*(F263&lt;&gt;F257)*(G263="Y")*(D263&lt;&gt;"")* (F263&lt;&gt;""))+((H263=H257)*(I263="Y")*(J263&lt;&gt;J257)*(K263="Y")*(H263&lt;&gt;"")* (J263&lt;&gt;""))+((L263=L257)*(M263="Y")*(N263&lt;&gt;N257)*(O263="Y")*(L263&lt;&gt;"")* (N263&lt;&gt;""))+((P263=P257)*(Q263="Y")*(R263&lt;&gt;R257)*(S263="Y")*(P263&lt;&gt;"")* (R263&lt;&gt;""))),0)</f>
        <v/>
      </c>
      <c r="W263" s="37">
        <f>IFERROR(SUMPRODUCT(((E263="N")*(D263&lt;&gt;"")* (F263&lt;&gt;""))+((I263="N")*(H263&lt;&gt;"")* (J263&lt;&gt;""))+((M263="N")*(L263&lt;&gt;"")* (N263&lt;&gt;""))+((Q263="N")*(P263&lt;&gt;"")* (R263&lt;&gt;""))),0)</f>
        <v/>
      </c>
      <c r="X263" s="50">
        <f>IFERROR(U263/4,0)</f>
        <v/>
      </c>
    </row>
    <row r="264" ht="18" customHeight="1">
      <c r="B264" s="46">
        <f>'📥 ข้อมูลนักเรียน'!B10</f>
        <v/>
      </c>
      <c r="C264" s="47">
        <f>'📥 ข้อมูลนักเรียน'!C10</f>
        <v/>
      </c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37">
        <f>IFERROR(SUMPRODUCT(((D264=D257)*(E264="Y")*(F264=F257)*(G264="Y")*(D264&lt;&gt;"")* (F264&lt;&gt;""))+((H264=H257)*(I264="Y")*(J264=J257)*(K264="Y")*(H264&lt;&gt;"")* (J264&lt;&gt;""))+((L264=L257)*(M264="Y")*(N264=N257)*(O264="Y")*(L264&lt;&gt;"")* (N264&lt;&gt;""))+((P264=P257)*(Q264="Y")*(R264=R257)*(S264="Y")*(P264&lt;&gt;"")* (R264&lt;&gt;""))),0)</f>
        <v/>
      </c>
      <c r="U264" s="49">
        <f>IFERROR(SUMPRODUCT(((D264&lt;&gt;D257)*(E264="Y")*(F264&lt;&gt;F257)*(G264="Y")*(D264&lt;&gt;"")* (F264&lt;&gt;""))+((H264&lt;&gt;H257)*(I264="Y")*(J264&lt;&gt;J257)*(K264="Y")*(H264&lt;&gt;"")* (J264&lt;&gt;""))+((L264&lt;&gt;L257)*(M264="Y")*(N264&lt;&gt;N257)*(O264="Y")*(L264&lt;&gt;"")* (N264&lt;&gt;""))+((P264&lt;&gt;P257)*(Q264="Y")*(R264&lt;&gt;R257)*(S264="Y")*(P264&lt;&gt;"")* (R264&lt;&gt;""))),0)</f>
        <v/>
      </c>
      <c r="V264" s="37">
        <f>IFERROR(SUMPRODUCT(((D264=D257)*(E264="Y")*(F264&lt;&gt;F257)*(G264="Y")*(D264&lt;&gt;"")* (F264&lt;&gt;""))+((H264=H257)*(I264="Y")*(J264&lt;&gt;J257)*(K264="Y")*(H264&lt;&gt;"")* (J264&lt;&gt;""))+((L264=L257)*(M264="Y")*(N264&lt;&gt;N257)*(O264="Y")*(L264&lt;&gt;"")* (N264&lt;&gt;""))+((P264=P257)*(Q264="Y")*(R264&lt;&gt;R257)*(S264="Y")*(P264&lt;&gt;"")* (R264&lt;&gt;""))),0)</f>
        <v/>
      </c>
      <c r="W264" s="37">
        <f>IFERROR(SUMPRODUCT(((E264="N")*(D264&lt;&gt;"")* (F264&lt;&gt;""))+((I264="N")*(H264&lt;&gt;"")* (J264&lt;&gt;""))+((M264="N")*(L264&lt;&gt;"")* (N264&lt;&gt;""))+((Q264="N")*(P264&lt;&gt;"")* (R264&lt;&gt;""))),0)</f>
        <v/>
      </c>
      <c r="X264" s="50">
        <f>IFERROR(U264/4,0)</f>
        <v/>
      </c>
    </row>
    <row r="265" ht="18" customHeight="1">
      <c r="B265" s="46">
        <f>'📥 ข้อมูลนักเรียน'!B11</f>
        <v/>
      </c>
      <c r="C265" s="51">
        <f>'📥 ข้อมูลนักเรียน'!C11</f>
        <v/>
      </c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37">
        <f>IFERROR(SUMPRODUCT(((D265=D257)*(E265="Y")*(F265=F257)*(G265="Y")*(D265&lt;&gt;"")* (F265&lt;&gt;""))+((H265=H257)*(I265="Y")*(J265=J257)*(K265="Y")*(H265&lt;&gt;"")* (J265&lt;&gt;""))+((L265=L257)*(M265="Y")*(N265=N257)*(O265="Y")*(L265&lt;&gt;"")* (N265&lt;&gt;""))+((P265=P257)*(Q265="Y")*(R265=R257)*(S265="Y")*(P265&lt;&gt;"")* (R265&lt;&gt;""))),0)</f>
        <v/>
      </c>
      <c r="U265" s="49">
        <f>IFERROR(SUMPRODUCT(((D265&lt;&gt;D257)*(E265="Y")*(F265&lt;&gt;F257)*(G265="Y")*(D265&lt;&gt;"")* (F265&lt;&gt;""))+((H265&lt;&gt;H257)*(I265="Y")*(J265&lt;&gt;J257)*(K265="Y")*(H265&lt;&gt;"")* (J265&lt;&gt;""))+((L265&lt;&gt;L257)*(M265="Y")*(N265&lt;&gt;N257)*(O265="Y")*(L265&lt;&gt;"")* (N265&lt;&gt;""))+((P265&lt;&gt;P257)*(Q265="Y")*(R265&lt;&gt;R257)*(S265="Y")*(P265&lt;&gt;"")* (R265&lt;&gt;""))),0)</f>
        <v/>
      </c>
      <c r="V265" s="37">
        <f>IFERROR(SUMPRODUCT(((D265=D257)*(E265="Y")*(F265&lt;&gt;F257)*(G265="Y")*(D265&lt;&gt;"")* (F265&lt;&gt;""))+((H265=H257)*(I265="Y")*(J265&lt;&gt;J257)*(K265="Y")*(H265&lt;&gt;"")* (J265&lt;&gt;""))+((L265=L257)*(M265="Y")*(N265&lt;&gt;N257)*(O265="Y")*(L265&lt;&gt;"")* (N265&lt;&gt;""))+((P265=P257)*(Q265="Y")*(R265&lt;&gt;R257)*(S265="Y")*(P265&lt;&gt;"")* (R265&lt;&gt;""))),0)</f>
        <v/>
      </c>
      <c r="W265" s="37">
        <f>IFERROR(SUMPRODUCT(((E265="N")*(D265&lt;&gt;"")* (F265&lt;&gt;""))+((I265="N")*(H265&lt;&gt;"")* (J265&lt;&gt;""))+((M265="N")*(L265&lt;&gt;"")* (N265&lt;&gt;""))+((Q265="N")*(P265&lt;&gt;"")* (R265&lt;&gt;""))),0)</f>
        <v/>
      </c>
      <c r="X265" s="50">
        <f>IFERROR(U265/4,0)</f>
        <v/>
      </c>
    </row>
    <row r="266" ht="18" customHeight="1">
      <c r="B266" s="46">
        <f>'📥 ข้อมูลนักเรียน'!B12</f>
        <v/>
      </c>
      <c r="C266" s="47">
        <f>'📥 ข้อมูลนักเรียน'!C12</f>
        <v/>
      </c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37">
        <f>IFERROR(SUMPRODUCT(((D266=D257)*(E266="Y")*(F266=F257)*(G266="Y")*(D266&lt;&gt;"")* (F266&lt;&gt;""))+((H266=H257)*(I266="Y")*(J266=J257)*(K266="Y")*(H266&lt;&gt;"")* (J266&lt;&gt;""))+((L266=L257)*(M266="Y")*(N266=N257)*(O266="Y")*(L266&lt;&gt;"")* (N266&lt;&gt;""))+((P266=P257)*(Q266="Y")*(R266=R257)*(S266="Y")*(P266&lt;&gt;"")* (R266&lt;&gt;""))),0)</f>
        <v/>
      </c>
      <c r="U266" s="49">
        <f>IFERROR(SUMPRODUCT(((D266&lt;&gt;D257)*(E266="Y")*(F266&lt;&gt;F257)*(G266="Y")*(D266&lt;&gt;"")* (F266&lt;&gt;""))+((H266&lt;&gt;H257)*(I266="Y")*(J266&lt;&gt;J257)*(K266="Y")*(H266&lt;&gt;"")* (J266&lt;&gt;""))+((L266&lt;&gt;L257)*(M266="Y")*(N266&lt;&gt;N257)*(O266="Y")*(L266&lt;&gt;"")* (N266&lt;&gt;""))+((P266&lt;&gt;P257)*(Q266="Y")*(R266&lt;&gt;R257)*(S266="Y")*(P266&lt;&gt;"")* (R266&lt;&gt;""))),0)</f>
        <v/>
      </c>
      <c r="V266" s="37">
        <f>IFERROR(SUMPRODUCT(((D266=D257)*(E266="Y")*(F266&lt;&gt;F257)*(G266="Y")*(D266&lt;&gt;"")* (F266&lt;&gt;""))+((H266=H257)*(I266="Y")*(J266&lt;&gt;J257)*(K266="Y")*(H266&lt;&gt;"")* (J266&lt;&gt;""))+((L266=L257)*(M266="Y")*(N266&lt;&gt;N257)*(O266="Y")*(L266&lt;&gt;"")* (N266&lt;&gt;""))+((P266=P257)*(Q266="Y")*(R266&lt;&gt;R257)*(S266="Y")*(P266&lt;&gt;"")* (R266&lt;&gt;""))),0)</f>
        <v/>
      </c>
      <c r="W266" s="37">
        <f>IFERROR(SUMPRODUCT(((E266="N")*(D266&lt;&gt;"")* (F266&lt;&gt;""))+((I266="N")*(H266&lt;&gt;"")* (J266&lt;&gt;""))+((M266="N")*(L266&lt;&gt;"")* (N266&lt;&gt;""))+((Q266="N")*(P266&lt;&gt;"")* (R266&lt;&gt;""))),0)</f>
        <v/>
      </c>
      <c r="X266" s="50">
        <f>IFERROR(U266/4,0)</f>
        <v/>
      </c>
    </row>
    <row r="267" ht="18" customHeight="1">
      <c r="B267" s="46">
        <f>'📥 ข้อมูลนักเรียน'!B13</f>
        <v/>
      </c>
      <c r="C267" s="51">
        <f>'📥 ข้อมูลนักเรียน'!C13</f>
        <v/>
      </c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37">
        <f>IFERROR(SUMPRODUCT(((D267=D257)*(E267="Y")*(F267=F257)*(G267="Y")*(D267&lt;&gt;"")* (F267&lt;&gt;""))+((H267=H257)*(I267="Y")*(J267=J257)*(K267="Y")*(H267&lt;&gt;"")* (J267&lt;&gt;""))+((L267=L257)*(M267="Y")*(N267=N257)*(O267="Y")*(L267&lt;&gt;"")* (N267&lt;&gt;""))+((P267=P257)*(Q267="Y")*(R267=R257)*(S267="Y")*(P267&lt;&gt;"")* (R267&lt;&gt;""))),0)</f>
        <v/>
      </c>
      <c r="U267" s="49">
        <f>IFERROR(SUMPRODUCT(((D267&lt;&gt;D257)*(E267="Y")*(F267&lt;&gt;F257)*(G267="Y")*(D267&lt;&gt;"")* (F267&lt;&gt;""))+((H267&lt;&gt;H257)*(I267="Y")*(J267&lt;&gt;J257)*(K267="Y")*(H267&lt;&gt;"")* (J267&lt;&gt;""))+((L267&lt;&gt;L257)*(M267="Y")*(N267&lt;&gt;N257)*(O267="Y")*(L267&lt;&gt;"")* (N267&lt;&gt;""))+((P267&lt;&gt;P257)*(Q267="Y")*(R267&lt;&gt;R257)*(S267="Y")*(P267&lt;&gt;"")* (R267&lt;&gt;""))),0)</f>
        <v/>
      </c>
      <c r="V267" s="37">
        <f>IFERROR(SUMPRODUCT(((D267=D257)*(E267="Y")*(F267&lt;&gt;F257)*(G267="Y")*(D267&lt;&gt;"")* (F267&lt;&gt;""))+((H267=H257)*(I267="Y")*(J267&lt;&gt;J257)*(K267="Y")*(H267&lt;&gt;"")* (J267&lt;&gt;""))+((L267=L257)*(M267="Y")*(N267&lt;&gt;N257)*(O267="Y")*(L267&lt;&gt;"")* (N267&lt;&gt;""))+((P267=P257)*(Q267="Y")*(R267&lt;&gt;R257)*(S267="Y")*(P267&lt;&gt;"")* (R267&lt;&gt;""))),0)</f>
        <v/>
      </c>
      <c r="W267" s="37">
        <f>IFERROR(SUMPRODUCT(((E267="N")*(D267&lt;&gt;"")* (F267&lt;&gt;""))+((I267="N")*(H267&lt;&gt;"")* (J267&lt;&gt;""))+((M267="N")*(L267&lt;&gt;"")* (N267&lt;&gt;""))+((Q267="N")*(P267&lt;&gt;"")* (R267&lt;&gt;""))),0)</f>
        <v/>
      </c>
      <c r="X267" s="50">
        <f>IFERROR(U267/4,0)</f>
        <v/>
      </c>
    </row>
    <row r="268" ht="18" customHeight="1">
      <c r="B268" s="46">
        <f>'📥 ข้อมูลนักเรียน'!B14</f>
        <v/>
      </c>
      <c r="C268" s="47">
        <f>'📥 ข้อมูลนักเรียน'!C14</f>
        <v/>
      </c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37">
        <f>IFERROR(SUMPRODUCT(((D268=D257)*(E268="Y")*(F268=F257)*(G268="Y")*(D268&lt;&gt;"")* (F268&lt;&gt;""))+((H268=H257)*(I268="Y")*(J268=J257)*(K268="Y")*(H268&lt;&gt;"")* (J268&lt;&gt;""))+((L268=L257)*(M268="Y")*(N268=N257)*(O268="Y")*(L268&lt;&gt;"")* (N268&lt;&gt;""))+((P268=P257)*(Q268="Y")*(R268=R257)*(S268="Y")*(P268&lt;&gt;"")* (R268&lt;&gt;""))),0)</f>
        <v/>
      </c>
      <c r="U268" s="49">
        <f>IFERROR(SUMPRODUCT(((D268&lt;&gt;D257)*(E268="Y")*(F268&lt;&gt;F257)*(G268="Y")*(D268&lt;&gt;"")* (F268&lt;&gt;""))+((H268&lt;&gt;H257)*(I268="Y")*(J268&lt;&gt;J257)*(K268="Y")*(H268&lt;&gt;"")* (J268&lt;&gt;""))+((L268&lt;&gt;L257)*(M268="Y")*(N268&lt;&gt;N257)*(O268="Y")*(L268&lt;&gt;"")* (N268&lt;&gt;""))+((P268&lt;&gt;P257)*(Q268="Y")*(R268&lt;&gt;R257)*(S268="Y")*(P268&lt;&gt;"")* (R268&lt;&gt;""))),0)</f>
        <v/>
      </c>
      <c r="V268" s="37">
        <f>IFERROR(SUMPRODUCT(((D268=D257)*(E268="Y")*(F268&lt;&gt;F257)*(G268="Y")*(D268&lt;&gt;"")* (F268&lt;&gt;""))+((H268=H257)*(I268="Y")*(J268&lt;&gt;J257)*(K268="Y")*(H268&lt;&gt;"")* (J268&lt;&gt;""))+((L268=L257)*(M268="Y")*(N268&lt;&gt;N257)*(O268="Y")*(L268&lt;&gt;"")* (N268&lt;&gt;""))+((P268=P257)*(Q268="Y")*(R268&lt;&gt;R257)*(S268="Y")*(P268&lt;&gt;"")* (R268&lt;&gt;""))),0)</f>
        <v/>
      </c>
      <c r="W268" s="37">
        <f>IFERROR(SUMPRODUCT(((E268="N")*(D268&lt;&gt;"")* (F268&lt;&gt;""))+((I268="N")*(H268&lt;&gt;"")* (J268&lt;&gt;""))+((M268="N")*(L268&lt;&gt;"")* (N268&lt;&gt;""))+((Q268="N")*(P268&lt;&gt;"")* (R268&lt;&gt;""))),0)</f>
        <v/>
      </c>
      <c r="X268" s="50">
        <f>IFERROR(U268/4,0)</f>
        <v/>
      </c>
    </row>
    <row r="269" ht="18" customHeight="1">
      <c r="B269" s="46">
        <f>'📥 ข้อมูลนักเรียน'!B15</f>
        <v/>
      </c>
      <c r="C269" s="51">
        <f>'📥 ข้อมูลนักเรียน'!C15</f>
        <v/>
      </c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37">
        <f>IFERROR(SUMPRODUCT(((D269=D257)*(E269="Y")*(F269=F257)*(G269="Y")*(D269&lt;&gt;"")* (F269&lt;&gt;""))+((H269=H257)*(I269="Y")*(J269=J257)*(K269="Y")*(H269&lt;&gt;"")* (J269&lt;&gt;""))+((L269=L257)*(M269="Y")*(N269=N257)*(O269="Y")*(L269&lt;&gt;"")* (N269&lt;&gt;""))+((P269=P257)*(Q269="Y")*(R269=R257)*(S269="Y")*(P269&lt;&gt;"")* (R269&lt;&gt;""))),0)</f>
        <v/>
      </c>
      <c r="U269" s="49">
        <f>IFERROR(SUMPRODUCT(((D269&lt;&gt;D257)*(E269="Y")*(F269&lt;&gt;F257)*(G269="Y")*(D269&lt;&gt;"")* (F269&lt;&gt;""))+((H269&lt;&gt;H257)*(I269="Y")*(J269&lt;&gt;J257)*(K269="Y")*(H269&lt;&gt;"")* (J269&lt;&gt;""))+((L269&lt;&gt;L257)*(M269="Y")*(N269&lt;&gt;N257)*(O269="Y")*(L269&lt;&gt;"")* (N269&lt;&gt;""))+((P269&lt;&gt;P257)*(Q269="Y")*(R269&lt;&gt;R257)*(S269="Y")*(P269&lt;&gt;"")* (R269&lt;&gt;""))),0)</f>
        <v/>
      </c>
      <c r="V269" s="37">
        <f>IFERROR(SUMPRODUCT(((D269=D257)*(E269="Y")*(F269&lt;&gt;F257)*(G269="Y")*(D269&lt;&gt;"")* (F269&lt;&gt;""))+((H269=H257)*(I269="Y")*(J269&lt;&gt;J257)*(K269="Y")*(H269&lt;&gt;"")* (J269&lt;&gt;""))+((L269=L257)*(M269="Y")*(N269&lt;&gt;N257)*(O269="Y")*(L269&lt;&gt;"")* (N269&lt;&gt;""))+((P269=P257)*(Q269="Y")*(R269&lt;&gt;R257)*(S269="Y")*(P269&lt;&gt;"")* (R269&lt;&gt;""))),0)</f>
        <v/>
      </c>
      <c r="W269" s="37">
        <f>IFERROR(SUMPRODUCT(((E269="N")*(D269&lt;&gt;"")* (F269&lt;&gt;""))+((I269="N")*(H269&lt;&gt;"")* (J269&lt;&gt;""))+((M269="N")*(L269&lt;&gt;"")* (N269&lt;&gt;""))+((Q269="N")*(P269&lt;&gt;"")* (R269&lt;&gt;""))),0)</f>
        <v/>
      </c>
      <c r="X269" s="50">
        <f>IFERROR(U269/4,0)</f>
        <v/>
      </c>
    </row>
    <row r="270" ht="18" customHeight="1">
      <c r="B270" s="46">
        <f>'📥 ข้อมูลนักเรียน'!B16</f>
        <v/>
      </c>
      <c r="C270" s="47">
        <f>'📥 ข้อมูลนักเรียน'!C16</f>
        <v/>
      </c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37">
        <f>IFERROR(SUMPRODUCT(((D270=D257)*(E270="Y")*(F270=F257)*(G270="Y")*(D270&lt;&gt;"")* (F270&lt;&gt;""))+((H270=H257)*(I270="Y")*(J270=J257)*(K270="Y")*(H270&lt;&gt;"")* (J270&lt;&gt;""))+((L270=L257)*(M270="Y")*(N270=N257)*(O270="Y")*(L270&lt;&gt;"")* (N270&lt;&gt;""))+((P270=P257)*(Q270="Y")*(R270=R257)*(S270="Y")*(P270&lt;&gt;"")* (R270&lt;&gt;""))),0)</f>
        <v/>
      </c>
      <c r="U270" s="49">
        <f>IFERROR(SUMPRODUCT(((D270&lt;&gt;D257)*(E270="Y")*(F270&lt;&gt;F257)*(G270="Y")*(D270&lt;&gt;"")* (F270&lt;&gt;""))+((H270&lt;&gt;H257)*(I270="Y")*(J270&lt;&gt;J257)*(K270="Y")*(H270&lt;&gt;"")* (J270&lt;&gt;""))+((L270&lt;&gt;L257)*(M270="Y")*(N270&lt;&gt;N257)*(O270="Y")*(L270&lt;&gt;"")* (N270&lt;&gt;""))+((P270&lt;&gt;P257)*(Q270="Y")*(R270&lt;&gt;R257)*(S270="Y")*(P270&lt;&gt;"")* (R270&lt;&gt;""))),0)</f>
        <v/>
      </c>
      <c r="V270" s="37">
        <f>IFERROR(SUMPRODUCT(((D270=D257)*(E270="Y")*(F270&lt;&gt;F257)*(G270="Y")*(D270&lt;&gt;"")* (F270&lt;&gt;""))+((H270=H257)*(I270="Y")*(J270&lt;&gt;J257)*(K270="Y")*(H270&lt;&gt;"")* (J270&lt;&gt;""))+((L270=L257)*(M270="Y")*(N270&lt;&gt;N257)*(O270="Y")*(L270&lt;&gt;"")* (N270&lt;&gt;""))+((P270=P257)*(Q270="Y")*(R270&lt;&gt;R257)*(S270="Y")*(P270&lt;&gt;"")* (R270&lt;&gt;""))),0)</f>
        <v/>
      </c>
      <c r="W270" s="37">
        <f>IFERROR(SUMPRODUCT(((E270="N")*(D270&lt;&gt;"")* (F270&lt;&gt;""))+((I270="N")*(H270&lt;&gt;"")* (J270&lt;&gt;""))+((M270="N")*(L270&lt;&gt;"")* (N270&lt;&gt;""))+((Q270="N")*(P270&lt;&gt;"")* (R270&lt;&gt;""))),0)</f>
        <v/>
      </c>
      <c r="X270" s="50">
        <f>IFERROR(U270/4,0)</f>
        <v/>
      </c>
    </row>
    <row r="271" ht="18" customHeight="1">
      <c r="B271" s="46">
        <f>'📥 ข้อมูลนักเรียน'!B17</f>
        <v/>
      </c>
      <c r="C271" s="51">
        <f>'📥 ข้อมูลนักเรียน'!C17</f>
        <v/>
      </c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37">
        <f>IFERROR(SUMPRODUCT(((D271=D257)*(E271="Y")*(F271=F257)*(G271="Y")*(D271&lt;&gt;"")* (F271&lt;&gt;""))+((H271=H257)*(I271="Y")*(J271=J257)*(K271="Y")*(H271&lt;&gt;"")* (J271&lt;&gt;""))+((L271=L257)*(M271="Y")*(N271=N257)*(O271="Y")*(L271&lt;&gt;"")* (N271&lt;&gt;""))+((P271=P257)*(Q271="Y")*(R271=R257)*(S271="Y")*(P271&lt;&gt;"")* (R271&lt;&gt;""))),0)</f>
        <v/>
      </c>
      <c r="U271" s="49">
        <f>IFERROR(SUMPRODUCT(((D271&lt;&gt;D257)*(E271="Y")*(F271&lt;&gt;F257)*(G271="Y")*(D271&lt;&gt;"")* (F271&lt;&gt;""))+((H271&lt;&gt;H257)*(I271="Y")*(J271&lt;&gt;J257)*(K271="Y")*(H271&lt;&gt;"")* (J271&lt;&gt;""))+((L271&lt;&gt;L257)*(M271="Y")*(N271&lt;&gt;N257)*(O271="Y")*(L271&lt;&gt;"")* (N271&lt;&gt;""))+((P271&lt;&gt;P257)*(Q271="Y")*(R271&lt;&gt;R257)*(S271="Y")*(P271&lt;&gt;"")* (R271&lt;&gt;""))),0)</f>
        <v/>
      </c>
      <c r="V271" s="37">
        <f>IFERROR(SUMPRODUCT(((D271=D257)*(E271="Y")*(F271&lt;&gt;F257)*(G271="Y")*(D271&lt;&gt;"")* (F271&lt;&gt;""))+((H271=H257)*(I271="Y")*(J271&lt;&gt;J257)*(K271="Y")*(H271&lt;&gt;"")* (J271&lt;&gt;""))+((L271=L257)*(M271="Y")*(N271&lt;&gt;N257)*(O271="Y")*(L271&lt;&gt;"")* (N271&lt;&gt;""))+((P271=P257)*(Q271="Y")*(R271&lt;&gt;R257)*(S271="Y")*(P271&lt;&gt;"")* (R271&lt;&gt;""))),0)</f>
        <v/>
      </c>
      <c r="W271" s="37">
        <f>IFERROR(SUMPRODUCT(((E271="N")*(D271&lt;&gt;"")* (F271&lt;&gt;""))+((I271="N")*(H271&lt;&gt;"")* (J271&lt;&gt;""))+((M271="N")*(L271&lt;&gt;"")* (N271&lt;&gt;""))+((Q271="N")*(P271&lt;&gt;"")* (R271&lt;&gt;""))),0)</f>
        <v/>
      </c>
      <c r="X271" s="50">
        <f>IFERROR(U271/4,0)</f>
        <v/>
      </c>
    </row>
    <row r="272" ht="18" customHeight="1">
      <c r="B272" s="46">
        <f>'📥 ข้อมูลนักเรียน'!B18</f>
        <v/>
      </c>
      <c r="C272" s="47">
        <f>'📥 ข้อมูลนักเรียน'!C18</f>
        <v/>
      </c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37">
        <f>IFERROR(SUMPRODUCT(((D272=D257)*(E272="Y")*(F272=F257)*(G272="Y")*(D272&lt;&gt;"")*(F272&lt;&gt;""))+((H272=H257)*(I272="Y")*(J272=J257)*(K272="Y")*(H272&lt;&gt;"")*(J272&lt;&gt;""))+((L272=L257)*(M272="Y")*(N272=N257)*(O272="Y")*(L272&lt;&gt;"")*(N272&lt;&gt;""))+((P272=P257)*(Q272="Y")*(R272=R257)*(S272="Y")*(P272&lt;&gt;"")*(R272&lt;&gt;""))),0)</f>
        <v/>
      </c>
      <c r="U272" s="49">
        <f>IFERROR(SUMPRODUCT(((D272&lt;&gt;D257)*(E272="Y")*(F272&lt;&gt;F257)*(G272="Y")*(D272&lt;&gt;"")*(F272&lt;&gt;""))+((H272&lt;&gt;H257)*(I272="Y")*(J272&lt;&gt;J257)*(K272="Y")*(H272&lt;&gt;"")*(J272&lt;&gt;""))+((L272&lt;&gt;L257)*(M272="Y")*(N272&lt;&gt;N257)*(O272="Y")*(L272&lt;&gt;"")*(N272&lt;&gt;""))+((P272&lt;&gt;P257)*(Q272="Y")*(R272&lt;&gt;R257)*(S272="Y")*(P272&lt;&gt;"")*(R272&lt;&gt;""))),0)</f>
        <v/>
      </c>
      <c r="V272" s="37">
        <f>IFERROR(SUMPRODUCT(((D272=D257)*(E272="Y")*(F272&lt;&gt;F257)*(G272="Y")*(D272&lt;&gt;"")*(F272&lt;&gt;""))+((H272=H257)*(I272="Y")*(J272&lt;&gt;J257)*(K272="Y")*(H272&lt;&gt;"")*(J272&lt;&gt;""))+((L272=L257)*(M272="Y")*(N272&lt;&gt;N257)*(O272="Y")*(L272&lt;&gt;"")*(N272&lt;&gt;""))+((P272=P257)*(Q272="Y")*(R272&lt;&gt;R257)*(S272="Y")*(P272&lt;&gt;"")*(R272&lt;&gt;""))),0)</f>
        <v/>
      </c>
      <c r="W272" s="37">
        <f>IFERROR(SUMPRODUCT(((E272="N")*(D272&lt;&gt;"")*(F272&lt;&gt;""))+((I272="N")*(H272&lt;&gt;"")*(J272&lt;&gt;""))+((M272="N")*(L272&lt;&gt;"")*(N272&lt;&gt;""))+((Q272="N")*(P272&lt;&gt;"")*(R272&lt;&gt;""))),0)</f>
        <v/>
      </c>
      <c r="X272" s="50">
        <f>IFERROR(U272/4,0)</f>
        <v/>
      </c>
    </row>
    <row r="273" ht="18" customHeight="1">
      <c r="B273" s="46">
        <f>'📥 ข้อมูลนักเรียน'!B19</f>
        <v/>
      </c>
      <c r="C273" s="51">
        <f>'📥 ข้อมูลนักเรียน'!C19</f>
        <v/>
      </c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37">
        <f>IFERROR(SUMPRODUCT(((D273=D257)*(E273="Y")*(F273=F257)*(G273="Y")*(D273&lt;&gt;"")*(F273&lt;&gt;""))+((H273=H257)*(I273="Y")*(J273=J257)*(K273="Y")*(H273&lt;&gt;"")*(J273&lt;&gt;""))+((L273=L257)*(M273="Y")*(N273=N257)*(O273="Y")*(L273&lt;&gt;"")*(N273&lt;&gt;""))+((P273=P257)*(Q273="Y")*(R273=R257)*(S273="Y")*(P273&lt;&gt;"")*(R273&lt;&gt;""))),0)</f>
        <v/>
      </c>
      <c r="U273" s="49">
        <f>IFERROR(SUMPRODUCT(((D273&lt;&gt;D257)*(E273="Y")*(F273&lt;&gt;F257)*(G273="Y")*(D273&lt;&gt;"")*(F273&lt;&gt;""))+((H273&lt;&gt;H257)*(I273="Y")*(J273&lt;&gt;J257)*(K273="Y")*(H273&lt;&gt;"")*(J273&lt;&gt;""))+((L273&lt;&gt;L257)*(M273="Y")*(N273&lt;&gt;N257)*(O273="Y")*(L273&lt;&gt;"")*(N273&lt;&gt;""))+((P273&lt;&gt;P257)*(Q273="Y")*(R273&lt;&gt;R257)*(S273="Y")*(P273&lt;&gt;"")*(R273&lt;&gt;""))),0)</f>
        <v/>
      </c>
      <c r="V273" s="37">
        <f>IFERROR(SUMPRODUCT(((D273=D257)*(E273="Y")*(F273&lt;&gt;F257)*(G273="Y")*(D273&lt;&gt;"")*(F273&lt;&gt;""))+((H273=H257)*(I273="Y")*(J273&lt;&gt;J257)*(K273="Y")*(H273&lt;&gt;"")*(J273&lt;&gt;""))+((L273=L257)*(M273="Y")*(N273&lt;&gt;N257)*(O273="Y")*(L273&lt;&gt;"")*(N273&lt;&gt;""))+((P273=P257)*(Q273="Y")*(R273&lt;&gt;R257)*(S273="Y")*(P273&lt;&gt;"")*(R273&lt;&gt;""))),0)</f>
        <v/>
      </c>
      <c r="W273" s="37">
        <f>IFERROR(SUMPRODUCT(((E273="N")*(D273&lt;&gt;"")*(F273&lt;&gt;""))+((I273="N")*(H273&lt;&gt;"")*(J273&lt;&gt;""))+((M273="N")*(L273&lt;&gt;"")*(N273&lt;&gt;""))+((Q273="N")*(P273&lt;&gt;"")*(R273&lt;&gt;""))),0)</f>
        <v/>
      </c>
      <c r="X273" s="50">
        <f>IFERROR(U273/4,0)</f>
        <v/>
      </c>
    </row>
    <row r="274" ht="18" customHeight="1">
      <c r="B274" s="46">
        <f>'📥 ข้อมูลนักเรียน'!B20</f>
        <v/>
      </c>
      <c r="C274" s="47">
        <f>'📥 ข้อมูลนักเรียน'!C20</f>
        <v/>
      </c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37">
        <f>IFERROR(SUMPRODUCT(((D274=D257)*(E274="Y")*(F274=F257)*(G274="Y")*(D274&lt;&gt;"")*(F274&lt;&gt;""))+((H274=H257)*(I274="Y")*(J274=J257)*(K274="Y")*(H274&lt;&gt;"")*(J274&lt;&gt;""))+((L274=L257)*(M274="Y")*(N274=N257)*(O274="Y")*(L274&lt;&gt;"")*(N274&lt;&gt;""))+((P274=P257)*(Q274="Y")*(R274=R257)*(S274="Y")*(P274&lt;&gt;"")*(R274&lt;&gt;""))),0)</f>
        <v/>
      </c>
      <c r="U274" s="49">
        <f>IFERROR(SUMPRODUCT(((D274&lt;&gt;D257)*(E274="Y")*(F274&lt;&gt;F257)*(G274="Y")*(D274&lt;&gt;"")*(F274&lt;&gt;""))+((H274&lt;&gt;H257)*(I274="Y")*(J274&lt;&gt;J257)*(K274="Y")*(H274&lt;&gt;"")*(J274&lt;&gt;""))+((L274&lt;&gt;L257)*(M274="Y")*(N274&lt;&gt;N257)*(O274="Y")*(L274&lt;&gt;"")*(N274&lt;&gt;""))+((P274&lt;&gt;P257)*(Q274="Y")*(R274&lt;&gt;R257)*(S274="Y")*(P274&lt;&gt;"")*(R274&lt;&gt;""))),0)</f>
        <v/>
      </c>
      <c r="V274" s="37">
        <f>IFERROR(SUMPRODUCT(((D274=D257)*(E274="Y")*(F274&lt;&gt;F257)*(G274="Y")*(D274&lt;&gt;"")*(F274&lt;&gt;""))+((H274=H257)*(I274="Y")*(J274&lt;&gt;J257)*(K274="Y")*(H274&lt;&gt;"")*(J274&lt;&gt;""))+((L274=L257)*(M274="Y")*(N274&lt;&gt;N257)*(O274="Y")*(L274&lt;&gt;"")*(N274&lt;&gt;""))+((P274=P257)*(Q274="Y")*(R274&lt;&gt;R257)*(S274="Y")*(P274&lt;&gt;"")*(R274&lt;&gt;""))),0)</f>
        <v/>
      </c>
      <c r="W274" s="37">
        <f>IFERROR(SUMPRODUCT(((E274="N")*(D274&lt;&gt;"")*(F274&lt;&gt;""))+((I274="N")*(H274&lt;&gt;"")*(J274&lt;&gt;""))+((M274="N")*(L274&lt;&gt;"")*(N274&lt;&gt;""))+((Q274="N")*(P274&lt;&gt;"")*(R274&lt;&gt;""))),0)</f>
        <v/>
      </c>
      <c r="X274" s="50">
        <f>IFERROR(U274/4,0)</f>
        <v/>
      </c>
    </row>
    <row r="275" ht="18" customHeight="1">
      <c r="B275" s="46">
        <f>'📥 ข้อมูลนักเรียน'!B21</f>
        <v/>
      </c>
      <c r="C275" s="51">
        <f>'📥 ข้อมูลนักเรียน'!C21</f>
        <v/>
      </c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37">
        <f>IFERROR(SUMPRODUCT(((D275=D257)*(E275="Y")*(F275=F257)*(G275="Y")*(D275&lt;&gt;"")*(F275&lt;&gt;""))+((H275=H257)*(I275="Y")*(J275=J257)*(K275="Y")*(H275&lt;&gt;"")*(J275&lt;&gt;""))+((L275=L257)*(M275="Y")*(N275=N257)*(O275="Y")*(L275&lt;&gt;"")*(N275&lt;&gt;""))+((P275=P257)*(Q275="Y")*(R275=R257)*(S275="Y")*(P275&lt;&gt;"")*(R275&lt;&gt;""))),0)</f>
        <v/>
      </c>
      <c r="U275" s="49">
        <f>IFERROR(SUMPRODUCT(((D275&lt;&gt;D257)*(E275="Y")*(F275&lt;&gt;F257)*(G275="Y")*(D275&lt;&gt;"")*(F275&lt;&gt;""))+((H275&lt;&gt;H257)*(I275="Y")*(J275&lt;&gt;J257)*(K275="Y")*(H275&lt;&gt;"")*(J275&lt;&gt;""))+((L275&lt;&gt;L257)*(M275="Y")*(N275&lt;&gt;N257)*(O275="Y")*(L275&lt;&gt;"")*(N275&lt;&gt;""))+((P275&lt;&gt;P257)*(Q275="Y")*(R275&lt;&gt;R257)*(S275="Y")*(P275&lt;&gt;"")*(R275&lt;&gt;""))),0)</f>
        <v/>
      </c>
      <c r="V275" s="37">
        <f>IFERROR(SUMPRODUCT(((D275=D257)*(E275="Y")*(F275&lt;&gt;F257)*(G275="Y")*(D275&lt;&gt;"")*(F275&lt;&gt;""))+((H275=H257)*(I275="Y")*(J275&lt;&gt;J257)*(K275="Y")*(H275&lt;&gt;"")*(J275&lt;&gt;""))+((L275=L257)*(M275="Y")*(N275&lt;&gt;N257)*(O275="Y")*(L275&lt;&gt;"")*(N275&lt;&gt;""))+((P275=P257)*(Q275="Y")*(R275&lt;&gt;R257)*(S275="Y")*(P275&lt;&gt;"")*(R275&lt;&gt;""))),0)</f>
        <v/>
      </c>
      <c r="W275" s="37">
        <f>IFERROR(SUMPRODUCT(((E275="N")*(D275&lt;&gt;"")*(F275&lt;&gt;""))+((I275="N")*(H275&lt;&gt;"")*(J275&lt;&gt;""))+((M275="N")*(L275&lt;&gt;"")*(N275&lt;&gt;""))+((Q275="N")*(P275&lt;&gt;"")*(R275&lt;&gt;""))),0)</f>
        <v/>
      </c>
      <c r="X275" s="50">
        <f>IFERROR(U275/4,0)</f>
        <v/>
      </c>
    </row>
    <row r="276" ht="18" customHeight="1">
      <c r="B276" s="46">
        <f>'📥 ข้อมูลนักเรียน'!B22</f>
        <v/>
      </c>
      <c r="C276" s="47">
        <f>'📥 ข้อมูลนักเรียน'!C22</f>
        <v/>
      </c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37">
        <f>IFERROR(SUMPRODUCT(((D276=D257)*(E276="Y")*(F276=F257)*(G276="Y")*(D276&lt;&gt;"")*(F276&lt;&gt;""))+((H276=H257)*(I276="Y")*(J276=J257)*(K276="Y")*(H276&lt;&gt;"")*(J276&lt;&gt;""))+((L276=L257)*(M276="Y")*(N276=N257)*(O276="Y")*(L276&lt;&gt;"")*(N276&lt;&gt;""))+((P276=P257)*(Q276="Y")*(R276=R257)*(S276="Y")*(P276&lt;&gt;"")*(R276&lt;&gt;""))),0)</f>
        <v/>
      </c>
      <c r="U276" s="49">
        <f>IFERROR(SUMPRODUCT(((D276&lt;&gt;D257)*(E276="Y")*(F276&lt;&gt;F257)*(G276="Y")*(D276&lt;&gt;"")*(F276&lt;&gt;""))+((H276&lt;&gt;H257)*(I276="Y")*(J276&lt;&gt;J257)*(K276="Y")*(H276&lt;&gt;"")*(J276&lt;&gt;""))+((L276&lt;&gt;L257)*(M276="Y")*(N276&lt;&gt;N257)*(O276="Y")*(L276&lt;&gt;"")*(N276&lt;&gt;""))+((P276&lt;&gt;P257)*(Q276="Y")*(R276&lt;&gt;R257)*(S276="Y")*(P276&lt;&gt;"")*(R276&lt;&gt;""))),0)</f>
        <v/>
      </c>
      <c r="V276" s="37">
        <f>IFERROR(SUMPRODUCT(((D276=D257)*(E276="Y")*(F276&lt;&gt;F257)*(G276="Y")*(D276&lt;&gt;"")*(F276&lt;&gt;""))+((H276=H257)*(I276="Y")*(J276&lt;&gt;J257)*(K276="Y")*(H276&lt;&gt;"")*(J276&lt;&gt;""))+((L276=L257)*(M276="Y")*(N276&lt;&gt;N257)*(O276="Y")*(L276&lt;&gt;"")*(N276&lt;&gt;""))+((P276=P257)*(Q276="Y")*(R276&lt;&gt;R257)*(S276="Y")*(P276&lt;&gt;"")*(R276&lt;&gt;""))),0)</f>
        <v/>
      </c>
      <c r="W276" s="37">
        <f>IFERROR(SUMPRODUCT(((E276="N")*(D276&lt;&gt;"")*(F276&lt;&gt;""))+((I276="N")*(H276&lt;&gt;"")*(J276&lt;&gt;""))+((M276="N")*(L276&lt;&gt;"")*(N276&lt;&gt;""))+((Q276="N")*(P276&lt;&gt;"")*(R276&lt;&gt;""))),0)</f>
        <v/>
      </c>
      <c r="X276" s="50">
        <f>IFERROR(U276/4,0)</f>
        <v/>
      </c>
    </row>
    <row r="277" ht="18" customHeight="1">
      <c r="B277" s="46">
        <f>'📥 ข้อมูลนักเรียน'!B23</f>
        <v/>
      </c>
      <c r="C277" s="51">
        <f>'📥 ข้อมูลนักเรียน'!C23</f>
        <v/>
      </c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37">
        <f>IFERROR(SUMPRODUCT(((D277=D257)*(E277="Y")*(F277=F257)*(G277="Y")*(D277&lt;&gt;"")*(F277&lt;&gt;""))+((H277=H257)*(I277="Y")*(J277=J257)*(K277="Y")*(H277&lt;&gt;"")*(J277&lt;&gt;""))+((L277=L257)*(M277="Y")*(N277=N257)*(O277="Y")*(L277&lt;&gt;"")*(N277&lt;&gt;""))+((P277=P257)*(Q277="Y")*(R277=R257)*(S277="Y")*(P277&lt;&gt;"")*(R277&lt;&gt;""))),0)</f>
        <v/>
      </c>
      <c r="U277" s="49">
        <f>IFERROR(SUMPRODUCT(((D277&lt;&gt;D257)*(E277="Y")*(F277&lt;&gt;F257)*(G277="Y")*(D277&lt;&gt;"")*(F277&lt;&gt;""))+((H277&lt;&gt;H257)*(I277="Y")*(J277&lt;&gt;J257)*(K277="Y")*(H277&lt;&gt;"")*(J277&lt;&gt;""))+((L277&lt;&gt;L257)*(M277="Y")*(N277&lt;&gt;N257)*(O277="Y")*(L277&lt;&gt;"")*(N277&lt;&gt;""))+((P277&lt;&gt;P257)*(Q277="Y")*(R277&lt;&gt;R257)*(S277="Y")*(P277&lt;&gt;"")*(R277&lt;&gt;""))),0)</f>
        <v/>
      </c>
      <c r="V277" s="37">
        <f>IFERROR(SUMPRODUCT(((D277=D257)*(E277="Y")*(F277&lt;&gt;F257)*(G277="Y")*(D277&lt;&gt;"")*(F277&lt;&gt;""))+((H277=H257)*(I277="Y")*(J277&lt;&gt;J257)*(K277="Y")*(H277&lt;&gt;"")*(J277&lt;&gt;""))+((L277=L257)*(M277="Y")*(N277&lt;&gt;N257)*(O277="Y")*(L277&lt;&gt;"")*(N277&lt;&gt;""))+((P277=P257)*(Q277="Y")*(R277&lt;&gt;R257)*(S277="Y")*(P277&lt;&gt;"")*(R277&lt;&gt;""))),0)</f>
        <v/>
      </c>
      <c r="W277" s="37">
        <f>IFERROR(SUMPRODUCT(((E277="N")*(D277&lt;&gt;"")*(F277&lt;&gt;""))+((I277="N")*(H277&lt;&gt;"")*(J277&lt;&gt;""))+((M277="N")*(L277&lt;&gt;"")*(N277&lt;&gt;""))+((Q277="N")*(P277&lt;&gt;"")*(R277&lt;&gt;""))),0)</f>
        <v/>
      </c>
      <c r="X277" s="50">
        <f>IFERROR(U277/4,0)</f>
        <v/>
      </c>
    </row>
    <row r="278" ht="18" customHeight="1">
      <c r="B278" s="46">
        <f>'📥 ข้อมูลนักเรียน'!B24</f>
        <v/>
      </c>
      <c r="C278" s="47">
        <f>'📥 ข้อมูลนักเรียน'!C24</f>
        <v/>
      </c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37">
        <f>IFERROR(SUMPRODUCT(((D278=D257)*(E278="Y")*(F278=F257)*(G278="Y")*(D278&lt;&gt;"")*(F278&lt;&gt;""))+((H278=H257)*(I278="Y")*(J278=J257)*(K278="Y")*(H278&lt;&gt;"")*(J278&lt;&gt;""))+((L278=L257)*(M278="Y")*(N278=N257)*(O278="Y")*(L278&lt;&gt;"")*(N278&lt;&gt;""))+((P278=P257)*(Q278="Y")*(R278=R257)*(S278="Y")*(P278&lt;&gt;"")*(R278&lt;&gt;""))),0)</f>
        <v/>
      </c>
      <c r="U278" s="49">
        <f>IFERROR(SUMPRODUCT(((D278&lt;&gt;D257)*(E278="Y")*(F278&lt;&gt;F257)*(G278="Y")*(D278&lt;&gt;"")*(F278&lt;&gt;""))+((H278&lt;&gt;H257)*(I278="Y")*(J278&lt;&gt;J257)*(K278="Y")*(H278&lt;&gt;"")*(J278&lt;&gt;""))+((L278&lt;&gt;L257)*(M278="Y")*(N278&lt;&gt;N257)*(O278="Y")*(L278&lt;&gt;"")*(N278&lt;&gt;""))+((P278&lt;&gt;P257)*(Q278="Y")*(R278&lt;&gt;R257)*(S278="Y")*(P278&lt;&gt;"")*(R278&lt;&gt;""))),0)</f>
        <v/>
      </c>
      <c r="V278" s="37">
        <f>IFERROR(SUMPRODUCT(((D278=D257)*(E278="Y")*(F278&lt;&gt;F257)*(G278="Y")*(D278&lt;&gt;"")*(F278&lt;&gt;""))+((H278=H257)*(I278="Y")*(J278&lt;&gt;J257)*(K278="Y")*(H278&lt;&gt;"")*(J278&lt;&gt;""))+((L278=L257)*(M278="Y")*(N278&lt;&gt;N257)*(O278="Y")*(L278&lt;&gt;"")*(N278&lt;&gt;""))+((P278=P257)*(Q278="Y")*(R278&lt;&gt;R257)*(S278="Y")*(P278&lt;&gt;"")*(R278&lt;&gt;""))),0)</f>
        <v/>
      </c>
      <c r="W278" s="37">
        <f>IFERROR(SUMPRODUCT(((E278="N")*(D278&lt;&gt;"")*(F278&lt;&gt;""))+((I278="N")*(H278&lt;&gt;"")*(J278&lt;&gt;""))+((M278="N")*(L278&lt;&gt;"")*(N278&lt;&gt;""))+((Q278="N")*(P278&lt;&gt;"")*(R278&lt;&gt;""))),0)</f>
        <v/>
      </c>
      <c r="X278" s="50">
        <f>IFERROR(U278/4,0)</f>
        <v/>
      </c>
    </row>
    <row r="279" ht="18" customHeight="1">
      <c r="B279" s="46">
        <f>'📥 ข้อมูลนักเรียน'!B25</f>
        <v/>
      </c>
      <c r="C279" s="51">
        <f>'📥 ข้อมูลนักเรียน'!C25</f>
        <v/>
      </c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37">
        <f>IFERROR(SUMPRODUCT(((D279=D257)*(E279="Y")*(F279=F257)*(G279="Y")*(D279&lt;&gt;"")*(F279&lt;&gt;""))+((H279=H257)*(I279="Y")*(J279=J257)*(K279="Y")*(H279&lt;&gt;"")*(J279&lt;&gt;""))+((L279=L257)*(M279="Y")*(N279=N257)*(O279="Y")*(L279&lt;&gt;"")*(N279&lt;&gt;""))+((P279=P257)*(Q279="Y")*(R279=R257)*(S279="Y")*(P279&lt;&gt;"")*(R279&lt;&gt;""))),0)</f>
        <v/>
      </c>
      <c r="U279" s="49">
        <f>IFERROR(SUMPRODUCT(((D279&lt;&gt;D257)*(E279="Y")*(F279&lt;&gt;F257)*(G279="Y")*(D279&lt;&gt;"")*(F279&lt;&gt;""))+((H279&lt;&gt;H257)*(I279="Y")*(J279&lt;&gt;J257)*(K279="Y")*(H279&lt;&gt;"")*(J279&lt;&gt;""))+((L279&lt;&gt;L257)*(M279="Y")*(N279&lt;&gt;N257)*(O279="Y")*(L279&lt;&gt;"")*(N279&lt;&gt;""))+((P279&lt;&gt;P257)*(Q279="Y")*(R279&lt;&gt;R257)*(S279="Y")*(P279&lt;&gt;"")*(R279&lt;&gt;""))),0)</f>
        <v/>
      </c>
      <c r="V279" s="37">
        <f>IFERROR(SUMPRODUCT(((D279=D257)*(E279="Y")*(F279&lt;&gt;F257)*(G279="Y")*(D279&lt;&gt;"")*(F279&lt;&gt;""))+((H279=H257)*(I279="Y")*(J279&lt;&gt;J257)*(K279="Y")*(H279&lt;&gt;"")*(J279&lt;&gt;""))+((L279=L257)*(M279="Y")*(N279&lt;&gt;N257)*(O279="Y")*(L279&lt;&gt;"")*(N279&lt;&gt;""))+((P279=P257)*(Q279="Y")*(R279&lt;&gt;R257)*(S279="Y")*(P279&lt;&gt;"")*(R279&lt;&gt;""))),0)</f>
        <v/>
      </c>
      <c r="W279" s="37">
        <f>IFERROR(SUMPRODUCT(((E279="N")*(D279&lt;&gt;"")*(F279&lt;&gt;""))+((I279="N")*(H279&lt;&gt;"")*(J279&lt;&gt;""))+((M279="N")*(L279&lt;&gt;"")*(N279&lt;&gt;""))+((Q279="N")*(P279&lt;&gt;"")*(R279&lt;&gt;""))),0)</f>
        <v/>
      </c>
      <c r="X279" s="50">
        <f>IFERROR(U279/4,0)</f>
        <v/>
      </c>
    </row>
    <row r="280" ht="18" customHeight="1">
      <c r="B280" s="46">
        <f>'📥 ข้อมูลนักเรียน'!B26</f>
        <v/>
      </c>
      <c r="C280" s="47">
        <f>'📥 ข้อมูลนักเรียน'!C26</f>
        <v/>
      </c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37">
        <f>IFERROR(SUMPRODUCT(((D280=D257)*(E280="Y")*(F280=F257)*(G280="Y")*(D280&lt;&gt;"")*(F280&lt;&gt;""))+((H280=H257)*(I280="Y")*(J280=J257)*(K280="Y")*(H280&lt;&gt;"")*(J280&lt;&gt;""))+((L280=L257)*(M280="Y")*(N280=N257)*(O280="Y")*(L280&lt;&gt;"")*(N280&lt;&gt;""))+((P280=P257)*(Q280="Y")*(R280=R257)*(S280="Y")*(P280&lt;&gt;"")*(R280&lt;&gt;""))),0)</f>
        <v/>
      </c>
      <c r="U280" s="49">
        <f>IFERROR(SUMPRODUCT(((D280&lt;&gt;D257)*(E280="Y")*(F280&lt;&gt;F257)*(G280="Y")*(D280&lt;&gt;"")*(F280&lt;&gt;""))+((H280&lt;&gt;H257)*(I280="Y")*(J280&lt;&gt;J257)*(K280="Y")*(H280&lt;&gt;"")*(J280&lt;&gt;""))+((L280&lt;&gt;L257)*(M280="Y")*(N280&lt;&gt;N257)*(O280="Y")*(L280&lt;&gt;"")*(N280&lt;&gt;""))+((P280&lt;&gt;P257)*(Q280="Y")*(R280&lt;&gt;R257)*(S280="Y")*(P280&lt;&gt;"")*(R280&lt;&gt;""))),0)</f>
        <v/>
      </c>
      <c r="V280" s="37">
        <f>IFERROR(SUMPRODUCT(((D280=D257)*(E280="Y")*(F280&lt;&gt;F257)*(G280="Y")*(D280&lt;&gt;"")*(F280&lt;&gt;""))+((H280=H257)*(I280="Y")*(J280&lt;&gt;J257)*(K280="Y")*(H280&lt;&gt;"")*(J280&lt;&gt;""))+((L280=L257)*(M280="Y")*(N280&lt;&gt;N257)*(O280="Y")*(L280&lt;&gt;"")*(N280&lt;&gt;""))+((P280=P257)*(Q280="Y")*(R280&lt;&gt;R257)*(S280="Y")*(P280&lt;&gt;"")*(R280&lt;&gt;""))),0)</f>
        <v/>
      </c>
      <c r="W280" s="37">
        <f>IFERROR(SUMPRODUCT(((E280="N")*(D280&lt;&gt;"")*(F280&lt;&gt;""))+((I280="N")*(H280&lt;&gt;"")*(J280&lt;&gt;""))+((M280="N")*(L280&lt;&gt;"")*(N280&lt;&gt;""))+((Q280="N")*(P280&lt;&gt;"")*(R280&lt;&gt;""))),0)</f>
        <v/>
      </c>
      <c r="X280" s="50">
        <f>IFERROR(U280/4,0)</f>
        <v/>
      </c>
    </row>
    <row r="281" ht="18" customHeight="1">
      <c r="B281" s="46">
        <f>'📥 ข้อมูลนักเรียน'!B27</f>
        <v/>
      </c>
      <c r="C281" s="51">
        <f>'📥 ข้อมูลนักเรียน'!C27</f>
        <v/>
      </c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37">
        <f>IFERROR(SUMPRODUCT(((D281=D257)*(E281="Y")*(F281=F257)*(G281="Y")*(D281&lt;&gt;"")*(F281&lt;&gt;""))+((H281=H257)*(I281="Y")*(J281=J257)*(K281="Y")*(H281&lt;&gt;"")*(J281&lt;&gt;""))+((L281=L257)*(M281="Y")*(N281=N257)*(O281="Y")*(L281&lt;&gt;"")*(N281&lt;&gt;""))+((P281=P257)*(Q281="Y")*(R281=R257)*(S281="Y")*(P281&lt;&gt;"")*(R281&lt;&gt;""))),0)</f>
        <v/>
      </c>
      <c r="U281" s="49">
        <f>IFERROR(SUMPRODUCT(((D281&lt;&gt;D257)*(E281="Y")*(F281&lt;&gt;F257)*(G281="Y")*(D281&lt;&gt;"")*(F281&lt;&gt;""))+((H281&lt;&gt;H257)*(I281="Y")*(J281&lt;&gt;J257)*(K281="Y")*(H281&lt;&gt;"")*(J281&lt;&gt;""))+((L281&lt;&gt;L257)*(M281="Y")*(N281&lt;&gt;N257)*(O281="Y")*(L281&lt;&gt;"")*(N281&lt;&gt;""))+((P281&lt;&gt;P257)*(Q281="Y")*(R281&lt;&gt;R257)*(S281="Y")*(P281&lt;&gt;"")*(R281&lt;&gt;""))),0)</f>
        <v/>
      </c>
      <c r="V281" s="37">
        <f>IFERROR(SUMPRODUCT(((D281=D257)*(E281="Y")*(F281&lt;&gt;F257)*(G281="Y")*(D281&lt;&gt;"")*(F281&lt;&gt;""))+((H281=H257)*(I281="Y")*(J281&lt;&gt;J257)*(K281="Y")*(H281&lt;&gt;"")*(J281&lt;&gt;""))+((L281=L257)*(M281="Y")*(N281&lt;&gt;N257)*(O281="Y")*(L281&lt;&gt;"")*(N281&lt;&gt;""))+((P281=P257)*(Q281="Y")*(R281&lt;&gt;R257)*(S281="Y")*(P281&lt;&gt;"")*(R281&lt;&gt;""))),0)</f>
        <v/>
      </c>
      <c r="W281" s="37">
        <f>IFERROR(SUMPRODUCT(((E281="N")*(D281&lt;&gt;"")*(F281&lt;&gt;""))+((I281="N")*(H281&lt;&gt;"")*(J281&lt;&gt;""))+((M281="N")*(L281&lt;&gt;"")*(N281&lt;&gt;""))+((Q281="N")*(P281&lt;&gt;"")*(R281&lt;&gt;""))),0)</f>
        <v/>
      </c>
      <c r="X281" s="50">
        <f>IFERROR(U281/4,0)</f>
        <v/>
      </c>
    </row>
    <row r="282" ht="18" customHeight="1">
      <c r="B282" s="46">
        <f>'📥 ข้อมูลนักเรียน'!B28</f>
        <v/>
      </c>
      <c r="C282" s="47">
        <f>'📥 ข้อมูลนักเรียน'!C28</f>
        <v/>
      </c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37">
        <f>IFERROR(SUMPRODUCT(((D282=D257)*(E282="Y")*(F282=F257)*(G282="Y")*(D282&lt;&gt;"")*(F282&lt;&gt;""))+((H282=H257)*(I282="Y")*(J282=J257)*(K282="Y")*(H282&lt;&gt;"")*(J282&lt;&gt;""))+((L282=L257)*(M282="Y")*(N282=N257)*(O282="Y")*(L282&lt;&gt;"")*(N282&lt;&gt;""))+((P282=P257)*(Q282="Y")*(R282=R257)*(S282="Y")*(P282&lt;&gt;"")*(R282&lt;&gt;""))),0)</f>
        <v/>
      </c>
      <c r="U282" s="49">
        <f>IFERROR(SUMPRODUCT(((D282&lt;&gt;D257)*(E282="Y")*(F282&lt;&gt;F257)*(G282="Y")*(D282&lt;&gt;"")*(F282&lt;&gt;""))+((H282&lt;&gt;H257)*(I282="Y")*(J282&lt;&gt;J257)*(K282="Y")*(H282&lt;&gt;"")*(J282&lt;&gt;""))+((L282&lt;&gt;L257)*(M282="Y")*(N282&lt;&gt;N257)*(O282="Y")*(L282&lt;&gt;"")*(N282&lt;&gt;""))+((P282&lt;&gt;P257)*(Q282="Y")*(R282&lt;&gt;R257)*(S282="Y")*(P282&lt;&gt;"")*(R282&lt;&gt;""))),0)</f>
        <v/>
      </c>
      <c r="V282" s="37">
        <f>IFERROR(SUMPRODUCT(((D282=D257)*(E282="Y")*(F282&lt;&gt;F257)*(G282="Y")*(D282&lt;&gt;"")*(F282&lt;&gt;""))+((H282=H257)*(I282="Y")*(J282&lt;&gt;J257)*(K282="Y")*(H282&lt;&gt;"")*(J282&lt;&gt;""))+((L282=L257)*(M282="Y")*(N282&lt;&gt;N257)*(O282="Y")*(L282&lt;&gt;"")*(N282&lt;&gt;""))+((P282=P257)*(Q282="Y")*(R282&lt;&gt;R257)*(S282="Y")*(P282&lt;&gt;"")*(R282&lt;&gt;""))),0)</f>
        <v/>
      </c>
      <c r="W282" s="37">
        <f>IFERROR(SUMPRODUCT(((E282="N")*(D282&lt;&gt;"")*(F282&lt;&gt;""))+((I282="N")*(H282&lt;&gt;"")*(J282&lt;&gt;""))+((M282="N")*(L282&lt;&gt;"")*(N282&lt;&gt;""))+((Q282="N")*(P282&lt;&gt;"")*(R282&lt;&gt;""))),0)</f>
        <v/>
      </c>
      <c r="X282" s="50">
        <f>IFERROR(U282/4,0)</f>
        <v/>
      </c>
    </row>
    <row r="283" ht="18" customHeight="1">
      <c r="B283" s="46">
        <f>'📥 ข้อมูลนักเรียน'!B29</f>
        <v/>
      </c>
      <c r="C283" s="51">
        <f>'📥 ข้อมูลนักเรียน'!C29</f>
        <v/>
      </c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37">
        <f>IFERROR(SUMPRODUCT(((D283=D257)*(E283="Y")*(F283=F257)*(G283="Y")*(D283&lt;&gt;"")*(F283&lt;&gt;""))+((H283=H257)*(I283="Y")*(J283=J257)*(K283="Y")*(H283&lt;&gt;"")*(J283&lt;&gt;""))+((L283=L257)*(M283="Y")*(N283=N257)*(O283="Y")*(L283&lt;&gt;"")*(N283&lt;&gt;""))+((P283=P257)*(Q283="Y")*(R283=R257)*(S283="Y")*(P283&lt;&gt;"")*(R283&lt;&gt;""))),0)</f>
        <v/>
      </c>
      <c r="U283" s="49">
        <f>IFERROR(SUMPRODUCT(((D283&lt;&gt;D257)*(E283="Y")*(F283&lt;&gt;F257)*(G283="Y")*(D283&lt;&gt;"")*(F283&lt;&gt;""))+((H283&lt;&gt;H257)*(I283="Y")*(J283&lt;&gt;J257)*(K283="Y")*(H283&lt;&gt;"")*(J283&lt;&gt;""))+((L283&lt;&gt;L257)*(M283="Y")*(N283&lt;&gt;N257)*(O283="Y")*(L283&lt;&gt;"")*(N283&lt;&gt;""))+((P283&lt;&gt;P257)*(Q283="Y")*(R283&lt;&gt;R257)*(S283="Y")*(P283&lt;&gt;"")*(R283&lt;&gt;""))),0)</f>
        <v/>
      </c>
      <c r="V283" s="37">
        <f>IFERROR(SUMPRODUCT(((D283=D257)*(E283="Y")*(F283&lt;&gt;F257)*(G283="Y")*(D283&lt;&gt;"")*(F283&lt;&gt;""))+((H283=H257)*(I283="Y")*(J283&lt;&gt;J257)*(K283="Y")*(H283&lt;&gt;"")*(J283&lt;&gt;""))+((L283=L257)*(M283="Y")*(N283&lt;&gt;N257)*(O283="Y")*(L283&lt;&gt;"")*(N283&lt;&gt;""))+((P283=P257)*(Q283="Y")*(R283&lt;&gt;R257)*(S283="Y")*(P283&lt;&gt;"")*(R283&lt;&gt;""))),0)</f>
        <v/>
      </c>
      <c r="W283" s="37">
        <f>IFERROR(SUMPRODUCT(((E283="N")*(D283&lt;&gt;"")*(F283&lt;&gt;""))+((I283="N")*(H283&lt;&gt;"")*(J283&lt;&gt;""))+((M283="N")*(L283&lt;&gt;"")*(N283&lt;&gt;""))+((Q283="N")*(P283&lt;&gt;"")*(R283&lt;&gt;""))),0)</f>
        <v/>
      </c>
      <c r="X283" s="50">
        <f>IFERROR(U283/4,0)</f>
        <v/>
      </c>
    </row>
    <row r="284" ht="18" customHeight="1">
      <c r="B284" s="46">
        <f>'📥 ข้อมูลนักเรียน'!B30</f>
        <v/>
      </c>
      <c r="C284" s="47">
        <f>'📥 ข้อมูลนักเรียน'!C30</f>
        <v/>
      </c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37">
        <f>IFERROR(SUMPRODUCT(((D284=D257)*(E284="Y")*(F284=F257)*(G284="Y")*(D284&lt;&gt;"")*(F284&lt;&gt;""))+((H284=H257)*(I284="Y")*(J284=J257)*(K284="Y")*(H284&lt;&gt;"")*(J284&lt;&gt;""))+((L284=L257)*(M284="Y")*(N284=N257)*(O284="Y")*(L284&lt;&gt;"")*(N284&lt;&gt;""))+((P284=P257)*(Q284="Y")*(R284=R257)*(S284="Y")*(P284&lt;&gt;"")*(R284&lt;&gt;""))),0)</f>
        <v/>
      </c>
      <c r="U284" s="49">
        <f>IFERROR(SUMPRODUCT(((D284&lt;&gt;D257)*(E284="Y")*(F284&lt;&gt;F257)*(G284="Y")*(D284&lt;&gt;"")*(F284&lt;&gt;""))+((H284&lt;&gt;H257)*(I284="Y")*(J284&lt;&gt;J257)*(K284="Y")*(H284&lt;&gt;"")*(J284&lt;&gt;""))+((L284&lt;&gt;L257)*(M284="Y")*(N284&lt;&gt;N257)*(O284="Y")*(L284&lt;&gt;"")*(N284&lt;&gt;""))+((P284&lt;&gt;P257)*(Q284="Y")*(R284&lt;&gt;R257)*(S284="Y")*(P284&lt;&gt;"")*(R284&lt;&gt;""))),0)</f>
        <v/>
      </c>
      <c r="V284" s="37">
        <f>IFERROR(SUMPRODUCT(((D284=D257)*(E284="Y")*(F284&lt;&gt;F257)*(G284="Y")*(D284&lt;&gt;"")*(F284&lt;&gt;""))+((H284=H257)*(I284="Y")*(J284&lt;&gt;J257)*(K284="Y")*(H284&lt;&gt;"")*(J284&lt;&gt;""))+((L284=L257)*(M284="Y")*(N284&lt;&gt;N257)*(O284="Y")*(L284&lt;&gt;"")*(N284&lt;&gt;""))+((P284=P257)*(Q284="Y")*(R284&lt;&gt;R257)*(S284="Y")*(P284&lt;&gt;"")*(R284&lt;&gt;""))),0)</f>
        <v/>
      </c>
      <c r="W284" s="37">
        <f>IFERROR(SUMPRODUCT(((E284="N")*(D284&lt;&gt;"")*(F284&lt;&gt;""))+((I284="N")*(H284&lt;&gt;"")*(J284&lt;&gt;""))+((M284="N")*(L284&lt;&gt;"")*(N284&lt;&gt;""))+((Q284="N")*(P284&lt;&gt;"")*(R284&lt;&gt;""))),0)</f>
        <v/>
      </c>
      <c r="X284" s="50">
        <f>IFERROR(U284/4,0)</f>
        <v/>
      </c>
    </row>
    <row r="285" ht="18" customHeight="1">
      <c r="B285" s="46">
        <f>'📥 ข้อมูลนักเรียน'!B31</f>
        <v/>
      </c>
      <c r="C285" s="51">
        <f>'📥 ข้อมูลนักเรียน'!C31</f>
        <v/>
      </c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37">
        <f>IFERROR(SUMPRODUCT(((D285=D257)*(E285="Y")*(F285=F257)*(G285="Y")*(D285&lt;&gt;"")*(F285&lt;&gt;""))+((H285=H257)*(I285="Y")*(J285=J257)*(K285="Y")*(H285&lt;&gt;"")*(J285&lt;&gt;""))+((L285=L257)*(M285="Y")*(N285=N257)*(O285="Y")*(L285&lt;&gt;"")*(N285&lt;&gt;""))+((P285=P257)*(Q285="Y")*(R285=R257)*(S285="Y")*(P285&lt;&gt;"")*(R285&lt;&gt;""))),0)</f>
        <v/>
      </c>
      <c r="U285" s="49">
        <f>IFERROR(SUMPRODUCT(((D285&lt;&gt;D257)*(E285="Y")*(F285&lt;&gt;F257)*(G285="Y")*(D285&lt;&gt;"")*(F285&lt;&gt;""))+((H285&lt;&gt;H257)*(I285="Y")*(J285&lt;&gt;J257)*(K285="Y")*(H285&lt;&gt;"")*(J285&lt;&gt;""))+((L285&lt;&gt;L257)*(M285="Y")*(N285&lt;&gt;N257)*(O285="Y")*(L285&lt;&gt;"")*(N285&lt;&gt;""))+((P285&lt;&gt;P257)*(Q285="Y")*(R285&lt;&gt;R257)*(S285="Y")*(P285&lt;&gt;"")*(R285&lt;&gt;""))),0)</f>
        <v/>
      </c>
      <c r="V285" s="37">
        <f>IFERROR(SUMPRODUCT(((D285=D257)*(E285="Y")*(F285&lt;&gt;F257)*(G285="Y")*(D285&lt;&gt;"")*(F285&lt;&gt;""))+((H285=H257)*(I285="Y")*(J285&lt;&gt;J257)*(K285="Y")*(H285&lt;&gt;"")*(J285&lt;&gt;""))+((L285=L257)*(M285="Y")*(N285&lt;&gt;N257)*(O285="Y")*(L285&lt;&gt;"")*(N285&lt;&gt;""))+((P285=P257)*(Q285="Y")*(R285&lt;&gt;R257)*(S285="Y")*(P285&lt;&gt;"")*(R285&lt;&gt;""))),0)</f>
        <v/>
      </c>
      <c r="W285" s="37">
        <f>IFERROR(SUMPRODUCT(((E285="N")*(D285&lt;&gt;"")*(F285&lt;&gt;""))+((I285="N")*(H285&lt;&gt;"")*(J285&lt;&gt;""))+((M285="N")*(L285&lt;&gt;"")*(N285&lt;&gt;""))+((Q285="N")*(P285&lt;&gt;"")*(R285&lt;&gt;""))),0)</f>
        <v/>
      </c>
      <c r="X285" s="50">
        <f>IFERROR(U285/4,0)</f>
        <v/>
      </c>
    </row>
    <row r="286" ht="18" customHeight="1">
      <c r="B286" s="46">
        <f>'📥 ข้อมูลนักเรียน'!B32</f>
        <v/>
      </c>
      <c r="C286" s="47">
        <f>'📥 ข้อมูลนักเรียน'!C32</f>
        <v/>
      </c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37">
        <f>IFERROR(SUMPRODUCT(((D286=D257)*(E286="Y")*(F286=F257)*(G286="Y")*(D286&lt;&gt;"")*(F286&lt;&gt;""))+((H286=H257)*(I286="Y")*(J286=J257)*(K286="Y")*(H286&lt;&gt;"")*(J286&lt;&gt;""))+((L286=L257)*(M286="Y")*(N286=N257)*(O286="Y")*(L286&lt;&gt;"")*(N286&lt;&gt;""))+((P286=P257)*(Q286="Y")*(R286=R257)*(S286="Y")*(P286&lt;&gt;"")*(R286&lt;&gt;""))),0)</f>
        <v/>
      </c>
      <c r="U286" s="49">
        <f>IFERROR(SUMPRODUCT(((D286&lt;&gt;D257)*(E286="Y")*(F286&lt;&gt;F257)*(G286="Y")*(D286&lt;&gt;"")*(F286&lt;&gt;""))+((H286&lt;&gt;H257)*(I286="Y")*(J286&lt;&gt;J257)*(K286="Y")*(H286&lt;&gt;"")*(J286&lt;&gt;""))+((L286&lt;&gt;L257)*(M286="Y")*(N286&lt;&gt;N257)*(O286="Y")*(L286&lt;&gt;"")*(N286&lt;&gt;""))+((P286&lt;&gt;P257)*(Q286="Y")*(R286&lt;&gt;R257)*(S286="Y")*(P286&lt;&gt;"")*(R286&lt;&gt;""))),0)</f>
        <v/>
      </c>
      <c r="V286" s="37">
        <f>IFERROR(SUMPRODUCT(((D286=D257)*(E286="Y")*(F286&lt;&gt;F257)*(G286="Y")*(D286&lt;&gt;"")*(F286&lt;&gt;""))+((H286=H257)*(I286="Y")*(J286&lt;&gt;J257)*(K286="Y")*(H286&lt;&gt;"")*(J286&lt;&gt;""))+((L286=L257)*(M286="Y")*(N286&lt;&gt;N257)*(O286="Y")*(L286&lt;&gt;"")*(N286&lt;&gt;""))+((P286=P257)*(Q286="Y")*(R286&lt;&gt;R257)*(S286="Y")*(P286&lt;&gt;"")*(R286&lt;&gt;""))),0)</f>
        <v/>
      </c>
      <c r="W286" s="37">
        <f>IFERROR(SUMPRODUCT(((E286="N")*(D286&lt;&gt;"")*(F286&lt;&gt;""))+((I286="N")*(H286&lt;&gt;"")*(J286&lt;&gt;""))+((M286="N")*(L286&lt;&gt;"")*(N286&lt;&gt;""))+((Q286="N")*(P286&lt;&gt;"")*(R286&lt;&gt;""))),0)</f>
        <v/>
      </c>
      <c r="X286" s="50">
        <f>IFERROR(U286/4,0)</f>
        <v/>
      </c>
    </row>
    <row r="287" ht="18" customHeight="1">
      <c r="B287" s="46">
        <f>'📥 ข้อมูลนักเรียน'!B33</f>
        <v/>
      </c>
      <c r="C287" s="51">
        <f>'📥 ข้อมูลนักเรียน'!C33</f>
        <v/>
      </c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37">
        <f>IFERROR(SUMPRODUCT(((D287=D257)*(E287="Y")*(F287=F257)*(G287="Y")*(D287&lt;&gt;"")*(F287&lt;&gt;""))+((H287=H257)*(I287="Y")*(J287=J257)*(K287="Y")*(H287&lt;&gt;"")*(J287&lt;&gt;""))+((L287=L257)*(M287="Y")*(N287=N257)*(O287="Y")*(L287&lt;&gt;"")*(N287&lt;&gt;""))+((P287=P257)*(Q287="Y")*(R287=R257)*(S287="Y")*(P287&lt;&gt;"")*(R287&lt;&gt;""))),0)</f>
        <v/>
      </c>
      <c r="U287" s="49">
        <f>IFERROR(SUMPRODUCT(((D287&lt;&gt;D257)*(E287="Y")*(F287&lt;&gt;F257)*(G287="Y")*(D287&lt;&gt;"")*(F287&lt;&gt;""))+((H287&lt;&gt;H257)*(I287="Y")*(J287&lt;&gt;J257)*(K287="Y")*(H287&lt;&gt;"")*(J287&lt;&gt;""))+((L287&lt;&gt;L257)*(M287="Y")*(N287&lt;&gt;N257)*(O287="Y")*(L287&lt;&gt;"")*(N287&lt;&gt;""))+((P287&lt;&gt;P257)*(Q287="Y")*(R287&lt;&gt;R257)*(S287="Y")*(P287&lt;&gt;"")*(R287&lt;&gt;""))),0)</f>
        <v/>
      </c>
      <c r="V287" s="37">
        <f>IFERROR(SUMPRODUCT(((D287=D257)*(E287="Y")*(F287&lt;&gt;F257)*(G287="Y")*(D287&lt;&gt;"")*(F287&lt;&gt;""))+((H287=H257)*(I287="Y")*(J287&lt;&gt;J257)*(K287="Y")*(H287&lt;&gt;"")*(J287&lt;&gt;""))+((L287=L257)*(M287="Y")*(N287&lt;&gt;N257)*(O287="Y")*(L287&lt;&gt;"")*(N287&lt;&gt;""))+((P287=P257)*(Q287="Y")*(R287&lt;&gt;R257)*(S287="Y")*(P287&lt;&gt;"")*(R287&lt;&gt;""))),0)</f>
        <v/>
      </c>
      <c r="W287" s="37">
        <f>IFERROR(SUMPRODUCT(((E287="N")*(D287&lt;&gt;"")*(F287&lt;&gt;""))+((I287="N")*(H287&lt;&gt;"")*(J287&lt;&gt;""))+((M287="N")*(L287&lt;&gt;"")*(N287&lt;&gt;""))+((Q287="N")*(P287&lt;&gt;"")*(R287&lt;&gt;""))),0)</f>
        <v/>
      </c>
      <c r="X287" s="50">
        <f>IFERROR(U287/4,0)</f>
        <v/>
      </c>
    </row>
    <row r="288" ht="18" customHeight="1">
      <c r="B288" s="46">
        <f>'📥 ข้อมูลนักเรียน'!B34</f>
        <v/>
      </c>
      <c r="C288" s="47">
        <f>'📥 ข้อมูลนักเรียน'!C34</f>
        <v/>
      </c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37">
        <f>IFERROR(SUMPRODUCT(((D288=D257)*(E288="Y")*(F288=F257)*(G288="Y")*(D288&lt;&gt;"")*(F288&lt;&gt;""))+((H288=H257)*(I288="Y")*(J288=J257)*(K288="Y")*(H288&lt;&gt;"")*(J288&lt;&gt;""))+((L288=L257)*(M288="Y")*(N288=N257)*(O288="Y")*(L288&lt;&gt;"")*(N288&lt;&gt;""))+((P288=P257)*(Q288="Y")*(R288=R257)*(S288="Y")*(P288&lt;&gt;"")*(R288&lt;&gt;""))),0)</f>
        <v/>
      </c>
      <c r="U288" s="49">
        <f>IFERROR(SUMPRODUCT(((D288&lt;&gt;D257)*(E288="Y")*(F288&lt;&gt;F257)*(G288="Y")*(D288&lt;&gt;"")*(F288&lt;&gt;""))+((H288&lt;&gt;H257)*(I288="Y")*(J288&lt;&gt;J257)*(K288="Y")*(H288&lt;&gt;"")*(J288&lt;&gt;""))+((L288&lt;&gt;L257)*(M288="Y")*(N288&lt;&gt;N257)*(O288="Y")*(L288&lt;&gt;"")*(N288&lt;&gt;""))+((P288&lt;&gt;P257)*(Q288="Y")*(R288&lt;&gt;R257)*(S288="Y")*(P288&lt;&gt;"")*(R288&lt;&gt;""))),0)</f>
        <v/>
      </c>
      <c r="V288" s="37">
        <f>IFERROR(SUMPRODUCT(((D288=D257)*(E288="Y")*(F288&lt;&gt;F257)*(G288="Y")*(D288&lt;&gt;"")*(F288&lt;&gt;""))+((H288=H257)*(I288="Y")*(J288&lt;&gt;J257)*(K288="Y")*(H288&lt;&gt;"")*(J288&lt;&gt;""))+((L288=L257)*(M288="Y")*(N288&lt;&gt;N257)*(O288="Y")*(L288&lt;&gt;"")*(N288&lt;&gt;""))+((P288=P257)*(Q288="Y")*(R288&lt;&gt;R257)*(S288="Y")*(P288&lt;&gt;"")*(R288&lt;&gt;""))),0)</f>
        <v/>
      </c>
      <c r="W288" s="37">
        <f>IFERROR(SUMPRODUCT(((E288="N")*(D288&lt;&gt;"")*(F288&lt;&gt;""))+((I288="N")*(H288&lt;&gt;"")*(J288&lt;&gt;""))+((M288="N")*(L288&lt;&gt;"")*(N288&lt;&gt;""))+((Q288="N")*(P288&lt;&gt;"")*(R288&lt;&gt;""))),0)</f>
        <v/>
      </c>
      <c r="X288" s="50">
        <f>IFERROR(U288/4,0)</f>
        <v/>
      </c>
    </row>
    <row r="289" ht="18" customHeight="1">
      <c r="B289" s="46">
        <f>'📥 ข้อมูลนักเรียน'!B35</f>
        <v/>
      </c>
      <c r="C289" s="51">
        <f>'📥 ข้อมูลนักเรียน'!C35</f>
        <v/>
      </c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37">
        <f>IFERROR(SUMPRODUCT(((D289=D257)*(E289="Y")*(F289=F257)*(G289="Y")*(D289&lt;&gt;"")*(F289&lt;&gt;""))+((H289=H257)*(I289="Y")*(J289=J257)*(K289="Y")*(H289&lt;&gt;"")*(J289&lt;&gt;""))+((L289=L257)*(M289="Y")*(N289=N257)*(O289="Y")*(L289&lt;&gt;"")*(N289&lt;&gt;""))+((P289=P257)*(Q289="Y")*(R289=R257)*(S289="Y")*(P289&lt;&gt;"")*(R289&lt;&gt;""))),0)</f>
        <v/>
      </c>
      <c r="U289" s="49">
        <f>IFERROR(SUMPRODUCT(((D289&lt;&gt;D257)*(E289="Y")*(F289&lt;&gt;F257)*(G289="Y")*(D289&lt;&gt;"")*(F289&lt;&gt;""))+((H289&lt;&gt;H257)*(I289="Y")*(J289&lt;&gt;J257)*(K289="Y")*(H289&lt;&gt;"")*(J289&lt;&gt;""))+((L289&lt;&gt;L257)*(M289="Y")*(N289&lt;&gt;N257)*(O289="Y")*(L289&lt;&gt;"")*(N289&lt;&gt;""))+((P289&lt;&gt;P257)*(Q289="Y")*(R289&lt;&gt;R257)*(S289="Y")*(P289&lt;&gt;"")*(R289&lt;&gt;""))),0)</f>
        <v/>
      </c>
      <c r="V289" s="37">
        <f>IFERROR(SUMPRODUCT(((D289=D257)*(E289="Y")*(F289&lt;&gt;F257)*(G289="Y")*(D289&lt;&gt;"")*(F289&lt;&gt;""))+((H289=H257)*(I289="Y")*(J289&lt;&gt;J257)*(K289="Y")*(H289&lt;&gt;"")*(J289&lt;&gt;""))+((L289=L257)*(M289="Y")*(N289&lt;&gt;N257)*(O289="Y")*(L289&lt;&gt;"")*(N289&lt;&gt;""))+((P289=P257)*(Q289="Y")*(R289&lt;&gt;R257)*(S289="Y")*(P289&lt;&gt;"")*(R289&lt;&gt;""))),0)</f>
        <v/>
      </c>
      <c r="W289" s="37">
        <f>IFERROR(SUMPRODUCT(((E289="N")*(D289&lt;&gt;"")*(F289&lt;&gt;""))+((I289="N")*(H289&lt;&gt;"")*(J289&lt;&gt;""))+((M289="N")*(L289&lt;&gt;"")*(N289&lt;&gt;""))+((Q289="N")*(P289&lt;&gt;"")*(R289&lt;&gt;""))),0)</f>
        <v/>
      </c>
      <c r="X289" s="50">
        <f>IFERROR(U289/4,0)</f>
        <v/>
      </c>
    </row>
    <row r="290" ht="18" customHeight="1">
      <c r="B290" s="46">
        <f>'📥 ข้อมูลนักเรียน'!B36</f>
        <v/>
      </c>
      <c r="C290" s="47">
        <f>'📥 ข้อมูลนักเรียน'!C36</f>
        <v/>
      </c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37">
        <f>IFERROR(SUMPRODUCT(((D290=D257)*(E290="Y")*(F290=F257)*(G290="Y")*(D290&lt;&gt;"")*(F290&lt;&gt;""))+((H290=H257)*(I290="Y")*(J290=J257)*(K290="Y")*(H290&lt;&gt;"")*(J290&lt;&gt;""))+((L290=L257)*(M290="Y")*(N290=N257)*(O290="Y")*(L290&lt;&gt;"")*(N290&lt;&gt;""))+((P290=P257)*(Q290="Y")*(R290=R257)*(S290="Y")*(P290&lt;&gt;"")*(R290&lt;&gt;""))),0)</f>
        <v/>
      </c>
      <c r="U290" s="49">
        <f>IFERROR(SUMPRODUCT(((D290&lt;&gt;D257)*(E290="Y")*(F290&lt;&gt;F257)*(G290="Y")*(D290&lt;&gt;"")*(F290&lt;&gt;""))+((H290&lt;&gt;H257)*(I290="Y")*(J290&lt;&gt;J257)*(K290="Y")*(H290&lt;&gt;"")*(J290&lt;&gt;""))+((L290&lt;&gt;L257)*(M290="Y")*(N290&lt;&gt;N257)*(O290="Y")*(L290&lt;&gt;"")*(N290&lt;&gt;""))+((P290&lt;&gt;P257)*(Q290="Y")*(R290&lt;&gt;R257)*(S290="Y")*(P290&lt;&gt;"")*(R290&lt;&gt;""))),0)</f>
        <v/>
      </c>
      <c r="V290" s="37">
        <f>IFERROR(SUMPRODUCT(((D290=D257)*(E290="Y")*(F290&lt;&gt;F257)*(G290="Y")*(D290&lt;&gt;"")*(F290&lt;&gt;""))+((H290=H257)*(I290="Y")*(J290&lt;&gt;J257)*(K290="Y")*(H290&lt;&gt;"")*(J290&lt;&gt;""))+((L290=L257)*(M290="Y")*(N290&lt;&gt;N257)*(O290="Y")*(L290&lt;&gt;"")*(N290&lt;&gt;""))+((P290=P257)*(Q290="Y")*(R290&lt;&gt;R257)*(S290="Y")*(P290&lt;&gt;"")*(R290&lt;&gt;""))),0)</f>
        <v/>
      </c>
      <c r="W290" s="37">
        <f>IFERROR(SUMPRODUCT(((E290="N")*(D290&lt;&gt;"")*(F290&lt;&gt;""))+((I290="N")*(H290&lt;&gt;"")*(J290&lt;&gt;""))+((M290="N")*(L290&lt;&gt;"")*(N290&lt;&gt;""))+((Q290="N")*(P290&lt;&gt;"")*(R290&lt;&gt;""))),0)</f>
        <v/>
      </c>
      <c r="X290" s="50">
        <f>IFERROR(U290/4,0)</f>
        <v/>
      </c>
    </row>
    <row r="291" ht="18" customHeight="1">
      <c r="B291" s="46">
        <f>'📥 ข้อมูลนักเรียน'!B37</f>
        <v/>
      </c>
      <c r="C291" s="51">
        <f>'📥 ข้อมูลนักเรียน'!C37</f>
        <v/>
      </c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37">
        <f>IFERROR(SUMPRODUCT(((D291=D257)*(E291="Y")*(F291=F257)*(G291="Y")*(D291&lt;&gt;"")*(F291&lt;&gt;""))+((H291=H257)*(I291="Y")*(J291=J257)*(K291="Y")*(H291&lt;&gt;"")*(J291&lt;&gt;""))+((L291=L257)*(M291="Y")*(N291=N257)*(O291="Y")*(L291&lt;&gt;"")*(N291&lt;&gt;""))+((P291=P257)*(Q291="Y")*(R291=R257)*(S291="Y")*(P291&lt;&gt;"")*(R291&lt;&gt;""))),0)</f>
        <v/>
      </c>
      <c r="U291" s="49">
        <f>IFERROR(SUMPRODUCT(((D291&lt;&gt;D257)*(E291="Y")*(F291&lt;&gt;F257)*(G291="Y")*(D291&lt;&gt;"")*(F291&lt;&gt;""))+((H291&lt;&gt;H257)*(I291="Y")*(J291&lt;&gt;J257)*(K291="Y")*(H291&lt;&gt;"")*(J291&lt;&gt;""))+((L291&lt;&gt;L257)*(M291="Y")*(N291&lt;&gt;N257)*(O291="Y")*(L291&lt;&gt;"")*(N291&lt;&gt;""))+((P291&lt;&gt;P257)*(Q291="Y")*(R291&lt;&gt;R257)*(S291="Y")*(P291&lt;&gt;"")*(R291&lt;&gt;""))),0)</f>
        <v/>
      </c>
      <c r="V291" s="37">
        <f>IFERROR(SUMPRODUCT(((D291=D257)*(E291="Y")*(F291&lt;&gt;F257)*(G291="Y")*(D291&lt;&gt;"")*(F291&lt;&gt;""))+((H291=H257)*(I291="Y")*(J291&lt;&gt;J257)*(K291="Y")*(H291&lt;&gt;"")*(J291&lt;&gt;""))+((L291=L257)*(M291="Y")*(N291&lt;&gt;N257)*(O291="Y")*(L291&lt;&gt;"")*(N291&lt;&gt;""))+((P291=P257)*(Q291="Y")*(R291&lt;&gt;R257)*(S291="Y")*(P291&lt;&gt;"")*(R291&lt;&gt;""))),0)</f>
        <v/>
      </c>
      <c r="W291" s="37">
        <f>IFERROR(SUMPRODUCT(((E291="N")*(D291&lt;&gt;"")*(F291&lt;&gt;""))+((I291="N")*(H291&lt;&gt;"")*(J291&lt;&gt;""))+((M291="N")*(L291&lt;&gt;"")*(N291&lt;&gt;""))+((Q291="N")*(P291&lt;&gt;"")*(R291&lt;&gt;""))),0)</f>
        <v/>
      </c>
      <c r="X291" s="50">
        <f>IFERROR(U291/4,0)</f>
        <v/>
      </c>
    </row>
    <row r="292" ht="18" customHeight="1">
      <c r="B292" s="46">
        <f>'📥 ข้อมูลนักเรียน'!B38</f>
        <v/>
      </c>
      <c r="C292" s="47">
        <f>'📥 ข้อมูลนักเรียน'!C38</f>
        <v/>
      </c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37">
        <f>IFERROR(SUMPRODUCT(((D292=D257)*(E292="Y")*(F292=F257)*(G292="Y")*(D292&lt;&gt;"")*(F292&lt;&gt;""))+((H292=H257)*(I292="Y")*(J292=J257)*(K292="Y")*(H292&lt;&gt;"")*(J292&lt;&gt;""))+((L292=L257)*(M292="Y")*(N292=N257)*(O292="Y")*(L292&lt;&gt;"")*(N292&lt;&gt;""))+((P292=P257)*(Q292="Y")*(R292=R257)*(S292="Y")*(P292&lt;&gt;"")*(R292&lt;&gt;""))),0)</f>
        <v/>
      </c>
      <c r="U292" s="49">
        <f>IFERROR(SUMPRODUCT(((D292&lt;&gt;D257)*(E292="Y")*(F292&lt;&gt;F257)*(G292="Y")*(D292&lt;&gt;"")*(F292&lt;&gt;""))+((H292&lt;&gt;H257)*(I292="Y")*(J292&lt;&gt;J257)*(K292="Y")*(H292&lt;&gt;"")*(J292&lt;&gt;""))+((L292&lt;&gt;L257)*(M292="Y")*(N292&lt;&gt;N257)*(O292="Y")*(L292&lt;&gt;"")*(N292&lt;&gt;""))+((P292&lt;&gt;P257)*(Q292="Y")*(R292&lt;&gt;R257)*(S292="Y")*(P292&lt;&gt;"")*(R292&lt;&gt;""))),0)</f>
        <v/>
      </c>
      <c r="V292" s="37">
        <f>IFERROR(SUMPRODUCT(((D292=D257)*(E292="Y")*(F292&lt;&gt;F257)*(G292="Y")*(D292&lt;&gt;"")*(F292&lt;&gt;""))+((H292=H257)*(I292="Y")*(J292&lt;&gt;J257)*(K292="Y")*(H292&lt;&gt;"")*(J292&lt;&gt;""))+((L292=L257)*(M292="Y")*(N292&lt;&gt;N257)*(O292="Y")*(L292&lt;&gt;"")*(N292&lt;&gt;""))+((P292=P257)*(Q292="Y")*(R292&lt;&gt;R257)*(S292="Y")*(P292&lt;&gt;"")*(R292&lt;&gt;""))),0)</f>
        <v/>
      </c>
      <c r="W292" s="37">
        <f>IFERROR(SUMPRODUCT(((E292="N")*(D292&lt;&gt;"")*(F292&lt;&gt;""))+((I292="N")*(H292&lt;&gt;"")*(J292&lt;&gt;""))+((M292="N")*(L292&lt;&gt;"")*(N292&lt;&gt;""))+((Q292="N")*(P292&lt;&gt;"")*(R292&lt;&gt;""))),0)</f>
        <v/>
      </c>
      <c r="X292" s="50">
        <f>IFERROR(U292/4,0)</f>
        <v/>
      </c>
    </row>
    <row r="293" ht="24" customHeight="1">
      <c r="B293" s="226" t="inlineStr">
        <is>
          <t>สรุป Post แผน 4</t>
        </is>
      </c>
      <c r="C293" s="369" t="n"/>
      <c r="T293" s="52">
        <f>IFERROR(AVERAGE(T258:T292)*4,0)</f>
        <v/>
      </c>
      <c r="U293" s="53">
        <f>IFERROR(AVERAGE(U258:U292)*4,0)</f>
        <v/>
      </c>
      <c r="V293" s="54">
        <f>IFERROR(AVERAGE(V258:V292)*4,0)</f>
        <v/>
      </c>
      <c r="W293" s="55">
        <f>IFERROR(AVERAGE(W258:W292)*4,0)</f>
        <v/>
      </c>
      <c r="X293" s="56">
        <f>IFERROR(AVERAGE(X258:X292),0)</f>
        <v/>
      </c>
    </row>
    <row r="294" ht="7.5" customHeight="1"/>
    <row r="295" ht="21.75" customHeight="1">
      <c r="B295" s="245" t="inlineStr">
        <is>
          <t>▌ แผนที่ 5  |  คาบที่ 8–10  |  Misconception: M_sup  |  ข้อที่ 17–20</t>
        </is>
      </c>
      <c r="C295" s="380" t="n"/>
      <c r="D295" s="380" t="n"/>
      <c r="E295" s="380" t="n"/>
      <c r="F295" s="380" t="n"/>
      <c r="G295" s="380" t="n"/>
      <c r="H295" s="380" t="n"/>
      <c r="I295" s="380" t="n"/>
      <c r="J295" s="380" t="n"/>
      <c r="K295" s="380" t="n"/>
      <c r="L295" s="380" t="n"/>
      <c r="M295" s="380" t="n"/>
      <c r="N295" s="380" t="n"/>
      <c r="O295" s="380" t="n"/>
      <c r="P295" s="380" t="n"/>
      <c r="Q295" s="380" t="n"/>
      <c r="R295" s="380" t="n"/>
      <c r="S295" s="380" t="n"/>
      <c r="T295" s="380" t="n"/>
      <c r="U295" s="380" t="n"/>
      <c r="V295" s="380" t="n"/>
      <c r="W295" s="380" t="n"/>
      <c r="X295" s="380" t="n"/>
    </row>
    <row r="296" ht="15.75" customHeight="1">
      <c r="B296" s="246" t="inlineStr">
        <is>
          <t xml:space="preserve">   📍 M_sup: คลื่นซ้อนทับแล้วรูปร่างเปลี่ยนถาวร</t>
        </is>
      </c>
    </row>
    <row r="297" ht="19.5" customHeight="1">
      <c r="B297" s="238" t="inlineStr">
        <is>
          <t>🔵 PRE-test — ก่อนสอน  (แผน 5 ข้อ 17–20)</t>
        </is>
      </c>
    </row>
    <row r="298" ht="27.75" customHeight="1">
      <c r="B298" s="39" t="inlineStr">
        <is>
          <t>ที่</t>
        </is>
      </c>
      <c r="C298" s="39" t="inlineStr">
        <is>
          <t>ชื่อนักเรียน</t>
        </is>
      </c>
      <c r="D298" s="239" t="inlineStr">
        <is>
          <t>ข้อ 17</t>
        </is>
      </c>
      <c r="E298" s="369" t="n"/>
      <c r="F298" s="369" t="n"/>
      <c r="G298" s="369" t="n"/>
      <c r="H298" s="239" t="inlineStr">
        <is>
          <t>ข้อ 18</t>
        </is>
      </c>
      <c r="I298" s="369" t="n"/>
      <c r="J298" s="369" t="n"/>
      <c r="K298" s="369" t="n"/>
      <c r="L298" s="239" t="inlineStr">
        <is>
          <t>ข้อ 19</t>
        </is>
      </c>
      <c r="M298" s="369" t="n"/>
      <c r="N298" s="369" t="n"/>
      <c r="O298" s="369" t="n"/>
      <c r="P298" s="239" t="inlineStr">
        <is>
          <t>ข้อ 20</t>
        </is>
      </c>
      <c r="Q298" s="369" t="n"/>
      <c r="R298" s="369" t="n"/>
      <c r="S298" s="369" t="n"/>
      <c r="T298" s="28" t="inlineStr">
        <is>
          <t>Sound
✅</t>
        </is>
      </c>
      <c r="U298" s="28" t="inlineStr">
        <is>
          <t>Misc
❌</t>
        </is>
      </c>
      <c r="V298" s="28" t="inlineStr">
        <is>
          <t>Guess
🎲</t>
        </is>
      </c>
      <c r="W298" s="28" t="inlineStr">
        <is>
          <t>NoK
❓</t>
        </is>
      </c>
      <c r="X298" s="28" t="inlineStr">
        <is>
          <t>% Misc
(Auto)</t>
        </is>
      </c>
    </row>
    <row r="299" ht="27.75" customHeight="1">
      <c r="B299" s="40" t="n"/>
      <c r="C299" s="41" t="inlineStr">
        <is>
          <t>← กรอกเฉลย T1 และ T3</t>
        </is>
      </c>
      <c r="D299" s="42" t="inlineStr">
        <is>
          <t>T1
(ก-ง)</t>
        </is>
      </c>
      <c r="E299" s="42" t="inlineStr">
        <is>
          <t>T2
(Y/N)</t>
        </is>
      </c>
      <c r="F299" s="42" t="inlineStr">
        <is>
          <t>T3
(ก-ง)</t>
        </is>
      </c>
      <c r="G299" s="42" t="inlineStr">
        <is>
          <t>T4
(Y/N)</t>
        </is>
      </c>
      <c r="H299" s="42" t="inlineStr">
        <is>
          <t>T1
(ก-ง)</t>
        </is>
      </c>
      <c r="I299" s="42" t="inlineStr">
        <is>
          <t>T2
(Y/N)</t>
        </is>
      </c>
      <c r="J299" s="42" t="inlineStr">
        <is>
          <t>T3
(ก-ง)</t>
        </is>
      </c>
      <c r="K299" s="42" t="inlineStr">
        <is>
          <t>T4
(Y/N)</t>
        </is>
      </c>
      <c r="L299" s="42" t="inlineStr">
        <is>
          <t>T1
(ก-ง)</t>
        </is>
      </c>
      <c r="M299" s="42" t="inlineStr">
        <is>
          <t>T2
(Y/N)</t>
        </is>
      </c>
      <c r="N299" s="42" t="inlineStr">
        <is>
          <t>T3
(ก-ง)</t>
        </is>
      </c>
      <c r="O299" s="42" t="inlineStr">
        <is>
          <t>T4
(Y/N)</t>
        </is>
      </c>
      <c r="P299" s="42" t="inlineStr">
        <is>
          <t>T1
(ก-ง)</t>
        </is>
      </c>
      <c r="Q299" s="42" t="inlineStr">
        <is>
          <t>T2
(Y/N)</t>
        </is>
      </c>
      <c r="R299" s="42" t="inlineStr">
        <is>
          <t>T3
(ก-ง)</t>
        </is>
      </c>
      <c r="S299" s="42" t="inlineStr">
        <is>
          <t>T4
(Y/N)</t>
        </is>
      </c>
      <c r="T299" s="43" t="inlineStr">
        <is>
          <t>—</t>
        </is>
      </c>
      <c r="U299" s="43" t="inlineStr">
        <is>
          <t>—</t>
        </is>
      </c>
      <c r="V299" s="43" t="inlineStr">
        <is>
          <t>—</t>
        </is>
      </c>
      <c r="W299" s="43" t="inlineStr">
        <is>
          <t>—</t>
        </is>
      </c>
      <c r="X299" s="43" t="inlineStr">
        <is>
          <t>—</t>
        </is>
      </c>
    </row>
    <row r="300" ht="18" customHeight="1">
      <c r="B300" s="44" t="inlineStr">
        <is>
          <t>KEY</t>
        </is>
      </c>
      <c r="C300" s="45" t="inlineStr">
        <is>
          <t>← กรอกเฉลยที่ถูกต้อง</t>
        </is>
      </c>
      <c r="D300" s="9" t="n"/>
      <c r="E300" s="21" t="inlineStr">
        <is>
          <t>—</t>
        </is>
      </c>
      <c r="F300" s="9" t="n"/>
      <c r="G300" s="21" t="inlineStr">
        <is>
          <t>—</t>
        </is>
      </c>
      <c r="H300" s="9" t="n"/>
      <c r="I300" s="21" t="inlineStr">
        <is>
          <t>—</t>
        </is>
      </c>
      <c r="J300" s="9" t="n"/>
      <c r="K300" s="21" t="inlineStr">
        <is>
          <t>—</t>
        </is>
      </c>
      <c r="L300" s="9" t="n"/>
      <c r="M300" s="21" t="inlineStr">
        <is>
          <t>—</t>
        </is>
      </c>
      <c r="N300" s="9" t="n"/>
      <c r="O300" s="21" t="inlineStr">
        <is>
          <t>—</t>
        </is>
      </c>
      <c r="P300" s="9" t="n"/>
      <c r="Q300" s="21" t="inlineStr">
        <is>
          <t>—</t>
        </is>
      </c>
      <c r="R300" s="9" t="n"/>
      <c r="S300" s="21" t="inlineStr">
        <is>
          <t>—</t>
        </is>
      </c>
      <c r="T300" s="21" t="inlineStr">
        <is>
          <t>—</t>
        </is>
      </c>
      <c r="U300" s="21" t="inlineStr">
        <is>
          <t>—</t>
        </is>
      </c>
      <c r="V300" s="21" t="inlineStr">
        <is>
          <t>—</t>
        </is>
      </c>
      <c r="W300" s="21" t="inlineStr">
        <is>
          <t>—</t>
        </is>
      </c>
      <c r="X300" s="21" t="inlineStr">
        <is>
          <t>—</t>
        </is>
      </c>
    </row>
    <row r="301" ht="18" customHeight="1">
      <c r="B301" s="46">
        <f>'📥 ข้อมูลนักเรียน'!B4</f>
        <v/>
      </c>
      <c r="C301" s="47">
        <f>'📥 ข้อมูลนักเรียน'!C4</f>
        <v/>
      </c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37">
        <f>IFERROR(SUMPRODUCT(((D301=D300)*(E301="Y")*(F301=F300)*(G301="Y")*(D301&lt;&gt;"")* (F301&lt;&gt;""))+((H301=H300)*(I301="Y")*(J301=J300)*(K301="Y")*(H301&lt;&gt;"")* (J301&lt;&gt;""))+((L301=L300)*(M301="Y")*(N301=N300)*(O301="Y")*(L301&lt;&gt;"")* (N301&lt;&gt;""))+((P301=P300)*(Q301="Y")*(R301=R300)*(S301="Y")*(P301&lt;&gt;"")* (R301&lt;&gt;""))),0)</f>
        <v/>
      </c>
      <c r="U301" s="49">
        <f>IFERROR(SUMPRODUCT(((D301&lt;&gt;D300)*(E301="Y")*(F301&lt;&gt;F300)*(G301="Y")*(D301&lt;&gt;"")* (F301&lt;&gt;""))+((H301&lt;&gt;H300)*(I301="Y")*(J301&lt;&gt;J300)*(K301="Y")*(H301&lt;&gt;"")* (J301&lt;&gt;""))+((L301&lt;&gt;L300)*(M301="Y")*(N301&lt;&gt;N300)*(O301="Y")*(L301&lt;&gt;"")* (N301&lt;&gt;""))+((P301&lt;&gt;P300)*(Q301="Y")*(R301&lt;&gt;R300)*(S301="Y")*(P301&lt;&gt;"")* (R301&lt;&gt;""))),0)</f>
        <v/>
      </c>
      <c r="V301" s="37">
        <f>IFERROR(SUMPRODUCT(((D301=D300)*(E301="Y")*(F301&lt;&gt;F300)*(G301="Y")*(D301&lt;&gt;"")* (F301&lt;&gt;""))+((H301=H300)*(I301="Y")*(J301&lt;&gt;J300)*(K301="Y")*(H301&lt;&gt;"")* (J301&lt;&gt;""))+((L301=L300)*(M301="Y")*(N301&lt;&gt;N300)*(O301="Y")*(L301&lt;&gt;"")* (N301&lt;&gt;""))+((P301=P300)*(Q301="Y")*(R301&lt;&gt;R300)*(S301="Y")*(P301&lt;&gt;"")* (R301&lt;&gt;""))),0)</f>
        <v/>
      </c>
      <c r="W301" s="37">
        <f>IFERROR(SUMPRODUCT(((E301="N")*(D301&lt;&gt;"")* (F301&lt;&gt;""))+((I301="N")*(H301&lt;&gt;"")* (J301&lt;&gt;""))+((M301="N")*(L301&lt;&gt;"")* (N301&lt;&gt;""))+((Q301="N")*(P301&lt;&gt;"")* (R301&lt;&gt;""))),0)</f>
        <v/>
      </c>
      <c r="X301" s="50">
        <f>IFERROR(U301/4,0)</f>
        <v/>
      </c>
    </row>
    <row r="302" ht="18" customHeight="1">
      <c r="B302" s="46">
        <f>'📥 ข้อมูลนักเรียน'!B5</f>
        <v/>
      </c>
      <c r="C302" s="51">
        <f>'📥 ข้อมูลนักเรียน'!C5</f>
        <v/>
      </c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37">
        <f>IFERROR(SUMPRODUCT(((D302=D300)*(E302="Y")*(F302=F300)*(G302="Y")*(D302&lt;&gt;"")* (F302&lt;&gt;""))+((H302=H300)*(I302="Y")*(J302=J300)*(K302="Y")*(H302&lt;&gt;"")* (J302&lt;&gt;""))+((L302=L300)*(M302="Y")*(N302=N300)*(O302="Y")*(L302&lt;&gt;"")* (N302&lt;&gt;""))+((P302=P300)*(Q302="Y")*(R302=R300)*(S302="Y")*(P302&lt;&gt;"")* (R302&lt;&gt;""))),0)</f>
        <v/>
      </c>
      <c r="U302" s="49">
        <f>IFERROR(SUMPRODUCT(((D302&lt;&gt;D300)*(E302="Y")*(F302&lt;&gt;F300)*(G302="Y")*(D302&lt;&gt;"")* (F302&lt;&gt;""))+((H302&lt;&gt;H300)*(I302="Y")*(J302&lt;&gt;J300)*(K302="Y")*(H302&lt;&gt;"")* (J302&lt;&gt;""))+((L302&lt;&gt;L300)*(M302="Y")*(N302&lt;&gt;N300)*(O302="Y")*(L302&lt;&gt;"")* (N302&lt;&gt;""))+((P302&lt;&gt;P300)*(Q302="Y")*(R302&lt;&gt;R300)*(S302="Y")*(P302&lt;&gt;"")* (R302&lt;&gt;""))),0)</f>
        <v/>
      </c>
      <c r="V302" s="37">
        <f>IFERROR(SUMPRODUCT(((D302=D300)*(E302="Y")*(F302&lt;&gt;F300)*(G302="Y")*(D302&lt;&gt;"")* (F302&lt;&gt;""))+((H302=H300)*(I302="Y")*(J302&lt;&gt;J300)*(K302="Y")*(H302&lt;&gt;"")* (J302&lt;&gt;""))+((L302=L300)*(M302="Y")*(N302&lt;&gt;N300)*(O302="Y")*(L302&lt;&gt;"")* (N302&lt;&gt;""))+((P302=P300)*(Q302="Y")*(R302&lt;&gt;R300)*(S302="Y")*(P302&lt;&gt;"")* (R302&lt;&gt;""))),0)</f>
        <v/>
      </c>
      <c r="W302" s="37">
        <f>IFERROR(SUMPRODUCT(((E302="N")*(D302&lt;&gt;"")* (F302&lt;&gt;""))+((I302="N")*(H302&lt;&gt;"")* (J302&lt;&gt;""))+((M302="N")*(L302&lt;&gt;"")* (N302&lt;&gt;""))+((Q302="N")*(P302&lt;&gt;"")* (R302&lt;&gt;""))),0)</f>
        <v/>
      </c>
      <c r="X302" s="50">
        <f>IFERROR(U302/4,0)</f>
        <v/>
      </c>
    </row>
    <row r="303" ht="18" customHeight="1">
      <c r="B303" s="46">
        <f>'📥 ข้อมูลนักเรียน'!B6</f>
        <v/>
      </c>
      <c r="C303" s="47">
        <f>'📥 ข้อมูลนักเรียน'!C6</f>
        <v/>
      </c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37">
        <f>IFERROR(SUMPRODUCT(((D303=D300)*(E303="Y")*(F303=F300)*(G303="Y")*(D303&lt;&gt;"")* (F303&lt;&gt;""))+((H303=H300)*(I303="Y")*(J303=J300)*(K303="Y")*(H303&lt;&gt;"")* (J303&lt;&gt;""))+((L303=L300)*(M303="Y")*(N303=N300)*(O303="Y")*(L303&lt;&gt;"")* (N303&lt;&gt;""))+((P303=P300)*(Q303="Y")*(R303=R300)*(S303="Y")*(P303&lt;&gt;"")* (R303&lt;&gt;""))),0)</f>
        <v/>
      </c>
      <c r="U303" s="49">
        <f>IFERROR(SUMPRODUCT(((D303&lt;&gt;D300)*(E303="Y")*(F303&lt;&gt;F300)*(G303="Y")*(D303&lt;&gt;"")* (F303&lt;&gt;""))+((H303&lt;&gt;H300)*(I303="Y")*(J303&lt;&gt;J300)*(K303="Y")*(H303&lt;&gt;"")* (J303&lt;&gt;""))+((L303&lt;&gt;L300)*(M303="Y")*(N303&lt;&gt;N300)*(O303="Y")*(L303&lt;&gt;"")* (N303&lt;&gt;""))+((P303&lt;&gt;P300)*(Q303="Y")*(R303&lt;&gt;R300)*(S303="Y")*(P303&lt;&gt;"")* (R303&lt;&gt;""))),0)</f>
        <v/>
      </c>
      <c r="V303" s="37">
        <f>IFERROR(SUMPRODUCT(((D303=D300)*(E303="Y")*(F303&lt;&gt;F300)*(G303="Y")*(D303&lt;&gt;"")* (F303&lt;&gt;""))+((H303=H300)*(I303="Y")*(J303&lt;&gt;J300)*(K303="Y")*(H303&lt;&gt;"")* (J303&lt;&gt;""))+((L303=L300)*(M303="Y")*(N303&lt;&gt;N300)*(O303="Y")*(L303&lt;&gt;"")* (N303&lt;&gt;""))+((P303=P300)*(Q303="Y")*(R303&lt;&gt;R300)*(S303="Y")*(P303&lt;&gt;"")* (R303&lt;&gt;""))),0)</f>
        <v/>
      </c>
      <c r="W303" s="37">
        <f>IFERROR(SUMPRODUCT(((E303="N")*(D303&lt;&gt;"")* (F303&lt;&gt;""))+((I303="N")*(H303&lt;&gt;"")* (J303&lt;&gt;""))+((M303="N")*(L303&lt;&gt;"")* (N303&lt;&gt;""))+((Q303="N")*(P303&lt;&gt;"")* (R303&lt;&gt;""))),0)</f>
        <v/>
      </c>
      <c r="X303" s="50">
        <f>IFERROR(U303/4,0)</f>
        <v/>
      </c>
    </row>
    <row r="304" ht="18" customHeight="1">
      <c r="B304" s="46">
        <f>'📥 ข้อมูลนักเรียน'!B7</f>
        <v/>
      </c>
      <c r="C304" s="51">
        <f>'📥 ข้อมูลนักเรียน'!C7</f>
        <v/>
      </c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37">
        <f>IFERROR(SUMPRODUCT(((D304=D300)*(E304="Y")*(F304=F300)*(G304="Y")*(D304&lt;&gt;"")* (F304&lt;&gt;""))+((H304=H300)*(I304="Y")*(J304=J300)*(K304="Y")*(H304&lt;&gt;"")* (J304&lt;&gt;""))+((L304=L300)*(M304="Y")*(N304=N300)*(O304="Y")*(L304&lt;&gt;"")* (N304&lt;&gt;""))+((P304=P300)*(Q304="Y")*(R304=R300)*(S304="Y")*(P304&lt;&gt;"")* (R304&lt;&gt;""))),0)</f>
        <v/>
      </c>
      <c r="U304" s="49">
        <f>IFERROR(SUMPRODUCT(((D304&lt;&gt;D300)*(E304="Y")*(F304&lt;&gt;F300)*(G304="Y")*(D304&lt;&gt;"")* (F304&lt;&gt;""))+((H304&lt;&gt;H300)*(I304="Y")*(J304&lt;&gt;J300)*(K304="Y")*(H304&lt;&gt;"")* (J304&lt;&gt;""))+((L304&lt;&gt;L300)*(M304="Y")*(N304&lt;&gt;N300)*(O304="Y")*(L304&lt;&gt;"")* (N304&lt;&gt;""))+((P304&lt;&gt;P300)*(Q304="Y")*(R304&lt;&gt;R300)*(S304="Y")*(P304&lt;&gt;"")* (R304&lt;&gt;""))),0)</f>
        <v/>
      </c>
      <c r="V304" s="37">
        <f>IFERROR(SUMPRODUCT(((D304=D300)*(E304="Y")*(F304&lt;&gt;F300)*(G304="Y")*(D304&lt;&gt;"")* (F304&lt;&gt;""))+((H304=H300)*(I304="Y")*(J304&lt;&gt;J300)*(K304="Y")*(H304&lt;&gt;"")* (J304&lt;&gt;""))+((L304=L300)*(M304="Y")*(N304&lt;&gt;N300)*(O304="Y")*(L304&lt;&gt;"")* (N304&lt;&gt;""))+((P304=P300)*(Q304="Y")*(R304&lt;&gt;R300)*(S304="Y")*(P304&lt;&gt;"")* (R304&lt;&gt;""))),0)</f>
        <v/>
      </c>
      <c r="W304" s="37">
        <f>IFERROR(SUMPRODUCT(((E304="N")*(D304&lt;&gt;"")* (F304&lt;&gt;""))+((I304="N")*(H304&lt;&gt;"")* (J304&lt;&gt;""))+((M304="N")*(L304&lt;&gt;"")* (N304&lt;&gt;""))+((Q304="N")*(P304&lt;&gt;"")* (R304&lt;&gt;""))),0)</f>
        <v/>
      </c>
      <c r="X304" s="50">
        <f>IFERROR(U304/4,0)</f>
        <v/>
      </c>
    </row>
    <row r="305" ht="18" customHeight="1">
      <c r="B305" s="46">
        <f>'📥 ข้อมูลนักเรียน'!B8</f>
        <v/>
      </c>
      <c r="C305" s="47">
        <f>'📥 ข้อมูลนักเรียน'!C8</f>
        <v/>
      </c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37">
        <f>IFERROR(SUMPRODUCT(((D305=D300)*(E305="Y")*(F305=F300)*(G305="Y")*(D305&lt;&gt;"")* (F305&lt;&gt;""))+((H305=H300)*(I305="Y")*(J305=J300)*(K305="Y")*(H305&lt;&gt;"")* (J305&lt;&gt;""))+((L305=L300)*(M305="Y")*(N305=N300)*(O305="Y")*(L305&lt;&gt;"")* (N305&lt;&gt;""))+((P305=P300)*(Q305="Y")*(R305=R300)*(S305="Y")*(P305&lt;&gt;"")* (R305&lt;&gt;""))),0)</f>
        <v/>
      </c>
      <c r="U305" s="49">
        <f>IFERROR(SUMPRODUCT(((D305&lt;&gt;D300)*(E305="Y")*(F305&lt;&gt;F300)*(G305="Y")*(D305&lt;&gt;"")* (F305&lt;&gt;""))+((H305&lt;&gt;H300)*(I305="Y")*(J305&lt;&gt;J300)*(K305="Y")*(H305&lt;&gt;"")* (J305&lt;&gt;""))+((L305&lt;&gt;L300)*(M305="Y")*(N305&lt;&gt;N300)*(O305="Y")*(L305&lt;&gt;"")* (N305&lt;&gt;""))+((P305&lt;&gt;P300)*(Q305="Y")*(R305&lt;&gt;R300)*(S305="Y")*(P305&lt;&gt;"")* (R305&lt;&gt;""))),0)</f>
        <v/>
      </c>
      <c r="V305" s="37">
        <f>IFERROR(SUMPRODUCT(((D305=D300)*(E305="Y")*(F305&lt;&gt;F300)*(G305="Y")*(D305&lt;&gt;"")* (F305&lt;&gt;""))+((H305=H300)*(I305="Y")*(J305&lt;&gt;J300)*(K305="Y")*(H305&lt;&gt;"")* (J305&lt;&gt;""))+((L305=L300)*(M305="Y")*(N305&lt;&gt;N300)*(O305="Y")*(L305&lt;&gt;"")* (N305&lt;&gt;""))+((P305=P300)*(Q305="Y")*(R305&lt;&gt;R300)*(S305="Y")*(P305&lt;&gt;"")* (R305&lt;&gt;""))),0)</f>
        <v/>
      </c>
      <c r="W305" s="37">
        <f>IFERROR(SUMPRODUCT(((E305="N")*(D305&lt;&gt;"")* (F305&lt;&gt;""))+((I305="N")*(H305&lt;&gt;"")* (J305&lt;&gt;""))+((M305="N")*(L305&lt;&gt;"")* (N305&lt;&gt;""))+((Q305="N")*(P305&lt;&gt;"")* (R305&lt;&gt;""))),0)</f>
        <v/>
      </c>
      <c r="X305" s="50">
        <f>IFERROR(U305/4,0)</f>
        <v/>
      </c>
    </row>
    <row r="306" ht="18" customHeight="1">
      <c r="B306" s="46">
        <f>'📥 ข้อมูลนักเรียน'!B9</f>
        <v/>
      </c>
      <c r="C306" s="51">
        <f>'📥 ข้อมูลนักเรียน'!C9</f>
        <v/>
      </c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37">
        <f>IFERROR(SUMPRODUCT(((D306=D300)*(E306="Y")*(F306=F300)*(G306="Y")*(D306&lt;&gt;"")* (F306&lt;&gt;""))+((H306=H300)*(I306="Y")*(J306=J300)*(K306="Y")*(H306&lt;&gt;"")* (J306&lt;&gt;""))+((L306=L300)*(M306="Y")*(N306=N300)*(O306="Y")*(L306&lt;&gt;"")* (N306&lt;&gt;""))+((P306=P300)*(Q306="Y")*(R306=R300)*(S306="Y")*(P306&lt;&gt;"")* (R306&lt;&gt;""))),0)</f>
        <v/>
      </c>
      <c r="U306" s="49">
        <f>IFERROR(SUMPRODUCT(((D306&lt;&gt;D300)*(E306="Y")*(F306&lt;&gt;F300)*(G306="Y")*(D306&lt;&gt;"")* (F306&lt;&gt;""))+((H306&lt;&gt;H300)*(I306="Y")*(J306&lt;&gt;J300)*(K306="Y")*(H306&lt;&gt;"")* (J306&lt;&gt;""))+((L306&lt;&gt;L300)*(M306="Y")*(N306&lt;&gt;N300)*(O306="Y")*(L306&lt;&gt;"")* (N306&lt;&gt;""))+((P306&lt;&gt;P300)*(Q306="Y")*(R306&lt;&gt;R300)*(S306="Y")*(P306&lt;&gt;"")* (R306&lt;&gt;""))),0)</f>
        <v/>
      </c>
      <c r="V306" s="37">
        <f>IFERROR(SUMPRODUCT(((D306=D300)*(E306="Y")*(F306&lt;&gt;F300)*(G306="Y")*(D306&lt;&gt;"")* (F306&lt;&gt;""))+((H306=H300)*(I306="Y")*(J306&lt;&gt;J300)*(K306="Y")*(H306&lt;&gt;"")* (J306&lt;&gt;""))+((L306=L300)*(M306="Y")*(N306&lt;&gt;N300)*(O306="Y")*(L306&lt;&gt;"")* (N306&lt;&gt;""))+((P306=P300)*(Q306="Y")*(R306&lt;&gt;R300)*(S306="Y")*(P306&lt;&gt;"")* (R306&lt;&gt;""))),0)</f>
        <v/>
      </c>
      <c r="W306" s="37">
        <f>IFERROR(SUMPRODUCT(((E306="N")*(D306&lt;&gt;"")* (F306&lt;&gt;""))+((I306="N")*(H306&lt;&gt;"")* (J306&lt;&gt;""))+((M306="N")*(L306&lt;&gt;"")* (N306&lt;&gt;""))+((Q306="N")*(P306&lt;&gt;"")* (R306&lt;&gt;""))),0)</f>
        <v/>
      </c>
      <c r="X306" s="50">
        <f>IFERROR(U306/4,0)</f>
        <v/>
      </c>
    </row>
    <row r="307" ht="18" customHeight="1">
      <c r="B307" s="46">
        <f>'📥 ข้อมูลนักเรียน'!B10</f>
        <v/>
      </c>
      <c r="C307" s="47">
        <f>'📥 ข้อมูลนักเรียน'!C10</f>
        <v/>
      </c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37">
        <f>IFERROR(SUMPRODUCT(((D307=D300)*(E307="Y")*(F307=F300)*(G307="Y")*(D307&lt;&gt;"")* (F307&lt;&gt;""))+((H307=H300)*(I307="Y")*(J307=J300)*(K307="Y")*(H307&lt;&gt;"")* (J307&lt;&gt;""))+((L307=L300)*(M307="Y")*(N307=N300)*(O307="Y")*(L307&lt;&gt;"")* (N307&lt;&gt;""))+((P307=P300)*(Q307="Y")*(R307=R300)*(S307="Y")*(P307&lt;&gt;"")* (R307&lt;&gt;""))),0)</f>
        <v/>
      </c>
      <c r="U307" s="49">
        <f>IFERROR(SUMPRODUCT(((D307&lt;&gt;D300)*(E307="Y")*(F307&lt;&gt;F300)*(G307="Y")*(D307&lt;&gt;"")* (F307&lt;&gt;""))+((H307&lt;&gt;H300)*(I307="Y")*(J307&lt;&gt;J300)*(K307="Y")*(H307&lt;&gt;"")* (J307&lt;&gt;""))+((L307&lt;&gt;L300)*(M307="Y")*(N307&lt;&gt;N300)*(O307="Y")*(L307&lt;&gt;"")* (N307&lt;&gt;""))+((P307&lt;&gt;P300)*(Q307="Y")*(R307&lt;&gt;R300)*(S307="Y")*(P307&lt;&gt;"")* (R307&lt;&gt;""))),0)</f>
        <v/>
      </c>
      <c r="V307" s="37">
        <f>IFERROR(SUMPRODUCT(((D307=D300)*(E307="Y")*(F307&lt;&gt;F300)*(G307="Y")*(D307&lt;&gt;"")* (F307&lt;&gt;""))+((H307=H300)*(I307="Y")*(J307&lt;&gt;J300)*(K307="Y")*(H307&lt;&gt;"")* (J307&lt;&gt;""))+((L307=L300)*(M307="Y")*(N307&lt;&gt;N300)*(O307="Y")*(L307&lt;&gt;"")* (N307&lt;&gt;""))+((P307=P300)*(Q307="Y")*(R307&lt;&gt;R300)*(S307="Y")*(P307&lt;&gt;"")* (R307&lt;&gt;""))),0)</f>
        <v/>
      </c>
      <c r="W307" s="37">
        <f>IFERROR(SUMPRODUCT(((E307="N")*(D307&lt;&gt;"")* (F307&lt;&gt;""))+((I307="N")*(H307&lt;&gt;"")* (J307&lt;&gt;""))+((M307="N")*(L307&lt;&gt;"")* (N307&lt;&gt;""))+((Q307="N")*(P307&lt;&gt;"")* (R307&lt;&gt;""))),0)</f>
        <v/>
      </c>
      <c r="X307" s="50">
        <f>IFERROR(U307/4,0)</f>
        <v/>
      </c>
    </row>
    <row r="308" ht="18" customHeight="1">
      <c r="B308" s="46">
        <f>'📥 ข้อมูลนักเรียน'!B11</f>
        <v/>
      </c>
      <c r="C308" s="51">
        <f>'📥 ข้อมูลนักเรียน'!C11</f>
        <v/>
      </c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37">
        <f>IFERROR(SUMPRODUCT(((D308=D300)*(E308="Y")*(F308=F300)*(G308="Y")*(D308&lt;&gt;"")* (F308&lt;&gt;""))+((H308=H300)*(I308="Y")*(J308=J300)*(K308="Y")*(H308&lt;&gt;"")* (J308&lt;&gt;""))+((L308=L300)*(M308="Y")*(N308=N300)*(O308="Y")*(L308&lt;&gt;"")* (N308&lt;&gt;""))+((P308=P300)*(Q308="Y")*(R308=R300)*(S308="Y")*(P308&lt;&gt;"")* (R308&lt;&gt;""))),0)</f>
        <v/>
      </c>
      <c r="U308" s="49">
        <f>IFERROR(SUMPRODUCT(((D308&lt;&gt;D300)*(E308="Y")*(F308&lt;&gt;F300)*(G308="Y")*(D308&lt;&gt;"")* (F308&lt;&gt;""))+((H308&lt;&gt;H300)*(I308="Y")*(J308&lt;&gt;J300)*(K308="Y")*(H308&lt;&gt;"")* (J308&lt;&gt;""))+((L308&lt;&gt;L300)*(M308="Y")*(N308&lt;&gt;N300)*(O308="Y")*(L308&lt;&gt;"")* (N308&lt;&gt;""))+((P308&lt;&gt;P300)*(Q308="Y")*(R308&lt;&gt;R300)*(S308="Y")*(P308&lt;&gt;"")* (R308&lt;&gt;""))),0)</f>
        <v/>
      </c>
      <c r="V308" s="37">
        <f>IFERROR(SUMPRODUCT(((D308=D300)*(E308="Y")*(F308&lt;&gt;F300)*(G308="Y")*(D308&lt;&gt;"")* (F308&lt;&gt;""))+((H308=H300)*(I308="Y")*(J308&lt;&gt;J300)*(K308="Y")*(H308&lt;&gt;"")* (J308&lt;&gt;""))+((L308=L300)*(M308="Y")*(N308&lt;&gt;N300)*(O308="Y")*(L308&lt;&gt;"")* (N308&lt;&gt;""))+((P308=P300)*(Q308="Y")*(R308&lt;&gt;R300)*(S308="Y")*(P308&lt;&gt;"")* (R308&lt;&gt;""))),0)</f>
        <v/>
      </c>
      <c r="W308" s="37">
        <f>IFERROR(SUMPRODUCT(((E308="N")*(D308&lt;&gt;"")* (F308&lt;&gt;""))+((I308="N")*(H308&lt;&gt;"")* (J308&lt;&gt;""))+((M308="N")*(L308&lt;&gt;"")* (N308&lt;&gt;""))+((Q308="N")*(P308&lt;&gt;"")* (R308&lt;&gt;""))),0)</f>
        <v/>
      </c>
      <c r="X308" s="50">
        <f>IFERROR(U308/4,0)</f>
        <v/>
      </c>
    </row>
    <row r="309" ht="18" customHeight="1">
      <c r="B309" s="46">
        <f>'📥 ข้อมูลนักเรียน'!B12</f>
        <v/>
      </c>
      <c r="C309" s="47">
        <f>'📥 ข้อมูลนักเรียน'!C12</f>
        <v/>
      </c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37">
        <f>IFERROR(SUMPRODUCT(((D309=D300)*(E309="Y")*(F309=F300)*(G309="Y")*(D309&lt;&gt;"")* (F309&lt;&gt;""))+((H309=H300)*(I309="Y")*(J309=J300)*(K309="Y")*(H309&lt;&gt;"")* (J309&lt;&gt;""))+((L309=L300)*(M309="Y")*(N309=N300)*(O309="Y")*(L309&lt;&gt;"")* (N309&lt;&gt;""))+((P309=P300)*(Q309="Y")*(R309=R300)*(S309="Y")*(P309&lt;&gt;"")* (R309&lt;&gt;""))),0)</f>
        <v/>
      </c>
      <c r="U309" s="49">
        <f>IFERROR(SUMPRODUCT(((D309&lt;&gt;D300)*(E309="Y")*(F309&lt;&gt;F300)*(G309="Y")*(D309&lt;&gt;"")* (F309&lt;&gt;""))+((H309&lt;&gt;H300)*(I309="Y")*(J309&lt;&gt;J300)*(K309="Y")*(H309&lt;&gt;"")* (J309&lt;&gt;""))+((L309&lt;&gt;L300)*(M309="Y")*(N309&lt;&gt;N300)*(O309="Y")*(L309&lt;&gt;"")* (N309&lt;&gt;""))+((P309&lt;&gt;P300)*(Q309="Y")*(R309&lt;&gt;R300)*(S309="Y")*(P309&lt;&gt;"")* (R309&lt;&gt;""))),0)</f>
        <v/>
      </c>
      <c r="V309" s="37">
        <f>IFERROR(SUMPRODUCT(((D309=D300)*(E309="Y")*(F309&lt;&gt;F300)*(G309="Y")*(D309&lt;&gt;"")* (F309&lt;&gt;""))+((H309=H300)*(I309="Y")*(J309&lt;&gt;J300)*(K309="Y")*(H309&lt;&gt;"")* (J309&lt;&gt;""))+((L309=L300)*(M309="Y")*(N309&lt;&gt;N300)*(O309="Y")*(L309&lt;&gt;"")* (N309&lt;&gt;""))+((P309=P300)*(Q309="Y")*(R309&lt;&gt;R300)*(S309="Y")*(P309&lt;&gt;"")* (R309&lt;&gt;""))),0)</f>
        <v/>
      </c>
      <c r="W309" s="37">
        <f>IFERROR(SUMPRODUCT(((E309="N")*(D309&lt;&gt;"")* (F309&lt;&gt;""))+((I309="N")*(H309&lt;&gt;"")* (J309&lt;&gt;""))+((M309="N")*(L309&lt;&gt;"")* (N309&lt;&gt;""))+((Q309="N")*(P309&lt;&gt;"")* (R309&lt;&gt;""))),0)</f>
        <v/>
      </c>
      <c r="X309" s="50">
        <f>IFERROR(U309/4,0)</f>
        <v/>
      </c>
    </row>
    <row r="310" ht="18" customHeight="1">
      <c r="B310" s="46">
        <f>'📥 ข้อมูลนักเรียน'!B13</f>
        <v/>
      </c>
      <c r="C310" s="51">
        <f>'📥 ข้อมูลนักเรียน'!C13</f>
        <v/>
      </c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37">
        <f>IFERROR(SUMPRODUCT(((D310=D300)*(E310="Y")*(F310=F300)*(G310="Y")*(D310&lt;&gt;"")* (F310&lt;&gt;""))+((H310=H300)*(I310="Y")*(J310=J300)*(K310="Y")*(H310&lt;&gt;"")* (J310&lt;&gt;""))+((L310=L300)*(M310="Y")*(N310=N300)*(O310="Y")*(L310&lt;&gt;"")* (N310&lt;&gt;""))+((P310=P300)*(Q310="Y")*(R310=R300)*(S310="Y")*(P310&lt;&gt;"")* (R310&lt;&gt;""))),0)</f>
        <v/>
      </c>
      <c r="U310" s="49">
        <f>IFERROR(SUMPRODUCT(((D310&lt;&gt;D300)*(E310="Y")*(F310&lt;&gt;F300)*(G310="Y")*(D310&lt;&gt;"")* (F310&lt;&gt;""))+((H310&lt;&gt;H300)*(I310="Y")*(J310&lt;&gt;J300)*(K310="Y")*(H310&lt;&gt;"")* (J310&lt;&gt;""))+((L310&lt;&gt;L300)*(M310="Y")*(N310&lt;&gt;N300)*(O310="Y")*(L310&lt;&gt;"")* (N310&lt;&gt;""))+((P310&lt;&gt;P300)*(Q310="Y")*(R310&lt;&gt;R300)*(S310="Y")*(P310&lt;&gt;"")* (R310&lt;&gt;""))),0)</f>
        <v/>
      </c>
      <c r="V310" s="37">
        <f>IFERROR(SUMPRODUCT(((D310=D300)*(E310="Y")*(F310&lt;&gt;F300)*(G310="Y")*(D310&lt;&gt;"")* (F310&lt;&gt;""))+((H310=H300)*(I310="Y")*(J310&lt;&gt;J300)*(K310="Y")*(H310&lt;&gt;"")* (J310&lt;&gt;""))+((L310=L300)*(M310="Y")*(N310&lt;&gt;N300)*(O310="Y")*(L310&lt;&gt;"")* (N310&lt;&gt;""))+((P310=P300)*(Q310="Y")*(R310&lt;&gt;R300)*(S310="Y")*(P310&lt;&gt;"")* (R310&lt;&gt;""))),0)</f>
        <v/>
      </c>
      <c r="W310" s="37">
        <f>IFERROR(SUMPRODUCT(((E310="N")*(D310&lt;&gt;"")* (F310&lt;&gt;""))+((I310="N")*(H310&lt;&gt;"")* (J310&lt;&gt;""))+((M310="N")*(L310&lt;&gt;"")* (N310&lt;&gt;""))+((Q310="N")*(P310&lt;&gt;"")* (R310&lt;&gt;""))),0)</f>
        <v/>
      </c>
      <c r="X310" s="50">
        <f>IFERROR(U310/4,0)</f>
        <v/>
      </c>
    </row>
    <row r="311" ht="18" customHeight="1">
      <c r="B311" s="46">
        <f>'📥 ข้อมูลนักเรียน'!B14</f>
        <v/>
      </c>
      <c r="C311" s="47">
        <f>'📥 ข้อมูลนักเรียน'!C14</f>
        <v/>
      </c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37">
        <f>IFERROR(SUMPRODUCT(((D311=D300)*(E311="Y")*(F311=F300)*(G311="Y")*(D311&lt;&gt;"")* (F311&lt;&gt;""))+((H311=H300)*(I311="Y")*(J311=J300)*(K311="Y")*(H311&lt;&gt;"")* (J311&lt;&gt;""))+((L311=L300)*(M311="Y")*(N311=N300)*(O311="Y")*(L311&lt;&gt;"")* (N311&lt;&gt;""))+((P311=P300)*(Q311="Y")*(R311=R300)*(S311="Y")*(P311&lt;&gt;"")* (R311&lt;&gt;""))),0)</f>
        <v/>
      </c>
      <c r="U311" s="49">
        <f>IFERROR(SUMPRODUCT(((D311&lt;&gt;D300)*(E311="Y")*(F311&lt;&gt;F300)*(G311="Y")*(D311&lt;&gt;"")* (F311&lt;&gt;""))+((H311&lt;&gt;H300)*(I311="Y")*(J311&lt;&gt;J300)*(K311="Y")*(H311&lt;&gt;"")* (J311&lt;&gt;""))+((L311&lt;&gt;L300)*(M311="Y")*(N311&lt;&gt;N300)*(O311="Y")*(L311&lt;&gt;"")* (N311&lt;&gt;""))+((P311&lt;&gt;P300)*(Q311="Y")*(R311&lt;&gt;R300)*(S311="Y")*(P311&lt;&gt;"")* (R311&lt;&gt;""))),0)</f>
        <v/>
      </c>
      <c r="V311" s="37">
        <f>IFERROR(SUMPRODUCT(((D311=D300)*(E311="Y")*(F311&lt;&gt;F300)*(G311="Y")*(D311&lt;&gt;"")* (F311&lt;&gt;""))+((H311=H300)*(I311="Y")*(J311&lt;&gt;J300)*(K311="Y")*(H311&lt;&gt;"")* (J311&lt;&gt;""))+((L311=L300)*(M311="Y")*(N311&lt;&gt;N300)*(O311="Y")*(L311&lt;&gt;"")* (N311&lt;&gt;""))+((P311=P300)*(Q311="Y")*(R311&lt;&gt;R300)*(S311="Y")*(P311&lt;&gt;"")* (R311&lt;&gt;""))),0)</f>
        <v/>
      </c>
      <c r="W311" s="37">
        <f>IFERROR(SUMPRODUCT(((E311="N")*(D311&lt;&gt;"")* (F311&lt;&gt;""))+((I311="N")*(H311&lt;&gt;"")* (J311&lt;&gt;""))+((M311="N")*(L311&lt;&gt;"")* (N311&lt;&gt;""))+((Q311="N")*(P311&lt;&gt;"")* (R311&lt;&gt;""))),0)</f>
        <v/>
      </c>
      <c r="X311" s="50">
        <f>IFERROR(U311/4,0)</f>
        <v/>
      </c>
    </row>
    <row r="312" ht="18" customHeight="1">
      <c r="B312" s="46">
        <f>'📥 ข้อมูลนักเรียน'!B15</f>
        <v/>
      </c>
      <c r="C312" s="51">
        <f>'📥 ข้อมูลนักเรียน'!C15</f>
        <v/>
      </c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37">
        <f>IFERROR(SUMPRODUCT(((D312=D300)*(E312="Y")*(F312=F300)*(G312="Y")*(D312&lt;&gt;"")* (F312&lt;&gt;""))+((H312=H300)*(I312="Y")*(J312=J300)*(K312="Y")*(H312&lt;&gt;"")* (J312&lt;&gt;""))+((L312=L300)*(M312="Y")*(N312=N300)*(O312="Y")*(L312&lt;&gt;"")* (N312&lt;&gt;""))+((P312=P300)*(Q312="Y")*(R312=R300)*(S312="Y")*(P312&lt;&gt;"")* (R312&lt;&gt;""))),0)</f>
        <v/>
      </c>
      <c r="U312" s="49">
        <f>IFERROR(SUMPRODUCT(((D312&lt;&gt;D300)*(E312="Y")*(F312&lt;&gt;F300)*(G312="Y")*(D312&lt;&gt;"")* (F312&lt;&gt;""))+((H312&lt;&gt;H300)*(I312="Y")*(J312&lt;&gt;J300)*(K312="Y")*(H312&lt;&gt;"")* (J312&lt;&gt;""))+((L312&lt;&gt;L300)*(M312="Y")*(N312&lt;&gt;N300)*(O312="Y")*(L312&lt;&gt;"")* (N312&lt;&gt;""))+((P312&lt;&gt;P300)*(Q312="Y")*(R312&lt;&gt;R300)*(S312="Y")*(P312&lt;&gt;"")* (R312&lt;&gt;""))),0)</f>
        <v/>
      </c>
      <c r="V312" s="37">
        <f>IFERROR(SUMPRODUCT(((D312=D300)*(E312="Y")*(F312&lt;&gt;F300)*(G312="Y")*(D312&lt;&gt;"")* (F312&lt;&gt;""))+((H312=H300)*(I312="Y")*(J312&lt;&gt;J300)*(K312="Y")*(H312&lt;&gt;"")* (J312&lt;&gt;""))+((L312=L300)*(M312="Y")*(N312&lt;&gt;N300)*(O312="Y")*(L312&lt;&gt;"")* (N312&lt;&gt;""))+((P312=P300)*(Q312="Y")*(R312&lt;&gt;R300)*(S312="Y")*(P312&lt;&gt;"")* (R312&lt;&gt;""))),0)</f>
        <v/>
      </c>
      <c r="W312" s="37">
        <f>IFERROR(SUMPRODUCT(((E312="N")*(D312&lt;&gt;"")* (F312&lt;&gt;""))+((I312="N")*(H312&lt;&gt;"")* (J312&lt;&gt;""))+((M312="N")*(L312&lt;&gt;"")* (N312&lt;&gt;""))+((Q312="N")*(P312&lt;&gt;"")* (R312&lt;&gt;""))),0)</f>
        <v/>
      </c>
      <c r="X312" s="50">
        <f>IFERROR(U312/4,0)</f>
        <v/>
      </c>
    </row>
    <row r="313" ht="18" customHeight="1">
      <c r="B313" s="46">
        <f>'📥 ข้อมูลนักเรียน'!B16</f>
        <v/>
      </c>
      <c r="C313" s="47">
        <f>'📥 ข้อมูลนักเรียน'!C16</f>
        <v/>
      </c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37">
        <f>IFERROR(SUMPRODUCT(((D313=D300)*(E313="Y")*(F313=F300)*(G313="Y")*(D313&lt;&gt;"")* (F313&lt;&gt;""))+((H313=H300)*(I313="Y")*(J313=J300)*(K313="Y")*(H313&lt;&gt;"")* (J313&lt;&gt;""))+((L313=L300)*(M313="Y")*(N313=N300)*(O313="Y")*(L313&lt;&gt;"")* (N313&lt;&gt;""))+((P313=P300)*(Q313="Y")*(R313=R300)*(S313="Y")*(P313&lt;&gt;"")* (R313&lt;&gt;""))),0)</f>
        <v/>
      </c>
      <c r="U313" s="49">
        <f>IFERROR(SUMPRODUCT(((D313&lt;&gt;D300)*(E313="Y")*(F313&lt;&gt;F300)*(G313="Y")*(D313&lt;&gt;"")* (F313&lt;&gt;""))+((H313&lt;&gt;H300)*(I313="Y")*(J313&lt;&gt;J300)*(K313="Y")*(H313&lt;&gt;"")* (J313&lt;&gt;""))+((L313&lt;&gt;L300)*(M313="Y")*(N313&lt;&gt;N300)*(O313="Y")*(L313&lt;&gt;"")* (N313&lt;&gt;""))+((P313&lt;&gt;P300)*(Q313="Y")*(R313&lt;&gt;R300)*(S313="Y")*(P313&lt;&gt;"")* (R313&lt;&gt;""))),0)</f>
        <v/>
      </c>
      <c r="V313" s="37">
        <f>IFERROR(SUMPRODUCT(((D313=D300)*(E313="Y")*(F313&lt;&gt;F300)*(G313="Y")*(D313&lt;&gt;"")* (F313&lt;&gt;""))+((H313=H300)*(I313="Y")*(J313&lt;&gt;J300)*(K313="Y")*(H313&lt;&gt;"")* (J313&lt;&gt;""))+((L313=L300)*(M313="Y")*(N313&lt;&gt;N300)*(O313="Y")*(L313&lt;&gt;"")* (N313&lt;&gt;""))+((P313=P300)*(Q313="Y")*(R313&lt;&gt;R300)*(S313="Y")*(P313&lt;&gt;"")* (R313&lt;&gt;""))),0)</f>
        <v/>
      </c>
      <c r="W313" s="37">
        <f>IFERROR(SUMPRODUCT(((E313="N")*(D313&lt;&gt;"")* (F313&lt;&gt;""))+((I313="N")*(H313&lt;&gt;"")* (J313&lt;&gt;""))+((M313="N")*(L313&lt;&gt;"")* (N313&lt;&gt;""))+((Q313="N")*(P313&lt;&gt;"")* (R313&lt;&gt;""))),0)</f>
        <v/>
      </c>
      <c r="X313" s="50">
        <f>IFERROR(U313/4,0)</f>
        <v/>
      </c>
    </row>
    <row r="314" ht="18" customHeight="1">
      <c r="B314" s="46">
        <f>'📥 ข้อมูลนักเรียน'!B17</f>
        <v/>
      </c>
      <c r="C314" s="51">
        <f>'📥 ข้อมูลนักเรียน'!C17</f>
        <v/>
      </c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37">
        <f>IFERROR(SUMPRODUCT(((D314=D300)*(E314="Y")*(F314=F300)*(G314="Y")*(D314&lt;&gt;"")* (F314&lt;&gt;""))+((H314=H300)*(I314="Y")*(J314=J300)*(K314="Y")*(H314&lt;&gt;"")* (J314&lt;&gt;""))+((L314=L300)*(M314="Y")*(N314=N300)*(O314="Y")*(L314&lt;&gt;"")* (N314&lt;&gt;""))+((P314=P300)*(Q314="Y")*(R314=R300)*(S314="Y")*(P314&lt;&gt;"")* (R314&lt;&gt;""))),0)</f>
        <v/>
      </c>
      <c r="U314" s="49">
        <f>IFERROR(SUMPRODUCT(((D314&lt;&gt;D300)*(E314="Y")*(F314&lt;&gt;F300)*(G314="Y")*(D314&lt;&gt;"")* (F314&lt;&gt;""))+((H314&lt;&gt;H300)*(I314="Y")*(J314&lt;&gt;J300)*(K314="Y")*(H314&lt;&gt;"")* (J314&lt;&gt;""))+((L314&lt;&gt;L300)*(M314="Y")*(N314&lt;&gt;N300)*(O314="Y")*(L314&lt;&gt;"")* (N314&lt;&gt;""))+((P314&lt;&gt;P300)*(Q314="Y")*(R314&lt;&gt;R300)*(S314="Y")*(P314&lt;&gt;"")* (R314&lt;&gt;""))),0)</f>
        <v/>
      </c>
      <c r="V314" s="37">
        <f>IFERROR(SUMPRODUCT(((D314=D300)*(E314="Y")*(F314&lt;&gt;F300)*(G314="Y")*(D314&lt;&gt;"")* (F314&lt;&gt;""))+((H314=H300)*(I314="Y")*(J314&lt;&gt;J300)*(K314="Y")*(H314&lt;&gt;"")* (J314&lt;&gt;""))+((L314=L300)*(M314="Y")*(N314&lt;&gt;N300)*(O314="Y")*(L314&lt;&gt;"")* (N314&lt;&gt;""))+((P314=P300)*(Q314="Y")*(R314&lt;&gt;R300)*(S314="Y")*(P314&lt;&gt;"")* (R314&lt;&gt;""))),0)</f>
        <v/>
      </c>
      <c r="W314" s="37">
        <f>IFERROR(SUMPRODUCT(((E314="N")*(D314&lt;&gt;"")* (F314&lt;&gt;""))+((I314="N")*(H314&lt;&gt;"")* (J314&lt;&gt;""))+((M314="N")*(L314&lt;&gt;"")* (N314&lt;&gt;""))+((Q314="N")*(P314&lt;&gt;"")* (R314&lt;&gt;""))),0)</f>
        <v/>
      </c>
      <c r="X314" s="50">
        <f>IFERROR(U314/4,0)</f>
        <v/>
      </c>
    </row>
    <row r="315" ht="18" customHeight="1">
      <c r="B315" s="46">
        <f>'📥 ข้อมูลนักเรียน'!B18</f>
        <v/>
      </c>
      <c r="C315" s="47">
        <f>'📥 ข้อมูลนักเรียน'!C18</f>
        <v/>
      </c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37">
        <f>IFERROR(SUMPRODUCT(((D315=D300)*(E315="Y")*(F315=F300)*(G315="Y")*(D315&lt;&gt;"")*(F315&lt;&gt;""))+((H315=H300)*(I315="Y")*(J315=J300)*(K315="Y")*(H315&lt;&gt;"")*(J315&lt;&gt;""))+((L315=L300)*(M315="Y")*(N315=N300)*(O315="Y")*(L315&lt;&gt;"")*(N315&lt;&gt;""))+((P315=P300)*(Q315="Y")*(R315=R300)*(S315="Y")*(P315&lt;&gt;"")*(R315&lt;&gt;""))),0)</f>
        <v/>
      </c>
      <c r="U315" s="49">
        <f>IFERROR(SUMPRODUCT(((D315&lt;&gt;D300)*(E315="Y")*(F315&lt;&gt;F300)*(G315="Y")*(D315&lt;&gt;"")*(F315&lt;&gt;""))+((H315&lt;&gt;H300)*(I315="Y")*(J315&lt;&gt;J300)*(K315="Y")*(H315&lt;&gt;"")*(J315&lt;&gt;""))+((L315&lt;&gt;L300)*(M315="Y")*(N315&lt;&gt;N300)*(O315="Y")*(L315&lt;&gt;"")*(N315&lt;&gt;""))+((P315&lt;&gt;P300)*(Q315="Y")*(R315&lt;&gt;R300)*(S315="Y")*(P315&lt;&gt;"")*(R315&lt;&gt;""))),0)</f>
        <v/>
      </c>
      <c r="V315" s="37">
        <f>IFERROR(SUMPRODUCT(((D315=D300)*(E315="Y")*(F315&lt;&gt;F300)*(G315="Y")*(D315&lt;&gt;"")*(F315&lt;&gt;""))+((H315=H300)*(I315="Y")*(J315&lt;&gt;J300)*(K315="Y")*(H315&lt;&gt;"")*(J315&lt;&gt;""))+((L315=L300)*(M315="Y")*(N315&lt;&gt;N300)*(O315="Y")*(L315&lt;&gt;"")*(N315&lt;&gt;""))+((P315=P300)*(Q315="Y")*(R315&lt;&gt;R300)*(S315="Y")*(P315&lt;&gt;"")*(R315&lt;&gt;""))),0)</f>
        <v/>
      </c>
      <c r="W315" s="37">
        <f>IFERROR(SUMPRODUCT(((E315="N")*(D315&lt;&gt;"")*(F315&lt;&gt;""))+((I315="N")*(H315&lt;&gt;"")*(J315&lt;&gt;""))+((M315="N")*(L315&lt;&gt;"")*(N315&lt;&gt;""))+((Q315="N")*(P315&lt;&gt;"")*(R315&lt;&gt;""))),0)</f>
        <v/>
      </c>
      <c r="X315" s="50">
        <f>IFERROR(U315/4,0)</f>
        <v/>
      </c>
    </row>
    <row r="316" ht="18" customHeight="1">
      <c r="B316" s="46">
        <f>'📥 ข้อมูลนักเรียน'!B19</f>
        <v/>
      </c>
      <c r="C316" s="51">
        <f>'📥 ข้อมูลนักเรียน'!C19</f>
        <v/>
      </c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37">
        <f>IFERROR(SUMPRODUCT(((D316=D300)*(E316="Y")*(F316=F300)*(G316="Y")*(D316&lt;&gt;"")*(F316&lt;&gt;""))+((H316=H300)*(I316="Y")*(J316=J300)*(K316="Y")*(H316&lt;&gt;"")*(J316&lt;&gt;""))+((L316=L300)*(M316="Y")*(N316=N300)*(O316="Y")*(L316&lt;&gt;"")*(N316&lt;&gt;""))+((P316=P300)*(Q316="Y")*(R316=R300)*(S316="Y")*(P316&lt;&gt;"")*(R316&lt;&gt;""))),0)</f>
        <v/>
      </c>
      <c r="U316" s="49">
        <f>IFERROR(SUMPRODUCT(((D316&lt;&gt;D300)*(E316="Y")*(F316&lt;&gt;F300)*(G316="Y")*(D316&lt;&gt;"")*(F316&lt;&gt;""))+((H316&lt;&gt;H300)*(I316="Y")*(J316&lt;&gt;J300)*(K316="Y")*(H316&lt;&gt;"")*(J316&lt;&gt;""))+((L316&lt;&gt;L300)*(M316="Y")*(N316&lt;&gt;N300)*(O316="Y")*(L316&lt;&gt;"")*(N316&lt;&gt;""))+((P316&lt;&gt;P300)*(Q316="Y")*(R316&lt;&gt;R300)*(S316="Y")*(P316&lt;&gt;"")*(R316&lt;&gt;""))),0)</f>
        <v/>
      </c>
      <c r="V316" s="37">
        <f>IFERROR(SUMPRODUCT(((D316=D300)*(E316="Y")*(F316&lt;&gt;F300)*(G316="Y")*(D316&lt;&gt;"")*(F316&lt;&gt;""))+((H316=H300)*(I316="Y")*(J316&lt;&gt;J300)*(K316="Y")*(H316&lt;&gt;"")*(J316&lt;&gt;""))+((L316=L300)*(M316="Y")*(N316&lt;&gt;N300)*(O316="Y")*(L316&lt;&gt;"")*(N316&lt;&gt;""))+((P316=P300)*(Q316="Y")*(R316&lt;&gt;R300)*(S316="Y")*(P316&lt;&gt;"")*(R316&lt;&gt;""))),0)</f>
        <v/>
      </c>
      <c r="W316" s="37">
        <f>IFERROR(SUMPRODUCT(((E316="N")*(D316&lt;&gt;"")*(F316&lt;&gt;""))+((I316="N")*(H316&lt;&gt;"")*(J316&lt;&gt;""))+((M316="N")*(L316&lt;&gt;"")*(N316&lt;&gt;""))+((Q316="N")*(P316&lt;&gt;"")*(R316&lt;&gt;""))),0)</f>
        <v/>
      </c>
      <c r="X316" s="50">
        <f>IFERROR(U316/4,0)</f>
        <v/>
      </c>
    </row>
    <row r="317" ht="18" customHeight="1">
      <c r="B317" s="46">
        <f>'📥 ข้อมูลนักเรียน'!B20</f>
        <v/>
      </c>
      <c r="C317" s="47">
        <f>'📥 ข้อมูลนักเรียน'!C20</f>
        <v/>
      </c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37">
        <f>IFERROR(SUMPRODUCT(((D317=D300)*(E317="Y")*(F317=F300)*(G317="Y")*(D317&lt;&gt;"")*(F317&lt;&gt;""))+((H317=H300)*(I317="Y")*(J317=J300)*(K317="Y")*(H317&lt;&gt;"")*(J317&lt;&gt;""))+((L317=L300)*(M317="Y")*(N317=N300)*(O317="Y")*(L317&lt;&gt;"")*(N317&lt;&gt;""))+((P317=P300)*(Q317="Y")*(R317=R300)*(S317="Y")*(P317&lt;&gt;"")*(R317&lt;&gt;""))),0)</f>
        <v/>
      </c>
      <c r="U317" s="49">
        <f>IFERROR(SUMPRODUCT(((D317&lt;&gt;D300)*(E317="Y")*(F317&lt;&gt;F300)*(G317="Y")*(D317&lt;&gt;"")*(F317&lt;&gt;""))+((H317&lt;&gt;H300)*(I317="Y")*(J317&lt;&gt;J300)*(K317="Y")*(H317&lt;&gt;"")*(J317&lt;&gt;""))+((L317&lt;&gt;L300)*(M317="Y")*(N317&lt;&gt;N300)*(O317="Y")*(L317&lt;&gt;"")*(N317&lt;&gt;""))+((P317&lt;&gt;P300)*(Q317="Y")*(R317&lt;&gt;R300)*(S317="Y")*(P317&lt;&gt;"")*(R317&lt;&gt;""))),0)</f>
        <v/>
      </c>
      <c r="V317" s="37">
        <f>IFERROR(SUMPRODUCT(((D317=D300)*(E317="Y")*(F317&lt;&gt;F300)*(G317="Y")*(D317&lt;&gt;"")*(F317&lt;&gt;""))+((H317=H300)*(I317="Y")*(J317&lt;&gt;J300)*(K317="Y")*(H317&lt;&gt;"")*(J317&lt;&gt;""))+((L317=L300)*(M317="Y")*(N317&lt;&gt;N300)*(O317="Y")*(L317&lt;&gt;"")*(N317&lt;&gt;""))+((P317=P300)*(Q317="Y")*(R317&lt;&gt;R300)*(S317="Y")*(P317&lt;&gt;"")*(R317&lt;&gt;""))),0)</f>
        <v/>
      </c>
      <c r="W317" s="37">
        <f>IFERROR(SUMPRODUCT(((E317="N")*(D317&lt;&gt;"")*(F317&lt;&gt;""))+((I317="N")*(H317&lt;&gt;"")*(J317&lt;&gt;""))+((M317="N")*(L317&lt;&gt;"")*(N317&lt;&gt;""))+((Q317="N")*(P317&lt;&gt;"")*(R317&lt;&gt;""))),0)</f>
        <v/>
      </c>
      <c r="X317" s="50">
        <f>IFERROR(U317/4,0)</f>
        <v/>
      </c>
    </row>
    <row r="318" ht="18" customHeight="1">
      <c r="B318" s="46">
        <f>'📥 ข้อมูลนักเรียน'!B21</f>
        <v/>
      </c>
      <c r="C318" s="51">
        <f>'📥 ข้อมูลนักเรียน'!C21</f>
        <v/>
      </c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37">
        <f>IFERROR(SUMPRODUCT(((D318=D300)*(E318="Y")*(F318=F300)*(G318="Y")*(D318&lt;&gt;"")*(F318&lt;&gt;""))+((H318=H300)*(I318="Y")*(J318=J300)*(K318="Y")*(H318&lt;&gt;"")*(J318&lt;&gt;""))+((L318=L300)*(M318="Y")*(N318=N300)*(O318="Y")*(L318&lt;&gt;"")*(N318&lt;&gt;""))+((P318=P300)*(Q318="Y")*(R318=R300)*(S318="Y")*(P318&lt;&gt;"")*(R318&lt;&gt;""))),0)</f>
        <v/>
      </c>
      <c r="U318" s="49">
        <f>IFERROR(SUMPRODUCT(((D318&lt;&gt;D300)*(E318="Y")*(F318&lt;&gt;F300)*(G318="Y")*(D318&lt;&gt;"")*(F318&lt;&gt;""))+((H318&lt;&gt;H300)*(I318="Y")*(J318&lt;&gt;J300)*(K318="Y")*(H318&lt;&gt;"")*(J318&lt;&gt;""))+((L318&lt;&gt;L300)*(M318="Y")*(N318&lt;&gt;N300)*(O318="Y")*(L318&lt;&gt;"")*(N318&lt;&gt;""))+((P318&lt;&gt;P300)*(Q318="Y")*(R318&lt;&gt;R300)*(S318="Y")*(P318&lt;&gt;"")*(R318&lt;&gt;""))),0)</f>
        <v/>
      </c>
      <c r="V318" s="37">
        <f>IFERROR(SUMPRODUCT(((D318=D300)*(E318="Y")*(F318&lt;&gt;F300)*(G318="Y")*(D318&lt;&gt;"")*(F318&lt;&gt;""))+((H318=H300)*(I318="Y")*(J318&lt;&gt;J300)*(K318="Y")*(H318&lt;&gt;"")*(J318&lt;&gt;""))+((L318=L300)*(M318="Y")*(N318&lt;&gt;N300)*(O318="Y")*(L318&lt;&gt;"")*(N318&lt;&gt;""))+((P318=P300)*(Q318="Y")*(R318&lt;&gt;R300)*(S318="Y")*(P318&lt;&gt;"")*(R318&lt;&gt;""))),0)</f>
        <v/>
      </c>
      <c r="W318" s="37">
        <f>IFERROR(SUMPRODUCT(((E318="N")*(D318&lt;&gt;"")*(F318&lt;&gt;""))+((I318="N")*(H318&lt;&gt;"")*(J318&lt;&gt;""))+((M318="N")*(L318&lt;&gt;"")*(N318&lt;&gt;""))+((Q318="N")*(P318&lt;&gt;"")*(R318&lt;&gt;""))),0)</f>
        <v/>
      </c>
      <c r="X318" s="50">
        <f>IFERROR(U318/4,0)</f>
        <v/>
      </c>
    </row>
    <row r="319" ht="18" customHeight="1">
      <c r="B319" s="46">
        <f>'📥 ข้อมูลนักเรียน'!B22</f>
        <v/>
      </c>
      <c r="C319" s="47">
        <f>'📥 ข้อมูลนักเรียน'!C22</f>
        <v/>
      </c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37">
        <f>IFERROR(SUMPRODUCT(((D319=D300)*(E319="Y")*(F319=F300)*(G319="Y")*(D319&lt;&gt;"")*(F319&lt;&gt;""))+((H319=H300)*(I319="Y")*(J319=J300)*(K319="Y")*(H319&lt;&gt;"")*(J319&lt;&gt;""))+((L319=L300)*(M319="Y")*(N319=N300)*(O319="Y")*(L319&lt;&gt;"")*(N319&lt;&gt;""))+((P319=P300)*(Q319="Y")*(R319=R300)*(S319="Y")*(P319&lt;&gt;"")*(R319&lt;&gt;""))),0)</f>
        <v/>
      </c>
      <c r="U319" s="49">
        <f>IFERROR(SUMPRODUCT(((D319&lt;&gt;D300)*(E319="Y")*(F319&lt;&gt;F300)*(G319="Y")*(D319&lt;&gt;"")*(F319&lt;&gt;""))+((H319&lt;&gt;H300)*(I319="Y")*(J319&lt;&gt;J300)*(K319="Y")*(H319&lt;&gt;"")*(J319&lt;&gt;""))+((L319&lt;&gt;L300)*(M319="Y")*(N319&lt;&gt;N300)*(O319="Y")*(L319&lt;&gt;"")*(N319&lt;&gt;""))+((P319&lt;&gt;P300)*(Q319="Y")*(R319&lt;&gt;R300)*(S319="Y")*(P319&lt;&gt;"")*(R319&lt;&gt;""))),0)</f>
        <v/>
      </c>
      <c r="V319" s="37">
        <f>IFERROR(SUMPRODUCT(((D319=D300)*(E319="Y")*(F319&lt;&gt;F300)*(G319="Y")*(D319&lt;&gt;"")*(F319&lt;&gt;""))+((H319=H300)*(I319="Y")*(J319&lt;&gt;J300)*(K319="Y")*(H319&lt;&gt;"")*(J319&lt;&gt;""))+((L319=L300)*(M319="Y")*(N319&lt;&gt;N300)*(O319="Y")*(L319&lt;&gt;"")*(N319&lt;&gt;""))+((P319=P300)*(Q319="Y")*(R319&lt;&gt;R300)*(S319="Y")*(P319&lt;&gt;"")*(R319&lt;&gt;""))),0)</f>
        <v/>
      </c>
      <c r="W319" s="37">
        <f>IFERROR(SUMPRODUCT(((E319="N")*(D319&lt;&gt;"")*(F319&lt;&gt;""))+((I319="N")*(H319&lt;&gt;"")*(J319&lt;&gt;""))+((M319="N")*(L319&lt;&gt;"")*(N319&lt;&gt;""))+((Q319="N")*(P319&lt;&gt;"")*(R319&lt;&gt;""))),0)</f>
        <v/>
      </c>
      <c r="X319" s="50">
        <f>IFERROR(U319/4,0)</f>
        <v/>
      </c>
    </row>
    <row r="320" ht="18" customHeight="1">
      <c r="B320" s="46">
        <f>'📥 ข้อมูลนักเรียน'!B23</f>
        <v/>
      </c>
      <c r="C320" s="51">
        <f>'📥 ข้อมูลนักเรียน'!C23</f>
        <v/>
      </c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37">
        <f>IFERROR(SUMPRODUCT(((D320=D300)*(E320="Y")*(F320=F300)*(G320="Y")*(D320&lt;&gt;"")*(F320&lt;&gt;""))+((H320=H300)*(I320="Y")*(J320=J300)*(K320="Y")*(H320&lt;&gt;"")*(J320&lt;&gt;""))+((L320=L300)*(M320="Y")*(N320=N300)*(O320="Y")*(L320&lt;&gt;"")*(N320&lt;&gt;""))+((P320=P300)*(Q320="Y")*(R320=R300)*(S320="Y")*(P320&lt;&gt;"")*(R320&lt;&gt;""))),0)</f>
        <v/>
      </c>
      <c r="U320" s="49">
        <f>IFERROR(SUMPRODUCT(((D320&lt;&gt;D300)*(E320="Y")*(F320&lt;&gt;F300)*(G320="Y")*(D320&lt;&gt;"")*(F320&lt;&gt;""))+((H320&lt;&gt;H300)*(I320="Y")*(J320&lt;&gt;J300)*(K320="Y")*(H320&lt;&gt;"")*(J320&lt;&gt;""))+((L320&lt;&gt;L300)*(M320="Y")*(N320&lt;&gt;N300)*(O320="Y")*(L320&lt;&gt;"")*(N320&lt;&gt;""))+((P320&lt;&gt;P300)*(Q320="Y")*(R320&lt;&gt;R300)*(S320="Y")*(P320&lt;&gt;"")*(R320&lt;&gt;""))),0)</f>
        <v/>
      </c>
      <c r="V320" s="37">
        <f>IFERROR(SUMPRODUCT(((D320=D300)*(E320="Y")*(F320&lt;&gt;F300)*(G320="Y")*(D320&lt;&gt;"")*(F320&lt;&gt;""))+((H320=H300)*(I320="Y")*(J320&lt;&gt;J300)*(K320="Y")*(H320&lt;&gt;"")*(J320&lt;&gt;""))+((L320=L300)*(M320="Y")*(N320&lt;&gt;N300)*(O320="Y")*(L320&lt;&gt;"")*(N320&lt;&gt;""))+((P320=P300)*(Q320="Y")*(R320&lt;&gt;R300)*(S320="Y")*(P320&lt;&gt;"")*(R320&lt;&gt;""))),0)</f>
        <v/>
      </c>
      <c r="W320" s="37">
        <f>IFERROR(SUMPRODUCT(((E320="N")*(D320&lt;&gt;"")*(F320&lt;&gt;""))+((I320="N")*(H320&lt;&gt;"")*(J320&lt;&gt;""))+((M320="N")*(L320&lt;&gt;"")*(N320&lt;&gt;""))+((Q320="N")*(P320&lt;&gt;"")*(R320&lt;&gt;""))),0)</f>
        <v/>
      </c>
      <c r="X320" s="50">
        <f>IFERROR(U320/4,0)</f>
        <v/>
      </c>
    </row>
    <row r="321" ht="18" customHeight="1">
      <c r="B321" s="46">
        <f>'📥 ข้อมูลนักเรียน'!B24</f>
        <v/>
      </c>
      <c r="C321" s="47">
        <f>'📥 ข้อมูลนักเรียน'!C24</f>
        <v/>
      </c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37">
        <f>IFERROR(SUMPRODUCT(((D321=D300)*(E321="Y")*(F321=F300)*(G321="Y")*(D321&lt;&gt;"")*(F321&lt;&gt;""))+((H321=H300)*(I321="Y")*(J321=J300)*(K321="Y")*(H321&lt;&gt;"")*(J321&lt;&gt;""))+((L321=L300)*(M321="Y")*(N321=N300)*(O321="Y")*(L321&lt;&gt;"")*(N321&lt;&gt;""))+((P321=P300)*(Q321="Y")*(R321=R300)*(S321="Y")*(P321&lt;&gt;"")*(R321&lt;&gt;""))),0)</f>
        <v/>
      </c>
      <c r="U321" s="49">
        <f>IFERROR(SUMPRODUCT(((D321&lt;&gt;D300)*(E321="Y")*(F321&lt;&gt;F300)*(G321="Y")*(D321&lt;&gt;"")*(F321&lt;&gt;""))+((H321&lt;&gt;H300)*(I321="Y")*(J321&lt;&gt;J300)*(K321="Y")*(H321&lt;&gt;"")*(J321&lt;&gt;""))+((L321&lt;&gt;L300)*(M321="Y")*(N321&lt;&gt;N300)*(O321="Y")*(L321&lt;&gt;"")*(N321&lt;&gt;""))+((P321&lt;&gt;P300)*(Q321="Y")*(R321&lt;&gt;R300)*(S321="Y")*(P321&lt;&gt;"")*(R321&lt;&gt;""))),0)</f>
        <v/>
      </c>
      <c r="V321" s="37">
        <f>IFERROR(SUMPRODUCT(((D321=D300)*(E321="Y")*(F321&lt;&gt;F300)*(G321="Y")*(D321&lt;&gt;"")*(F321&lt;&gt;""))+((H321=H300)*(I321="Y")*(J321&lt;&gt;J300)*(K321="Y")*(H321&lt;&gt;"")*(J321&lt;&gt;""))+((L321=L300)*(M321="Y")*(N321&lt;&gt;N300)*(O321="Y")*(L321&lt;&gt;"")*(N321&lt;&gt;""))+((P321=P300)*(Q321="Y")*(R321&lt;&gt;R300)*(S321="Y")*(P321&lt;&gt;"")*(R321&lt;&gt;""))),0)</f>
        <v/>
      </c>
      <c r="W321" s="37">
        <f>IFERROR(SUMPRODUCT(((E321="N")*(D321&lt;&gt;"")*(F321&lt;&gt;""))+((I321="N")*(H321&lt;&gt;"")*(J321&lt;&gt;""))+((M321="N")*(L321&lt;&gt;"")*(N321&lt;&gt;""))+((Q321="N")*(P321&lt;&gt;"")*(R321&lt;&gt;""))),0)</f>
        <v/>
      </c>
      <c r="X321" s="50">
        <f>IFERROR(U321/4,0)</f>
        <v/>
      </c>
    </row>
    <row r="322" ht="18" customHeight="1">
      <c r="B322" s="46">
        <f>'📥 ข้อมูลนักเรียน'!B25</f>
        <v/>
      </c>
      <c r="C322" s="51">
        <f>'📥 ข้อมูลนักเรียน'!C25</f>
        <v/>
      </c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37">
        <f>IFERROR(SUMPRODUCT(((D322=D300)*(E322="Y")*(F322=F300)*(G322="Y")*(D322&lt;&gt;"")*(F322&lt;&gt;""))+((H322=H300)*(I322="Y")*(J322=J300)*(K322="Y")*(H322&lt;&gt;"")*(J322&lt;&gt;""))+((L322=L300)*(M322="Y")*(N322=N300)*(O322="Y")*(L322&lt;&gt;"")*(N322&lt;&gt;""))+((P322=P300)*(Q322="Y")*(R322=R300)*(S322="Y")*(P322&lt;&gt;"")*(R322&lt;&gt;""))),0)</f>
        <v/>
      </c>
      <c r="U322" s="49">
        <f>IFERROR(SUMPRODUCT(((D322&lt;&gt;D300)*(E322="Y")*(F322&lt;&gt;F300)*(G322="Y")*(D322&lt;&gt;"")*(F322&lt;&gt;""))+((H322&lt;&gt;H300)*(I322="Y")*(J322&lt;&gt;J300)*(K322="Y")*(H322&lt;&gt;"")*(J322&lt;&gt;""))+((L322&lt;&gt;L300)*(M322="Y")*(N322&lt;&gt;N300)*(O322="Y")*(L322&lt;&gt;"")*(N322&lt;&gt;""))+((P322&lt;&gt;P300)*(Q322="Y")*(R322&lt;&gt;R300)*(S322="Y")*(P322&lt;&gt;"")*(R322&lt;&gt;""))),0)</f>
        <v/>
      </c>
      <c r="V322" s="37">
        <f>IFERROR(SUMPRODUCT(((D322=D300)*(E322="Y")*(F322&lt;&gt;F300)*(G322="Y")*(D322&lt;&gt;"")*(F322&lt;&gt;""))+((H322=H300)*(I322="Y")*(J322&lt;&gt;J300)*(K322="Y")*(H322&lt;&gt;"")*(J322&lt;&gt;""))+((L322=L300)*(M322="Y")*(N322&lt;&gt;N300)*(O322="Y")*(L322&lt;&gt;"")*(N322&lt;&gt;""))+((P322=P300)*(Q322="Y")*(R322&lt;&gt;R300)*(S322="Y")*(P322&lt;&gt;"")*(R322&lt;&gt;""))),0)</f>
        <v/>
      </c>
      <c r="W322" s="37">
        <f>IFERROR(SUMPRODUCT(((E322="N")*(D322&lt;&gt;"")*(F322&lt;&gt;""))+((I322="N")*(H322&lt;&gt;"")*(J322&lt;&gt;""))+((M322="N")*(L322&lt;&gt;"")*(N322&lt;&gt;""))+((Q322="N")*(P322&lt;&gt;"")*(R322&lt;&gt;""))),0)</f>
        <v/>
      </c>
      <c r="X322" s="50">
        <f>IFERROR(U322/4,0)</f>
        <v/>
      </c>
    </row>
    <row r="323" ht="18" customHeight="1">
      <c r="B323" s="46">
        <f>'📥 ข้อมูลนักเรียน'!B26</f>
        <v/>
      </c>
      <c r="C323" s="47">
        <f>'📥 ข้อมูลนักเรียน'!C26</f>
        <v/>
      </c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37">
        <f>IFERROR(SUMPRODUCT(((D323=D300)*(E323="Y")*(F323=F300)*(G323="Y")*(D323&lt;&gt;"")*(F323&lt;&gt;""))+((H323=H300)*(I323="Y")*(J323=J300)*(K323="Y")*(H323&lt;&gt;"")*(J323&lt;&gt;""))+((L323=L300)*(M323="Y")*(N323=N300)*(O323="Y")*(L323&lt;&gt;"")*(N323&lt;&gt;""))+((P323=P300)*(Q323="Y")*(R323=R300)*(S323="Y")*(P323&lt;&gt;"")*(R323&lt;&gt;""))),0)</f>
        <v/>
      </c>
      <c r="U323" s="49">
        <f>IFERROR(SUMPRODUCT(((D323&lt;&gt;D300)*(E323="Y")*(F323&lt;&gt;F300)*(G323="Y")*(D323&lt;&gt;"")*(F323&lt;&gt;""))+((H323&lt;&gt;H300)*(I323="Y")*(J323&lt;&gt;J300)*(K323="Y")*(H323&lt;&gt;"")*(J323&lt;&gt;""))+((L323&lt;&gt;L300)*(M323="Y")*(N323&lt;&gt;N300)*(O323="Y")*(L323&lt;&gt;"")*(N323&lt;&gt;""))+((P323&lt;&gt;P300)*(Q323="Y")*(R323&lt;&gt;R300)*(S323="Y")*(P323&lt;&gt;"")*(R323&lt;&gt;""))),0)</f>
        <v/>
      </c>
      <c r="V323" s="37">
        <f>IFERROR(SUMPRODUCT(((D323=D300)*(E323="Y")*(F323&lt;&gt;F300)*(G323="Y")*(D323&lt;&gt;"")*(F323&lt;&gt;""))+((H323=H300)*(I323="Y")*(J323&lt;&gt;J300)*(K323="Y")*(H323&lt;&gt;"")*(J323&lt;&gt;""))+((L323=L300)*(M323="Y")*(N323&lt;&gt;N300)*(O323="Y")*(L323&lt;&gt;"")*(N323&lt;&gt;""))+((P323=P300)*(Q323="Y")*(R323&lt;&gt;R300)*(S323="Y")*(P323&lt;&gt;"")*(R323&lt;&gt;""))),0)</f>
        <v/>
      </c>
      <c r="W323" s="37">
        <f>IFERROR(SUMPRODUCT(((E323="N")*(D323&lt;&gt;"")*(F323&lt;&gt;""))+((I323="N")*(H323&lt;&gt;"")*(J323&lt;&gt;""))+((M323="N")*(L323&lt;&gt;"")*(N323&lt;&gt;""))+((Q323="N")*(P323&lt;&gt;"")*(R323&lt;&gt;""))),0)</f>
        <v/>
      </c>
      <c r="X323" s="50">
        <f>IFERROR(U323/4,0)</f>
        <v/>
      </c>
    </row>
    <row r="324" ht="18" customHeight="1">
      <c r="B324" s="46">
        <f>'📥 ข้อมูลนักเรียน'!B27</f>
        <v/>
      </c>
      <c r="C324" s="51">
        <f>'📥 ข้อมูลนักเรียน'!C27</f>
        <v/>
      </c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37">
        <f>IFERROR(SUMPRODUCT(((D324=D300)*(E324="Y")*(F324=F300)*(G324="Y")*(D324&lt;&gt;"")*(F324&lt;&gt;""))+((H324=H300)*(I324="Y")*(J324=J300)*(K324="Y")*(H324&lt;&gt;"")*(J324&lt;&gt;""))+((L324=L300)*(M324="Y")*(N324=N300)*(O324="Y")*(L324&lt;&gt;"")*(N324&lt;&gt;""))+((P324=P300)*(Q324="Y")*(R324=R300)*(S324="Y")*(P324&lt;&gt;"")*(R324&lt;&gt;""))),0)</f>
        <v/>
      </c>
      <c r="U324" s="49">
        <f>IFERROR(SUMPRODUCT(((D324&lt;&gt;D300)*(E324="Y")*(F324&lt;&gt;F300)*(G324="Y")*(D324&lt;&gt;"")*(F324&lt;&gt;""))+((H324&lt;&gt;H300)*(I324="Y")*(J324&lt;&gt;J300)*(K324="Y")*(H324&lt;&gt;"")*(J324&lt;&gt;""))+((L324&lt;&gt;L300)*(M324="Y")*(N324&lt;&gt;N300)*(O324="Y")*(L324&lt;&gt;"")*(N324&lt;&gt;""))+((P324&lt;&gt;P300)*(Q324="Y")*(R324&lt;&gt;R300)*(S324="Y")*(P324&lt;&gt;"")*(R324&lt;&gt;""))),0)</f>
        <v/>
      </c>
      <c r="V324" s="37">
        <f>IFERROR(SUMPRODUCT(((D324=D300)*(E324="Y")*(F324&lt;&gt;F300)*(G324="Y")*(D324&lt;&gt;"")*(F324&lt;&gt;""))+((H324=H300)*(I324="Y")*(J324&lt;&gt;J300)*(K324="Y")*(H324&lt;&gt;"")*(J324&lt;&gt;""))+((L324=L300)*(M324="Y")*(N324&lt;&gt;N300)*(O324="Y")*(L324&lt;&gt;"")*(N324&lt;&gt;""))+((P324=P300)*(Q324="Y")*(R324&lt;&gt;R300)*(S324="Y")*(P324&lt;&gt;"")*(R324&lt;&gt;""))),0)</f>
        <v/>
      </c>
      <c r="W324" s="37">
        <f>IFERROR(SUMPRODUCT(((E324="N")*(D324&lt;&gt;"")*(F324&lt;&gt;""))+((I324="N")*(H324&lt;&gt;"")*(J324&lt;&gt;""))+((M324="N")*(L324&lt;&gt;"")*(N324&lt;&gt;""))+((Q324="N")*(P324&lt;&gt;"")*(R324&lt;&gt;""))),0)</f>
        <v/>
      </c>
      <c r="X324" s="50">
        <f>IFERROR(U324/4,0)</f>
        <v/>
      </c>
    </row>
    <row r="325" ht="18" customHeight="1">
      <c r="B325" s="46">
        <f>'📥 ข้อมูลนักเรียน'!B28</f>
        <v/>
      </c>
      <c r="C325" s="47">
        <f>'📥 ข้อมูลนักเรียน'!C28</f>
        <v/>
      </c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37">
        <f>IFERROR(SUMPRODUCT(((D325=D300)*(E325="Y")*(F325=F300)*(G325="Y")*(D325&lt;&gt;"")*(F325&lt;&gt;""))+((H325=H300)*(I325="Y")*(J325=J300)*(K325="Y")*(H325&lt;&gt;"")*(J325&lt;&gt;""))+((L325=L300)*(M325="Y")*(N325=N300)*(O325="Y")*(L325&lt;&gt;"")*(N325&lt;&gt;""))+((P325=P300)*(Q325="Y")*(R325=R300)*(S325="Y")*(P325&lt;&gt;"")*(R325&lt;&gt;""))),0)</f>
        <v/>
      </c>
      <c r="U325" s="49">
        <f>IFERROR(SUMPRODUCT(((D325&lt;&gt;D300)*(E325="Y")*(F325&lt;&gt;F300)*(G325="Y")*(D325&lt;&gt;"")*(F325&lt;&gt;""))+((H325&lt;&gt;H300)*(I325="Y")*(J325&lt;&gt;J300)*(K325="Y")*(H325&lt;&gt;"")*(J325&lt;&gt;""))+((L325&lt;&gt;L300)*(M325="Y")*(N325&lt;&gt;N300)*(O325="Y")*(L325&lt;&gt;"")*(N325&lt;&gt;""))+((P325&lt;&gt;P300)*(Q325="Y")*(R325&lt;&gt;R300)*(S325="Y")*(P325&lt;&gt;"")*(R325&lt;&gt;""))),0)</f>
        <v/>
      </c>
      <c r="V325" s="37">
        <f>IFERROR(SUMPRODUCT(((D325=D300)*(E325="Y")*(F325&lt;&gt;F300)*(G325="Y")*(D325&lt;&gt;"")*(F325&lt;&gt;""))+((H325=H300)*(I325="Y")*(J325&lt;&gt;J300)*(K325="Y")*(H325&lt;&gt;"")*(J325&lt;&gt;""))+((L325=L300)*(M325="Y")*(N325&lt;&gt;N300)*(O325="Y")*(L325&lt;&gt;"")*(N325&lt;&gt;""))+((P325=P300)*(Q325="Y")*(R325&lt;&gt;R300)*(S325="Y")*(P325&lt;&gt;"")*(R325&lt;&gt;""))),0)</f>
        <v/>
      </c>
      <c r="W325" s="37">
        <f>IFERROR(SUMPRODUCT(((E325="N")*(D325&lt;&gt;"")*(F325&lt;&gt;""))+((I325="N")*(H325&lt;&gt;"")*(J325&lt;&gt;""))+((M325="N")*(L325&lt;&gt;"")*(N325&lt;&gt;""))+((Q325="N")*(P325&lt;&gt;"")*(R325&lt;&gt;""))),0)</f>
        <v/>
      </c>
      <c r="X325" s="50">
        <f>IFERROR(U325/4,0)</f>
        <v/>
      </c>
    </row>
    <row r="326" ht="18" customHeight="1">
      <c r="B326" s="46">
        <f>'📥 ข้อมูลนักเรียน'!B29</f>
        <v/>
      </c>
      <c r="C326" s="51">
        <f>'📥 ข้อมูลนักเรียน'!C29</f>
        <v/>
      </c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37">
        <f>IFERROR(SUMPRODUCT(((D326=D300)*(E326="Y")*(F326=F300)*(G326="Y")*(D326&lt;&gt;"")*(F326&lt;&gt;""))+((H326=H300)*(I326="Y")*(J326=J300)*(K326="Y")*(H326&lt;&gt;"")*(J326&lt;&gt;""))+((L326=L300)*(M326="Y")*(N326=N300)*(O326="Y")*(L326&lt;&gt;"")*(N326&lt;&gt;""))+((P326=P300)*(Q326="Y")*(R326=R300)*(S326="Y")*(P326&lt;&gt;"")*(R326&lt;&gt;""))),0)</f>
        <v/>
      </c>
      <c r="U326" s="49">
        <f>IFERROR(SUMPRODUCT(((D326&lt;&gt;D300)*(E326="Y")*(F326&lt;&gt;F300)*(G326="Y")*(D326&lt;&gt;"")*(F326&lt;&gt;""))+((H326&lt;&gt;H300)*(I326="Y")*(J326&lt;&gt;J300)*(K326="Y")*(H326&lt;&gt;"")*(J326&lt;&gt;""))+((L326&lt;&gt;L300)*(M326="Y")*(N326&lt;&gt;N300)*(O326="Y")*(L326&lt;&gt;"")*(N326&lt;&gt;""))+((P326&lt;&gt;P300)*(Q326="Y")*(R326&lt;&gt;R300)*(S326="Y")*(P326&lt;&gt;"")*(R326&lt;&gt;""))),0)</f>
        <v/>
      </c>
      <c r="V326" s="37">
        <f>IFERROR(SUMPRODUCT(((D326=D300)*(E326="Y")*(F326&lt;&gt;F300)*(G326="Y")*(D326&lt;&gt;"")*(F326&lt;&gt;""))+((H326=H300)*(I326="Y")*(J326&lt;&gt;J300)*(K326="Y")*(H326&lt;&gt;"")*(J326&lt;&gt;""))+((L326=L300)*(M326="Y")*(N326&lt;&gt;N300)*(O326="Y")*(L326&lt;&gt;"")*(N326&lt;&gt;""))+((P326=P300)*(Q326="Y")*(R326&lt;&gt;R300)*(S326="Y")*(P326&lt;&gt;"")*(R326&lt;&gt;""))),0)</f>
        <v/>
      </c>
      <c r="W326" s="37">
        <f>IFERROR(SUMPRODUCT(((E326="N")*(D326&lt;&gt;"")*(F326&lt;&gt;""))+((I326="N")*(H326&lt;&gt;"")*(J326&lt;&gt;""))+((M326="N")*(L326&lt;&gt;"")*(N326&lt;&gt;""))+((Q326="N")*(P326&lt;&gt;"")*(R326&lt;&gt;""))),0)</f>
        <v/>
      </c>
      <c r="X326" s="50">
        <f>IFERROR(U326/4,0)</f>
        <v/>
      </c>
    </row>
    <row r="327" ht="18" customHeight="1">
      <c r="B327" s="46">
        <f>'📥 ข้อมูลนักเรียน'!B30</f>
        <v/>
      </c>
      <c r="C327" s="47">
        <f>'📥 ข้อมูลนักเรียน'!C30</f>
        <v/>
      </c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37">
        <f>IFERROR(SUMPRODUCT(((D327=D300)*(E327="Y")*(F327=F300)*(G327="Y")*(D327&lt;&gt;"")*(F327&lt;&gt;""))+((H327=H300)*(I327="Y")*(J327=J300)*(K327="Y")*(H327&lt;&gt;"")*(J327&lt;&gt;""))+((L327=L300)*(M327="Y")*(N327=N300)*(O327="Y")*(L327&lt;&gt;"")*(N327&lt;&gt;""))+((P327=P300)*(Q327="Y")*(R327=R300)*(S327="Y")*(P327&lt;&gt;"")*(R327&lt;&gt;""))),0)</f>
        <v/>
      </c>
      <c r="U327" s="49">
        <f>IFERROR(SUMPRODUCT(((D327&lt;&gt;D300)*(E327="Y")*(F327&lt;&gt;F300)*(G327="Y")*(D327&lt;&gt;"")*(F327&lt;&gt;""))+((H327&lt;&gt;H300)*(I327="Y")*(J327&lt;&gt;J300)*(K327="Y")*(H327&lt;&gt;"")*(J327&lt;&gt;""))+((L327&lt;&gt;L300)*(M327="Y")*(N327&lt;&gt;N300)*(O327="Y")*(L327&lt;&gt;"")*(N327&lt;&gt;""))+((P327&lt;&gt;P300)*(Q327="Y")*(R327&lt;&gt;R300)*(S327="Y")*(P327&lt;&gt;"")*(R327&lt;&gt;""))),0)</f>
        <v/>
      </c>
      <c r="V327" s="37">
        <f>IFERROR(SUMPRODUCT(((D327=D300)*(E327="Y")*(F327&lt;&gt;F300)*(G327="Y")*(D327&lt;&gt;"")*(F327&lt;&gt;""))+((H327=H300)*(I327="Y")*(J327&lt;&gt;J300)*(K327="Y")*(H327&lt;&gt;"")*(J327&lt;&gt;""))+((L327=L300)*(M327="Y")*(N327&lt;&gt;N300)*(O327="Y")*(L327&lt;&gt;"")*(N327&lt;&gt;""))+((P327=P300)*(Q327="Y")*(R327&lt;&gt;R300)*(S327="Y")*(P327&lt;&gt;"")*(R327&lt;&gt;""))),0)</f>
        <v/>
      </c>
      <c r="W327" s="37">
        <f>IFERROR(SUMPRODUCT(((E327="N")*(D327&lt;&gt;"")*(F327&lt;&gt;""))+((I327="N")*(H327&lt;&gt;"")*(J327&lt;&gt;""))+((M327="N")*(L327&lt;&gt;"")*(N327&lt;&gt;""))+((Q327="N")*(P327&lt;&gt;"")*(R327&lt;&gt;""))),0)</f>
        <v/>
      </c>
      <c r="X327" s="50">
        <f>IFERROR(U327/4,0)</f>
        <v/>
      </c>
    </row>
    <row r="328" ht="18" customHeight="1">
      <c r="B328" s="46">
        <f>'📥 ข้อมูลนักเรียน'!B31</f>
        <v/>
      </c>
      <c r="C328" s="51">
        <f>'📥 ข้อมูลนักเรียน'!C31</f>
        <v/>
      </c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37">
        <f>IFERROR(SUMPRODUCT(((D328=D300)*(E328="Y")*(F328=F300)*(G328="Y")*(D328&lt;&gt;"")*(F328&lt;&gt;""))+((H328=H300)*(I328="Y")*(J328=J300)*(K328="Y")*(H328&lt;&gt;"")*(J328&lt;&gt;""))+((L328=L300)*(M328="Y")*(N328=N300)*(O328="Y")*(L328&lt;&gt;"")*(N328&lt;&gt;""))+((P328=P300)*(Q328="Y")*(R328=R300)*(S328="Y")*(P328&lt;&gt;"")*(R328&lt;&gt;""))),0)</f>
        <v/>
      </c>
      <c r="U328" s="49">
        <f>IFERROR(SUMPRODUCT(((D328&lt;&gt;D300)*(E328="Y")*(F328&lt;&gt;F300)*(G328="Y")*(D328&lt;&gt;"")*(F328&lt;&gt;""))+((H328&lt;&gt;H300)*(I328="Y")*(J328&lt;&gt;J300)*(K328="Y")*(H328&lt;&gt;"")*(J328&lt;&gt;""))+((L328&lt;&gt;L300)*(M328="Y")*(N328&lt;&gt;N300)*(O328="Y")*(L328&lt;&gt;"")*(N328&lt;&gt;""))+((P328&lt;&gt;P300)*(Q328="Y")*(R328&lt;&gt;R300)*(S328="Y")*(P328&lt;&gt;"")*(R328&lt;&gt;""))),0)</f>
        <v/>
      </c>
      <c r="V328" s="37">
        <f>IFERROR(SUMPRODUCT(((D328=D300)*(E328="Y")*(F328&lt;&gt;F300)*(G328="Y")*(D328&lt;&gt;"")*(F328&lt;&gt;""))+((H328=H300)*(I328="Y")*(J328&lt;&gt;J300)*(K328="Y")*(H328&lt;&gt;"")*(J328&lt;&gt;""))+((L328=L300)*(M328="Y")*(N328&lt;&gt;N300)*(O328="Y")*(L328&lt;&gt;"")*(N328&lt;&gt;""))+((P328=P300)*(Q328="Y")*(R328&lt;&gt;R300)*(S328="Y")*(P328&lt;&gt;"")*(R328&lt;&gt;""))),0)</f>
        <v/>
      </c>
      <c r="W328" s="37">
        <f>IFERROR(SUMPRODUCT(((E328="N")*(D328&lt;&gt;"")*(F328&lt;&gt;""))+((I328="N")*(H328&lt;&gt;"")*(J328&lt;&gt;""))+((M328="N")*(L328&lt;&gt;"")*(N328&lt;&gt;""))+((Q328="N")*(P328&lt;&gt;"")*(R328&lt;&gt;""))),0)</f>
        <v/>
      </c>
      <c r="X328" s="50">
        <f>IFERROR(U328/4,0)</f>
        <v/>
      </c>
    </row>
    <row r="329" ht="18" customHeight="1">
      <c r="B329" s="46">
        <f>'📥 ข้อมูลนักเรียน'!B32</f>
        <v/>
      </c>
      <c r="C329" s="47">
        <f>'📥 ข้อมูลนักเรียน'!C32</f>
        <v/>
      </c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37">
        <f>IFERROR(SUMPRODUCT(((D329=D300)*(E329="Y")*(F329=F300)*(G329="Y")*(D329&lt;&gt;"")*(F329&lt;&gt;""))+((H329=H300)*(I329="Y")*(J329=J300)*(K329="Y")*(H329&lt;&gt;"")*(J329&lt;&gt;""))+((L329=L300)*(M329="Y")*(N329=N300)*(O329="Y")*(L329&lt;&gt;"")*(N329&lt;&gt;""))+((P329=P300)*(Q329="Y")*(R329=R300)*(S329="Y")*(P329&lt;&gt;"")*(R329&lt;&gt;""))),0)</f>
        <v/>
      </c>
      <c r="U329" s="49">
        <f>IFERROR(SUMPRODUCT(((D329&lt;&gt;D300)*(E329="Y")*(F329&lt;&gt;F300)*(G329="Y")*(D329&lt;&gt;"")*(F329&lt;&gt;""))+((H329&lt;&gt;H300)*(I329="Y")*(J329&lt;&gt;J300)*(K329="Y")*(H329&lt;&gt;"")*(J329&lt;&gt;""))+((L329&lt;&gt;L300)*(M329="Y")*(N329&lt;&gt;N300)*(O329="Y")*(L329&lt;&gt;"")*(N329&lt;&gt;""))+((P329&lt;&gt;P300)*(Q329="Y")*(R329&lt;&gt;R300)*(S329="Y")*(P329&lt;&gt;"")*(R329&lt;&gt;""))),0)</f>
        <v/>
      </c>
      <c r="V329" s="37">
        <f>IFERROR(SUMPRODUCT(((D329=D300)*(E329="Y")*(F329&lt;&gt;F300)*(G329="Y")*(D329&lt;&gt;"")*(F329&lt;&gt;""))+((H329=H300)*(I329="Y")*(J329&lt;&gt;J300)*(K329="Y")*(H329&lt;&gt;"")*(J329&lt;&gt;""))+((L329=L300)*(M329="Y")*(N329&lt;&gt;N300)*(O329="Y")*(L329&lt;&gt;"")*(N329&lt;&gt;""))+((P329=P300)*(Q329="Y")*(R329&lt;&gt;R300)*(S329="Y")*(P329&lt;&gt;"")*(R329&lt;&gt;""))),0)</f>
        <v/>
      </c>
      <c r="W329" s="37">
        <f>IFERROR(SUMPRODUCT(((E329="N")*(D329&lt;&gt;"")*(F329&lt;&gt;""))+((I329="N")*(H329&lt;&gt;"")*(J329&lt;&gt;""))+((M329="N")*(L329&lt;&gt;"")*(N329&lt;&gt;""))+((Q329="N")*(P329&lt;&gt;"")*(R329&lt;&gt;""))),0)</f>
        <v/>
      </c>
      <c r="X329" s="50">
        <f>IFERROR(U329/4,0)</f>
        <v/>
      </c>
    </row>
    <row r="330" ht="18" customHeight="1">
      <c r="B330" s="46">
        <f>'📥 ข้อมูลนักเรียน'!B33</f>
        <v/>
      </c>
      <c r="C330" s="51">
        <f>'📥 ข้อมูลนักเรียน'!C33</f>
        <v/>
      </c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37">
        <f>IFERROR(SUMPRODUCT(((D330=D300)*(E330="Y")*(F330=F300)*(G330="Y")*(D330&lt;&gt;"")*(F330&lt;&gt;""))+((H330=H300)*(I330="Y")*(J330=J300)*(K330="Y")*(H330&lt;&gt;"")*(J330&lt;&gt;""))+((L330=L300)*(M330="Y")*(N330=N300)*(O330="Y")*(L330&lt;&gt;"")*(N330&lt;&gt;""))+((P330=P300)*(Q330="Y")*(R330=R300)*(S330="Y")*(P330&lt;&gt;"")*(R330&lt;&gt;""))),0)</f>
        <v/>
      </c>
      <c r="U330" s="49">
        <f>IFERROR(SUMPRODUCT(((D330&lt;&gt;D300)*(E330="Y")*(F330&lt;&gt;F300)*(G330="Y")*(D330&lt;&gt;"")*(F330&lt;&gt;""))+((H330&lt;&gt;H300)*(I330="Y")*(J330&lt;&gt;J300)*(K330="Y")*(H330&lt;&gt;"")*(J330&lt;&gt;""))+((L330&lt;&gt;L300)*(M330="Y")*(N330&lt;&gt;N300)*(O330="Y")*(L330&lt;&gt;"")*(N330&lt;&gt;""))+((P330&lt;&gt;P300)*(Q330="Y")*(R330&lt;&gt;R300)*(S330="Y")*(P330&lt;&gt;"")*(R330&lt;&gt;""))),0)</f>
        <v/>
      </c>
      <c r="V330" s="37">
        <f>IFERROR(SUMPRODUCT(((D330=D300)*(E330="Y")*(F330&lt;&gt;F300)*(G330="Y")*(D330&lt;&gt;"")*(F330&lt;&gt;""))+((H330=H300)*(I330="Y")*(J330&lt;&gt;J300)*(K330="Y")*(H330&lt;&gt;"")*(J330&lt;&gt;""))+((L330=L300)*(M330="Y")*(N330&lt;&gt;N300)*(O330="Y")*(L330&lt;&gt;"")*(N330&lt;&gt;""))+((P330=P300)*(Q330="Y")*(R330&lt;&gt;R300)*(S330="Y")*(P330&lt;&gt;"")*(R330&lt;&gt;""))),0)</f>
        <v/>
      </c>
      <c r="W330" s="37">
        <f>IFERROR(SUMPRODUCT(((E330="N")*(D330&lt;&gt;"")*(F330&lt;&gt;""))+((I330="N")*(H330&lt;&gt;"")*(J330&lt;&gt;""))+((M330="N")*(L330&lt;&gt;"")*(N330&lt;&gt;""))+((Q330="N")*(P330&lt;&gt;"")*(R330&lt;&gt;""))),0)</f>
        <v/>
      </c>
      <c r="X330" s="50">
        <f>IFERROR(U330/4,0)</f>
        <v/>
      </c>
    </row>
    <row r="331" ht="18" customHeight="1">
      <c r="B331" s="46">
        <f>'📥 ข้อมูลนักเรียน'!B34</f>
        <v/>
      </c>
      <c r="C331" s="47">
        <f>'📥 ข้อมูลนักเรียน'!C34</f>
        <v/>
      </c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37">
        <f>IFERROR(SUMPRODUCT(((D331=D300)*(E331="Y")*(F331=F300)*(G331="Y")*(D331&lt;&gt;"")*(F331&lt;&gt;""))+((H331=H300)*(I331="Y")*(J331=J300)*(K331="Y")*(H331&lt;&gt;"")*(J331&lt;&gt;""))+((L331=L300)*(M331="Y")*(N331=N300)*(O331="Y")*(L331&lt;&gt;"")*(N331&lt;&gt;""))+((P331=P300)*(Q331="Y")*(R331=R300)*(S331="Y")*(P331&lt;&gt;"")*(R331&lt;&gt;""))),0)</f>
        <v/>
      </c>
      <c r="U331" s="49">
        <f>IFERROR(SUMPRODUCT(((D331&lt;&gt;D300)*(E331="Y")*(F331&lt;&gt;F300)*(G331="Y")*(D331&lt;&gt;"")*(F331&lt;&gt;""))+((H331&lt;&gt;H300)*(I331="Y")*(J331&lt;&gt;J300)*(K331="Y")*(H331&lt;&gt;"")*(J331&lt;&gt;""))+((L331&lt;&gt;L300)*(M331="Y")*(N331&lt;&gt;N300)*(O331="Y")*(L331&lt;&gt;"")*(N331&lt;&gt;""))+((P331&lt;&gt;P300)*(Q331="Y")*(R331&lt;&gt;R300)*(S331="Y")*(P331&lt;&gt;"")*(R331&lt;&gt;""))),0)</f>
        <v/>
      </c>
      <c r="V331" s="37">
        <f>IFERROR(SUMPRODUCT(((D331=D300)*(E331="Y")*(F331&lt;&gt;F300)*(G331="Y")*(D331&lt;&gt;"")*(F331&lt;&gt;""))+((H331=H300)*(I331="Y")*(J331&lt;&gt;J300)*(K331="Y")*(H331&lt;&gt;"")*(J331&lt;&gt;""))+((L331=L300)*(M331="Y")*(N331&lt;&gt;N300)*(O331="Y")*(L331&lt;&gt;"")*(N331&lt;&gt;""))+((P331=P300)*(Q331="Y")*(R331&lt;&gt;R300)*(S331="Y")*(P331&lt;&gt;"")*(R331&lt;&gt;""))),0)</f>
        <v/>
      </c>
      <c r="W331" s="37">
        <f>IFERROR(SUMPRODUCT(((E331="N")*(D331&lt;&gt;"")*(F331&lt;&gt;""))+((I331="N")*(H331&lt;&gt;"")*(J331&lt;&gt;""))+((M331="N")*(L331&lt;&gt;"")*(N331&lt;&gt;""))+((Q331="N")*(P331&lt;&gt;"")*(R331&lt;&gt;""))),0)</f>
        <v/>
      </c>
      <c r="X331" s="50">
        <f>IFERROR(U331/4,0)</f>
        <v/>
      </c>
    </row>
    <row r="332" ht="18" customHeight="1">
      <c r="B332" s="46">
        <f>'📥 ข้อมูลนักเรียน'!B35</f>
        <v/>
      </c>
      <c r="C332" s="51">
        <f>'📥 ข้อมูลนักเรียน'!C35</f>
        <v/>
      </c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37">
        <f>IFERROR(SUMPRODUCT(((D332=D300)*(E332="Y")*(F332=F300)*(G332="Y")*(D332&lt;&gt;"")*(F332&lt;&gt;""))+((H332=H300)*(I332="Y")*(J332=J300)*(K332="Y")*(H332&lt;&gt;"")*(J332&lt;&gt;""))+((L332=L300)*(M332="Y")*(N332=N300)*(O332="Y")*(L332&lt;&gt;"")*(N332&lt;&gt;""))+((P332=P300)*(Q332="Y")*(R332=R300)*(S332="Y")*(P332&lt;&gt;"")*(R332&lt;&gt;""))),0)</f>
        <v/>
      </c>
      <c r="U332" s="49">
        <f>IFERROR(SUMPRODUCT(((D332&lt;&gt;D300)*(E332="Y")*(F332&lt;&gt;F300)*(G332="Y")*(D332&lt;&gt;"")*(F332&lt;&gt;""))+((H332&lt;&gt;H300)*(I332="Y")*(J332&lt;&gt;J300)*(K332="Y")*(H332&lt;&gt;"")*(J332&lt;&gt;""))+((L332&lt;&gt;L300)*(M332="Y")*(N332&lt;&gt;N300)*(O332="Y")*(L332&lt;&gt;"")*(N332&lt;&gt;""))+((P332&lt;&gt;P300)*(Q332="Y")*(R332&lt;&gt;R300)*(S332="Y")*(P332&lt;&gt;"")*(R332&lt;&gt;""))),0)</f>
        <v/>
      </c>
      <c r="V332" s="37">
        <f>IFERROR(SUMPRODUCT(((D332=D300)*(E332="Y")*(F332&lt;&gt;F300)*(G332="Y")*(D332&lt;&gt;"")*(F332&lt;&gt;""))+((H332=H300)*(I332="Y")*(J332&lt;&gt;J300)*(K332="Y")*(H332&lt;&gt;"")*(J332&lt;&gt;""))+((L332=L300)*(M332="Y")*(N332&lt;&gt;N300)*(O332="Y")*(L332&lt;&gt;"")*(N332&lt;&gt;""))+((P332=P300)*(Q332="Y")*(R332&lt;&gt;R300)*(S332="Y")*(P332&lt;&gt;"")*(R332&lt;&gt;""))),0)</f>
        <v/>
      </c>
      <c r="W332" s="37">
        <f>IFERROR(SUMPRODUCT(((E332="N")*(D332&lt;&gt;"")*(F332&lt;&gt;""))+((I332="N")*(H332&lt;&gt;"")*(J332&lt;&gt;""))+((M332="N")*(L332&lt;&gt;"")*(N332&lt;&gt;""))+((Q332="N")*(P332&lt;&gt;"")*(R332&lt;&gt;""))),0)</f>
        <v/>
      </c>
      <c r="X332" s="50">
        <f>IFERROR(U332/4,0)</f>
        <v/>
      </c>
    </row>
    <row r="333" ht="18" customHeight="1">
      <c r="B333" s="46">
        <f>'📥 ข้อมูลนักเรียน'!B36</f>
        <v/>
      </c>
      <c r="C333" s="47">
        <f>'📥 ข้อมูลนักเรียน'!C36</f>
        <v/>
      </c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37">
        <f>IFERROR(SUMPRODUCT(((D333=D300)*(E333="Y")*(F333=F300)*(G333="Y")*(D333&lt;&gt;"")*(F333&lt;&gt;""))+((H333=H300)*(I333="Y")*(J333=J300)*(K333="Y")*(H333&lt;&gt;"")*(J333&lt;&gt;""))+((L333=L300)*(M333="Y")*(N333=N300)*(O333="Y")*(L333&lt;&gt;"")*(N333&lt;&gt;""))+((P333=P300)*(Q333="Y")*(R333=R300)*(S333="Y")*(P333&lt;&gt;"")*(R333&lt;&gt;""))),0)</f>
        <v/>
      </c>
      <c r="U333" s="49">
        <f>IFERROR(SUMPRODUCT(((D333&lt;&gt;D300)*(E333="Y")*(F333&lt;&gt;F300)*(G333="Y")*(D333&lt;&gt;"")*(F333&lt;&gt;""))+((H333&lt;&gt;H300)*(I333="Y")*(J333&lt;&gt;J300)*(K333="Y")*(H333&lt;&gt;"")*(J333&lt;&gt;""))+((L333&lt;&gt;L300)*(M333="Y")*(N333&lt;&gt;N300)*(O333="Y")*(L333&lt;&gt;"")*(N333&lt;&gt;""))+((P333&lt;&gt;P300)*(Q333="Y")*(R333&lt;&gt;R300)*(S333="Y")*(P333&lt;&gt;"")*(R333&lt;&gt;""))),0)</f>
        <v/>
      </c>
      <c r="V333" s="37">
        <f>IFERROR(SUMPRODUCT(((D333=D300)*(E333="Y")*(F333&lt;&gt;F300)*(G333="Y")*(D333&lt;&gt;"")*(F333&lt;&gt;""))+((H333=H300)*(I333="Y")*(J333&lt;&gt;J300)*(K333="Y")*(H333&lt;&gt;"")*(J333&lt;&gt;""))+((L333=L300)*(M333="Y")*(N333&lt;&gt;N300)*(O333="Y")*(L333&lt;&gt;"")*(N333&lt;&gt;""))+((P333=P300)*(Q333="Y")*(R333&lt;&gt;R300)*(S333="Y")*(P333&lt;&gt;"")*(R333&lt;&gt;""))),0)</f>
        <v/>
      </c>
      <c r="W333" s="37">
        <f>IFERROR(SUMPRODUCT(((E333="N")*(D333&lt;&gt;"")*(F333&lt;&gt;""))+((I333="N")*(H333&lt;&gt;"")*(J333&lt;&gt;""))+((M333="N")*(L333&lt;&gt;"")*(N333&lt;&gt;""))+((Q333="N")*(P333&lt;&gt;"")*(R333&lt;&gt;""))),0)</f>
        <v/>
      </c>
      <c r="X333" s="50">
        <f>IFERROR(U333/4,0)</f>
        <v/>
      </c>
    </row>
    <row r="334" ht="18" customHeight="1">
      <c r="B334" s="46">
        <f>'📥 ข้อมูลนักเรียน'!B37</f>
        <v/>
      </c>
      <c r="C334" s="51">
        <f>'📥 ข้อมูลนักเรียน'!C37</f>
        <v/>
      </c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37">
        <f>IFERROR(SUMPRODUCT(((D334=D300)*(E334="Y")*(F334=F300)*(G334="Y")*(D334&lt;&gt;"")*(F334&lt;&gt;""))+((H334=H300)*(I334="Y")*(J334=J300)*(K334="Y")*(H334&lt;&gt;"")*(J334&lt;&gt;""))+((L334=L300)*(M334="Y")*(N334=N300)*(O334="Y")*(L334&lt;&gt;"")*(N334&lt;&gt;""))+((P334=P300)*(Q334="Y")*(R334=R300)*(S334="Y")*(P334&lt;&gt;"")*(R334&lt;&gt;""))),0)</f>
        <v/>
      </c>
      <c r="U334" s="49">
        <f>IFERROR(SUMPRODUCT(((D334&lt;&gt;D300)*(E334="Y")*(F334&lt;&gt;F300)*(G334="Y")*(D334&lt;&gt;"")*(F334&lt;&gt;""))+((H334&lt;&gt;H300)*(I334="Y")*(J334&lt;&gt;J300)*(K334="Y")*(H334&lt;&gt;"")*(J334&lt;&gt;""))+((L334&lt;&gt;L300)*(M334="Y")*(N334&lt;&gt;N300)*(O334="Y")*(L334&lt;&gt;"")*(N334&lt;&gt;""))+((P334&lt;&gt;P300)*(Q334="Y")*(R334&lt;&gt;R300)*(S334="Y")*(P334&lt;&gt;"")*(R334&lt;&gt;""))),0)</f>
        <v/>
      </c>
      <c r="V334" s="37">
        <f>IFERROR(SUMPRODUCT(((D334=D300)*(E334="Y")*(F334&lt;&gt;F300)*(G334="Y")*(D334&lt;&gt;"")*(F334&lt;&gt;""))+((H334=H300)*(I334="Y")*(J334&lt;&gt;J300)*(K334="Y")*(H334&lt;&gt;"")*(J334&lt;&gt;""))+((L334=L300)*(M334="Y")*(N334&lt;&gt;N300)*(O334="Y")*(L334&lt;&gt;"")*(N334&lt;&gt;""))+((P334=P300)*(Q334="Y")*(R334&lt;&gt;R300)*(S334="Y")*(P334&lt;&gt;"")*(R334&lt;&gt;""))),0)</f>
        <v/>
      </c>
      <c r="W334" s="37">
        <f>IFERROR(SUMPRODUCT(((E334="N")*(D334&lt;&gt;"")*(F334&lt;&gt;""))+((I334="N")*(H334&lt;&gt;"")*(J334&lt;&gt;""))+((M334="N")*(L334&lt;&gt;"")*(N334&lt;&gt;""))+((Q334="N")*(P334&lt;&gt;"")*(R334&lt;&gt;""))),0)</f>
        <v/>
      </c>
      <c r="X334" s="50">
        <f>IFERROR(U334/4,0)</f>
        <v/>
      </c>
    </row>
    <row r="335" ht="18" customHeight="1">
      <c r="B335" s="46">
        <f>'📥 ข้อมูลนักเรียน'!B38</f>
        <v/>
      </c>
      <c r="C335" s="47">
        <f>'📥 ข้อมูลนักเรียน'!C38</f>
        <v/>
      </c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37">
        <f>IFERROR(SUMPRODUCT(((D335=D300)*(E335="Y")*(F335=F300)*(G335="Y")*(D335&lt;&gt;"")*(F335&lt;&gt;""))+((H335=H300)*(I335="Y")*(J335=J300)*(K335="Y")*(H335&lt;&gt;"")*(J335&lt;&gt;""))+((L335=L300)*(M335="Y")*(N335=N300)*(O335="Y")*(L335&lt;&gt;"")*(N335&lt;&gt;""))+((P335=P300)*(Q335="Y")*(R335=R300)*(S335="Y")*(P335&lt;&gt;"")*(R335&lt;&gt;""))),0)</f>
        <v/>
      </c>
      <c r="U335" s="49">
        <f>IFERROR(SUMPRODUCT(((D335&lt;&gt;D300)*(E335="Y")*(F335&lt;&gt;F300)*(G335="Y")*(D335&lt;&gt;"")*(F335&lt;&gt;""))+((H335&lt;&gt;H300)*(I335="Y")*(J335&lt;&gt;J300)*(K335="Y")*(H335&lt;&gt;"")*(J335&lt;&gt;""))+((L335&lt;&gt;L300)*(M335="Y")*(N335&lt;&gt;N300)*(O335="Y")*(L335&lt;&gt;"")*(N335&lt;&gt;""))+((P335&lt;&gt;P300)*(Q335="Y")*(R335&lt;&gt;R300)*(S335="Y")*(P335&lt;&gt;"")*(R335&lt;&gt;""))),0)</f>
        <v/>
      </c>
      <c r="V335" s="37">
        <f>IFERROR(SUMPRODUCT(((D335=D300)*(E335="Y")*(F335&lt;&gt;F300)*(G335="Y")*(D335&lt;&gt;"")*(F335&lt;&gt;""))+((H335=H300)*(I335="Y")*(J335&lt;&gt;J300)*(K335="Y")*(H335&lt;&gt;"")*(J335&lt;&gt;""))+((L335=L300)*(M335="Y")*(N335&lt;&gt;N300)*(O335="Y")*(L335&lt;&gt;"")*(N335&lt;&gt;""))+((P335=P300)*(Q335="Y")*(R335&lt;&gt;R300)*(S335="Y")*(P335&lt;&gt;"")*(R335&lt;&gt;""))),0)</f>
        <v/>
      </c>
      <c r="W335" s="37">
        <f>IFERROR(SUMPRODUCT(((E335="N")*(D335&lt;&gt;"")*(F335&lt;&gt;""))+((I335="N")*(H335&lt;&gt;"")*(J335&lt;&gt;""))+((M335="N")*(L335&lt;&gt;"")*(N335&lt;&gt;""))+((Q335="N")*(P335&lt;&gt;"")*(R335&lt;&gt;""))),0)</f>
        <v/>
      </c>
      <c r="X335" s="50">
        <f>IFERROR(U335/4,0)</f>
        <v/>
      </c>
    </row>
    <row r="336" ht="24" customHeight="1">
      <c r="B336" s="240" t="inlineStr">
        <is>
          <t>สรุป Pre แผน 5</t>
        </is>
      </c>
      <c r="C336" s="369" t="n"/>
      <c r="T336" s="52">
        <f>IFERROR(AVERAGE(T301:T335)*4,0)</f>
        <v/>
      </c>
      <c r="U336" s="53">
        <f>IFERROR(AVERAGE(U301:U335)*4,0)</f>
        <v/>
      </c>
      <c r="V336" s="54">
        <f>IFERROR(AVERAGE(V301:V335)*4,0)</f>
        <v/>
      </c>
      <c r="W336" s="55">
        <f>IFERROR(AVERAGE(W301:W335)*4,0)</f>
        <v/>
      </c>
      <c r="X336" s="56">
        <f>IFERROR(AVERAGE(X301:X335),0)</f>
        <v/>
      </c>
    </row>
    <row r="337" ht="19.5" customHeight="1">
      <c r="B337" s="241" t="inlineStr">
        <is>
          <t>🟢 POST-test — หลังสอน  (แผน 5 ข้อ 17–20)</t>
        </is>
      </c>
    </row>
    <row r="338" ht="27.75" customHeight="1">
      <c r="B338" s="27" t="inlineStr">
        <is>
          <t>ที่</t>
        </is>
      </c>
      <c r="C338" s="27" t="inlineStr">
        <is>
          <t>ชื่อนักเรียน</t>
        </is>
      </c>
      <c r="D338" s="242" t="inlineStr">
        <is>
          <t>ข้อ 17</t>
        </is>
      </c>
      <c r="E338" s="369" t="n"/>
      <c r="F338" s="369" t="n"/>
      <c r="G338" s="369" t="n"/>
      <c r="H338" s="242" t="inlineStr">
        <is>
          <t>ข้อ 18</t>
        </is>
      </c>
      <c r="I338" s="369" t="n"/>
      <c r="J338" s="369" t="n"/>
      <c r="K338" s="369" t="n"/>
      <c r="L338" s="242" t="inlineStr">
        <is>
          <t>ข้อ 19</t>
        </is>
      </c>
      <c r="M338" s="369" t="n"/>
      <c r="N338" s="369" t="n"/>
      <c r="O338" s="369" t="n"/>
      <c r="P338" s="242" t="inlineStr">
        <is>
          <t>ข้อ 20</t>
        </is>
      </c>
      <c r="Q338" s="369" t="n"/>
      <c r="R338" s="369" t="n"/>
      <c r="S338" s="369" t="n"/>
      <c r="T338" s="57" t="inlineStr">
        <is>
          <t>Sound
✅</t>
        </is>
      </c>
      <c r="U338" s="57" t="inlineStr">
        <is>
          <t>Misc
❌</t>
        </is>
      </c>
      <c r="V338" s="57" t="inlineStr">
        <is>
          <t>Guess
🎲</t>
        </is>
      </c>
      <c r="W338" s="57" t="inlineStr">
        <is>
          <t>NoK
❓</t>
        </is>
      </c>
      <c r="X338" s="57" t="inlineStr">
        <is>
          <t>% Misc
(Auto)</t>
        </is>
      </c>
    </row>
    <row r="339" ht="27.75" customHeight="1">
      <c r="B339" s="58" t="n"/>
      <c r="C339" s="59" t="inlineStr">
        <is>
          <t>← กรอกเฉลย T1 และ T3</t>
        </is>
      </c>
      <c r="D339" s="60" t="inlineStr">
        <is>
          <t>T1
(ก-ง)</t>
        </is>
      </c>
      <c r="E339" s="60" t="inlineStr">
        <is>
          <t>T2
(Y/N)</t>
        </is>
      </c>
      <c r="F339" s="60" t="inlineStr">
        <is>
          <t>T3
(ก-ง)</t>
        </is>
      </c>
      <c r="G339" s="60" t="inlineStr">
        <is>
          <t>T4
(Y/N)</t>
        </is>
      </c>
      <c r="H339" s="60" t="inlineStr">
        <is>
          <t>T1
(ก-ง)</t>
        </is>
      </c>
      <c r="I339" s="60" t="inlineStr">
        <is>
          <t>T2
(Y/N)</t>
        </is>
      </c>
      <c r="J339" s="60" t="inlineStr">
        <is>
          <t>T3
(ก-ง)</t>
        </is>
      </c>
      <c r="K339" s="60" t="inlineStr">
        <is>
          <t>T4
(Y/N)</t>
        </is>
      </c>
      <c r="L339" s="60" t="inlineStr">
        <is>
          <t>T1
(ก-ง)</t>
        </is>
      </c>
      <c r="M339" s="60" t="inlineStr">
        <is>
          <t>T2
(Y/N)</t>
        </is>
      </c>
      <c r="N339" s="60" t="inlineStr">
        <is>
          <t>T3
(ก-ง)</t>
        </is>
      </c>
      <c r="O339" s="60" t="inlineStr">
        <is>
          <t>T4
(Y/N)</t>
        </is>
      </c>
      <c r="P339" s="60" t="inlineStr">
        <is>
          <t>T1
(ก-ง)</t>
        </is>
      </c>
      <c r="Q339" s="60" t="inlineStr">
        <is>
          <t>T2
(Y/N)</t>
        </is>
      </c>
      <c r="R339" s="60" t="inlineStr">
        <is>
          <t>T3
(ก-ง)</t>
        </is>
      </c>
      <c r="S339" s="60" t="inlineStr">
        <is>
          <t>T4
(Y/N)</t>
        </is>
      </c>
      <c r="T339" s="61" t="inlineStr">
        <is>
          <t>—</t>
        </is>
      </c>
      <c r="U339" s="61" t="inlineStr">
        <is>
          <t>—</t>
        </is>
      </c>
      <c r="V339" s="61" t="inlineStr">
        <is>
          <t>—</t>
        </is>
      </c>
      <c r="W339" s="61" t="inlineStr">
        <is>
          <t>—</t>
        </is>
      </c>
      <c r="X339" s="61" t="inlineStr">
        <is>
          <t>—</t>
        </is>
      </c>
    </row>
    <row r="340" ht="18" customHeight="1">
      <c r="B340" s="44" t="inlineStr">
        <is>
          <t>KEY</t>
        </is>
      </c>
      <c r="C340" s="45" t="inlineStr">
        <is>
          <t>← กรอกเฉลยที่ถูกต้อง</t>
        </is>
      </c>
      <c r="D340" s="9" t="n"/>
      <c r="E340" s="21" t="inlineStr">
        <is>
          <t>—</t>
        </is>
      </c>
      <c r="F340" s="9" t="n"/>
      <c r="G340" s="21" t="inlineStr">
        <is>
          <t>—</t>
        </is>
      </c>
      <c r="H340" s="9" t="n"/>
      <c r="I340" s="21" t="inlineStr">
        <is>
          <t>—</t>
        </is>
      </c>
      <c r="J340" s="9" t="n"/>
      <c r="K340" s="21" t="inlineStr">
        <is>
          <t>—</t>
        </is>
      </c>
      <c r="L340" s="9" t="n"/>
      <c r="M340" s="21" t="inlineStr">
        <is>
          <t>—</t>
        </is>
      </c>
      <c r="N340" s="9" t="n"/>
      <c r="O340" s="21" t="inlineStr">
        <is>
          <t>—</t>
        </is>
      </c>
      <c r="P340" s="9" t="n"/>
      <c r="Q340" s="21" t="inlineStr">
        <is>
          <t>—</t>
        </is>
      </c>
      <c r="R340" s="9" t="n"/>
      <c r="S340" s="21" t="inlineStr">
        <is>
          <t>—</t>
        </is>
      </c>
      <c r="T340" s="21" t="inlineStr">
        <is>
          <t>—</t>
        </is>
      </c>
      <c r="U340" s="21" t="inlineStr">
        <is>
          <t>—</t>
        </is>
      </c>
      <c r="V340" s="21" t="inlineStr">
        <is>
          <t>—</t>
        </is>
      </c>
      <c r="W340" s="21" t="inlineStr">
        <is>
          <t>—</t>
        </is>
      </c>
      <c r="X340" s="21" t="inlineStr">
        <is>
          <t>—</t>
        </is>
      </c>
    </row>
    <row r="341" ht="18" customHeight="1">
      <c r="B341" s="46">
        <f>'📥 ข้อมูลนักเรียน'!B4</f>
        <v/>
      </c>
      <c r="C341" s="47">
        <f>'📥 ข้อมูลนักเรียน'!C4</f>
        <v/>
      </c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37">
        <f>IFERROR(SUMPRODUCT(((D341=D340)*(E341="Y")*(F341=F340)*(G341="Y")*(D341&lt;&gt;"")* (F341&lt;&gt;""))+((H341=H340)*(I341="Y")*(J341=J340)*(K341="Y")*(H341&lt;&gt;"")* (J341&lt;&gt;""))+((L341=L340)*(M341="Y")*(N341=N340)*(O341="Y")*(L341&lt;&gt;"")* (N341&lt;&gt;""))+((P341=P340)*(Q341="Y")*(R341=R340)*(S341="Y")*(P341&lt;&gt;"")* (R341&lt;&gt;""))),0)</f>
        <v/>
      </c>
      <c r="U341" s="49">
        <f>IFERROR(SUMPRODUCT(((D341&lt;&gt;D340)*(E341="Y")*(F341&lt;&gt;F340)*(G341="Y")*(D341&lt;&gt;"")* (F341&lt;&gt;""))+((H341&lt;&gt;H340)*(I341="Y")*(J341&lt;&gt;J340)*(K341="Y")*(H341&lt;&gt;"")* (J341&lt;&gt;""))+((L341&lt;&gt;L340)*(M341="Y")*(N341&lt;&gt;N340)*(O341="Y")*(L341&lt;&gt;"")* (N341&lt;&gt;""))+((P341&lt;&gt;P340)*(Q341="Y")*(R341&lt;&gt;R340)*(S341="Y")*(P341&lt;&gt;"")* (R341&lt;&gt;""))),0)</f>
        <v/>
      </c>
      <c r="V341" s="37">
        <f>IFERROR(SUMPRODUCT(((D341=D340)*(E341="Y")*(F341&lt;&gt;F340)*(G341="Y")*(D341&lt;&gt;"")* (F341&lt;&gt;""))+((H341=H340)*(I341="Y")*(J341&lt;&gt;J340)*(K341="Y")*(H341&lt;&gt;"")* (J341&lt;&gt;""))+((L341=L340)*(M341="Y")*(N341&lt;&gt;N340)*(O341="Y")*(L341&lt;&gt;"")* (N341&lt;&gt;""))+((P341=P340)*(Q341="Y")*(R341&lt;&gt;R340)*(S341="Y")*(P341&lt;&gt;"")* (R341&lt;&gt;""))),0)</f>
        <v/>
      </c>
      <c r="W341" s="37">
        <f>IFERROR(SUMPRODUCT(((E341="N")*(D341&lt;&gt;"")* (F341&lt;&gt;""))+((I341="N")*(H341&lt;&gt;"")* (J341&lt;&gt;""))+((M341="N")*(L341&lt;&gt;"")* (N341&lt;&gt;""))+((Q341="N")*(P341&lt;&gt;"")* (R341&lt;&gt;""))),0)</f>
        <v/>
      </c>
      <c r="X341" s="50">
        <f>IFERROR(U341/4,0)</f>
        <v/>
      </c>
    </row>
    <row r="342" ht="18" customHeight="1">
      <c r="B342" s="46">
        <f>'📥 ข้อมูลนักเรียน'!B5</f>
        <v/>
      </c>
      <c r="C342" s="51">
        <f>'📥 ข้อมูลนักเรียน'!C5</f>
        <v/>
      </c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37">
        <f>IFERROR(SUMPRODUCT(((D342=D340)*(E342="Y")*(F342=F340)*(G342="Y")*(D342&lt;&gt;"")* (F342&lt;&gt;""))+((H342=H340)*(I342="Y")*(J342=J340)*(K342="Y")*(H342&lt;&gt;"")* (J342&lt;&gt;""))+((L342=L340)*(M342="Y")*(N342=N340)*(O342="Y")*(L342&lt;&gt;"")* (N342&lt;&gt;""))+((P342=P340)*(Q342="Y")*(R342=R340)*(S342="Y")*(P342&lt;&gt;"")* (R342&lt;&gt;""))),0)</f>
        <v/>
      </c>
      <c r="U342" s="49">
        <f>IFERROR(SUMPRODUCT(((D342&lt;&gt;D340)*(E342="Y")*(F342&lt;&gt;F340)*(G342="Y")*(D342&lt;&gt;"")* (F342&lt;&gt;""))+((H342&lt;&gt;H340)*(I342="Y")*(J342&lt;&gt;J340)*(K342="Y")*(H342&lt;&gt;"")* (J342&lt;&gt;""))+((L342&lt;&gt;L340)*(M342="Y")*(N342&lt;&gt;N340)*(O342="Y")*(L342&lt;&gt;"")* (N342&lt;&gt;""))+((P342&lt;&gt;P340)*(Q342="Y")*(R342&lt;&gt;R340)*(S342="Y")*(P342&lt;&gt;"")* (R342&lt;&gt;""))),0)</f>
        <v/>
      </c>
      <c r="V342" s="37">
        <f>IFERROR(SUMPRODUCT(((D342=D340)*(E342="Y")*(F342&lt;&gt;F340)*(G342="Y")*(D342&lt;&gt;"")* (F342&lt;&gt;""))+((H342=H340)*(I342="Y")*(J342&lt;&gt;J340)*(K342="Y")*(H342&lt;&gt;"")* (J342&lt;&gt;""))+((L342=L340)*(M342="Y")*(N342&lt;&gt;N340)*(O342="Y")*(L342&lt;&gt;"")* (N342&lt;&gt;""))+((P342=P340)*(Q342="Y")*(R342&lt;&gt;R340)*(S342="Y")*(P342&lt;&gt;"")* (R342&lt;&gt;""))),0)</f>
        <v/>
      </c>
      <c r="W342" s="37">
        <f>IFERROR(SUMPRODUCT(((E342="N")*(D342&lt;&gt;"")* (F342&lt;&gt;""))+((I342="N")*(H342&lt;&gt;"")* (J342&lt;&gt;""))+((M342="N")*(L342&lt;&gt;"")* (N342&lt;&gt;""))+((Q342="N")*(P342&lt;&gt;"")* (R342&lt;&gt;""))),0)</f>
        <v/>
      </c>
      <c r="X342" s="50">
        <f>IFERROR(U342/4,0)</f>
        <v/>
      </c>
    </row>
    <row r="343" ht="18" customHeight="1">
      <c r="B343" s="46">
        <f>'📥 ข้อมูลนักเรียน'!B6</f>
        <v/>
      </c>
      <c r="C343" s="47">
        <f>'📥 ข้อมูลนักเรียน'!C6</f>
        <v/>
      </c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37">
        <f>IFERROR(SUMPRODUCT(((D343=D340)*(E343="Y")*(F343=F340)*(G343="Y")*(D343&lt;&gt;"")* (F343&lt;&gt;""))+((H343=H340)*(I343="Y")*(J343=J340)*(K343="Y")*(H343&lt;&gt;"")* (J343&lt;&gt;""))+((L343=L340)*(M343="Y")*(N343=N340)*(O343="Y")*(L343&lt;&gt;"")* (N343&lt;&gt;""))+((P343=P340)*(Q343="Y")*(R343=R340)*(S343="Y")*(P343&lt;&gt;"")* (R343&lt;&gt;""))),0)</f>
        <v/>
      </c>
      <c r="U343" s="49">
        <f>IFERROR(SUMPRODUCT(((D343&lt;&gt;D340)*(E343="Y")*(F343&lt;&gt;F340)*(G343="Y")*(D343&lt;&gt;"")* (F343&lt;&gt;""))+((H343&lt;&gt;H340)*(I343="Y")*(J343&lt;&gt;J340)*(K343="Y")*(H343&lt;&gt;"")* (J343&lt;&gt;""))+((L343&lt;&gt;L340)*(M343="Y")*(N343&lt;&gt;N340)*(O343="Y")*(L343&lt;&gt;"")* (N343&lt;&gt;""))+((P343&lt;&gt;P340)*(Q343="Y")*(R343&lt;&gt;R340)*(S343="Y")*(P343&lt;&gt;"")* (R343&lt;&gt;""))),0)</f>
        <v/>
      </c>
      <c r="V343" s="37">
        <f>IFERROR(SUMPRODUCT(((D343=D340)*(E343="Y")*(F343&lt;&gt;F340)*(G343="Y")*(D343&lt;&gt;"")* (F343&lt;&gt;""))+((H343=H340)*(I343="Y")*(J343&lt;&gt;J340)*(K343="Y")*(H343&lt;&gt;"")* (J343&lt;&gt;""))+((L343=L340)*(M343="Y")*(N343&lt;&gt;N340)*(O343="Y")*(L343&lt;&gt;"")* (N343&lt;&gt;""))+((P343=P340)*(Q343="Y")*(R343&lt;&gt;R340)*(S343="Y")*(P343&lt;&gt;"")* (R343&lt;&gt;""))),0)</f>
        <v/>
      </c>
      <c r="W343" s="37">
        <f>IFERROR(SUMPRODUCT(((E343="N")*(D343&lt;&gt;"")* (F343&lt;&gt;""))+((I343="N")*(H343&lt;&gt;"")* (J343&lt;&gt;""))+((M343="N")*(L343&lt;&gt;"")* (N343&lt;&gt;""))+((Q343="N")*(P343&lt;&gt;"")* (R343&lt;&gt;""))),0)</f>
        <v/>
      </c>
      <c r="X343" s="50">
        <f>IFERROR(U343/4,0)</f>
        <v/>
      </c>
    </row>
    <row r="344" ht="18" customHeight="1">
      <c r="B344" s="46">
        <f>'📥 ข้อมูลนักเรียน'!B7</f>
        <v/>
      </c>
      <c r="C344" s="51">
        <f>'📥 ข้อมูลนักเรียน'!C7</f>
        <v/>
      </c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37">
        <f>IFERROR(SUMPRODUCT(((D344=D340)*(E344="Y")*(F344=F340)*(G344="Y")*(D344&lt;&gt;"")* (F344&lt;&gt;""))+((H344=H340)*(I344="Y")*(J344=J340)*(K344="Y")*(H344&lt;&gt;"")* (J344&lt;&gt;""))+((L344=L340)*(M344="Y")*(N344=N340)*(O344="Y")*(L344&lt;&gt;"")* (N344&lt;&gt;""))+((P344=P340)*(Q344="Y")*(R344=R340)*(S344="Y")*(P344&lt;&gt;"")* (R344&lt;&gt;""))),0)</f>
        <v/>
      </c>
      <c r="U344" s="49">
        <f>IFERROR(SUMPRODUCT(((D344&lt;&gt;D340)*(E344="Y")*(F344&lt;&gt;F340)*(G344="Y")*(D344&lt;&gt;"")* (F344&lt;&gt;""))+((H344&lt;&gt;H340)*(I344="Y")*(J344&lt;&gt;J340)*(K344="Y")*(H344&lt;&gt;"")* (J344&lt;&gt;""))+((L344&lt;&gt;L340)*(M344="Y")*(N344&lt;&gt;N340)*(O344="Y")*(L344&lt;&gt;"")* (N344&lt;&gt;""))+((P344&lt;&gt;P340)*(Q344="Y")*(R344&lt;&gt;R340)*(S344="Y")*(P344&lt;&gt;"")* (R344&lt;&gt;""))),0)</f>
        <v/>
      </c>
      <c r="V344" s="37">
        <f>IFERROR(SUMPRODUCT(((D344=D340)*(E344="Y")*(F344&lt;&gt;F340)*(G344="Y")*(D344&lt;&gt;"")* (F344&lt;&gt;""))+((H344=H340)*(I344="Y")*(J344&lt;&gt;J340)*(K344="Y")*(H344&lt;&gt;"")* (J344&lt;&gt;""))+((L344=L340)*(M344="Y")*(N344&lt;&gt;N340)*(O344="Y")*(L344&lt;&gt;"")* (N344&lt;&gt;""))+((P344=P340)*(Q344="Y")*(R344&lt;&gt;R340)*(S344="Y")*(P344&lt;&gt;"")* (R344&lt;&gt;""))),0)</f>
        <v/>
      </c>
      <c r="W344" s="37">
        <f>IFERROR(SUMPRODUCT(((E344="N")*(D344&lt;&gt;"")* (F344&lt;&gt;""))+((I344="N")*(H344&lt;&gt;"")* (J344&lt;&gt;""))+((M344="N")*(L344&lt;&gt;"")* (N344&lt;&gt;""))+((Q344="N")*(P344&lt;&gt;"")* (R344&lt;&gt;""))),0)</f>
        <v/>
      </c>
      <c r="X344" s="50">
        <f>IFERROR(U344/4,0)</f>
        <v/>
      </c>
    </row>
    <row r="345" ht="18" customHeight="1">
      <c r="B345" s="46">
        <f>'📥 ข้อมูลนักเรียน'!B8</f>
        <v/>
      </c>
      <c r="C345" s="47">
        <f>'📥 ข้อมูลนักเรียน'!C8</f>
        <v/>
      </c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37">
        <f>IFERROR(SUMPRODUCT(((D345=D340)*(E345="Y")*(F345=F340)*(G345="Y")*(D345&lt;&gt;"")* (F345&lt;&gt;""))+((H345=H340)*(I345="Y")*(J345=J340)*(K345="Y")*(H345&lt;&gt;"")* (J345&lt;&gt;""))+((L345=L340)*(M345="Y")*(N345=N340)*(O345="Y")*(L345&lt;&gt;"")* (N345&lt;&gt;""))+((P345=P340)*(Q345="Y")*(R345=R340)*(S345="Y")*(P345&lt;&gt;"")* (R345&lt;&gt;""))),0)</f>
        <v/>
      </c>
      <c r="U345" s="49">
        <f>IFERROR(SUMPRODUCT(((D345&lt;&gt;D340)*(E345="Y")*(F345&lt;&gt;F340)*(G345="Y")*(D345&lt;&gt;"")* (F345&lt;&gt;""))+((H345&lt;&gt;H340)*(I345="Y")*(J345&lt;&gt;J340)*(K345="Y")*(H345&lt;&gt;"")* (J345&lt;&gt;""))+((L345&lt;&gt;L340)*(M345="Y")*(N345&lt;&gt;N340)*(O345="Y")*(L345&lt;&gt;"")* (N345&lt;&gt;""))+((P345&lt;&gt;P340)*(Q345="Y")*(R345&lt;&gt;R340)*(S345="Y")*(P345&lt;&gt;"")* (R345&lt;&gt;""))),0)</f>
        <v/>
      </c>
      <c r="V345" s="37">
        <f>IFERROR(SUMPRODUCT(((D345=D340)*(E345="Y")*(F345&lt;&gt;F340)*(G345="Y")*(D345&lt;&gt;"")* (F345&lt;&gt;""))+((H345=H340)*(I345="Y")*(J345&lt;&gt;J340)*(K345="Y")*(H345&lt;&gt;"")* (J345&lt;&gt;""))+((L345=L340)*(M345="Y")*(N345&lt;&gt;N340)*(O345="Y")*(L345&lt;&gt;"")* (N345&lt;&gt;""))+((P345=P340)*(Q345="Y")*(R345&lt;&gt;R340)*(S345="Y")*(P345&lt;&gt;"")* (R345&lt;&gt;""))),0)</f>
        <v/>
      </c>
      <c r="W345" s="37">
        <f>IFERROR(SUMPRODUCT(((E345="N")*(D345&lt;&gt;"")* (F345&lt;&gt;""))+((I345="N")*(H345&lt;&gt;"")* (J345&lt;&gt;""))+((M345="N")*(L345&lt;&gt;"")* (N345&lt;&gt;""))+((Q345="N")*(P345&lt;&gt;"")* (R345&lt;&gt;""))),0)</f>
        <v/>
      </c>
      <c r="X345" s="50">
        <f>IFERROR(U345/4,0)</f>
        <v/>
      </c>
    </row>
    <row r="346" ht="18" customHeight="1">
      <c r="B346" s="46">
        <f>'📥 ข้อมูลนักเรียน'!B9</f>
        <v/>
      </c>
      <c r="C346" s="51">
        <f>'📥 ข้อมูลนักเรียน'!C9</f>
        <v/>
      </c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37">
        <f>IFERROR(SUMPRODUCT(((D346=D340)*(E346="Y")*(F346=F340)*(G346="Y")*(D346&lt;&gt;"")* (F346&lt;&gt;""))+((H346=H340)*(I346="Y")*(J346=J340)*(K346="Y")*(H346&lt;&gt;"")* (J346&lt;&gt;""))+((L346=L340)*(M346="Y")*(N346=N340)*(O346="Y")*(L346&lt;&gt;"")* (N346&lt;&gt;""))+((P346=P340)*(Q346="Y")*(R346=R340)*(S346="Y")*(P346&lt;&gt;"")* (R346&lt;&gt;""))),0)</f>
        <v/>
      </c>
      <c r="U346" s="49">
        <f>IFERROR(SUMPRODUCT(((D346&lt;&gt;D340)*(E346="Y")*(F346&lt;&gt;F340)*(G346="Y")*(D346&lt;&gt;"")* (F346&lt;&gt;""))+((H346&lt;&gt;H340)*(I346="Y")*(J346&lt;&gt;J340)*(K346="Y")*(H346&lt;&gt;"")* (J346&lt;&gt;""))+((L346&lt;&gt;L340)*(M346="Y")*(N346&lt;&gt;N340)*(O346="Y")*(L346&lt;&gt;"")* (N346&lt;&gt;""))+((P346&lt;&gt;P340)*(Q346="Y")*(R346&lt;&gt;R340)*(S346="Y")*(P346&lt;&gt;"")* (R346&lt;&gt;""))),0)</f>
        <v/>
      </c>
      <c r="V346" s="37">
        <f>IFERROR(SUMPRODUCT(((D346=D340)*(E346="Y")*(F346&lt;&gt;F340)*(G346="Y")*(D346&lt;&gt;"")* (F346&lt;&gt;""))+((H346=H340)*(I346="Y")*(J346&lt;&gt;J340)*(K346="Y")*(H346&lt;&gt;"")* (J346&lt;&gt;""))+((L346=L340)*(M346="Y")*(N346&lt;&gt;N340)*(O346="Y")*(L346&lt;&gt;"")* (N346&lt;&gt;""))+((P346=P340)*(Q346="Y")*(R346&lt;&gt;R340)*(S346="Y")*(P346&lt;&gt;"")* (R346&lt;&gt;""))),0)</f>
        <v/>
      </c>
      <c r="W346" s="37">
        <f>IFERROR(SUMPRODUCT(((E346="N")*(D346&lt;&gt;"")* (F346&lt;&gt;""))+((I346="N")*(H346&lt;&gt;"")* (J346&lt;&gt;""))+((M346="N")*(L346&lt;&gt;"")* (N346&lt;&gt;""))+((Q346="N")*(P346&lt;&gt;"")* (R346&lt;&gt;""))),0)</f>
        <v/>
      </c>
      <c r="X346" s="50">
        <f>IFERROR(U346/4,0)</f>
        <v/>
      </c>
    </row>
    <row r="347" ht="18" customHeight="1">
      <c r="B347" s="46">
        <f>'📥 ข้อมูลนักเรียน'!B10</f>
        <v/>
      </c>
      <c r="C347" s="47">
        <f>'📥 ข้อมูลนักเรียน'!C10</f>
        <v/>
      </c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37">
        <f>IFERROR(SUMPRODUCT(((D347=D340)*(E347="Y")*(F347=F340)*(G347="Y")*(D347&lt;&gt;"")* (F347&lt;&gt;""))+((H347=H340)*(I347="Y")*(J347=J340)*(K347="Y")*(H347&lt;&gt;"")* (J347&lt;&gt;""))+((L347=L340)*(M347="Y")*(N347=N340)*(O347="Y")*(L347&lt;&gt;"")* (N347&lt;&gt;""))+((P347=P340)*(Q347="Y")*(R347=R340)*(S347="Y")*(P347&lt;&gt;"")* (R347&lt;&gt;""))),0)</f>
        <v/>
      </c>
      <c r="U347" s="49">
        <f>IFERROR(SUMPRODUCT(((D347&lt;&gt;D340)*(E347="Y")*(F347&lt;&gt;F340)*(G347="Y")*(D347&lt;&gt;"")* (F347&lt;&gt;""))+((H347&lt;&gt;H340)*(I347="Y")*(J347&lt;&gt;J340)*(K347="Y")*(H347&lt;&gt;"")* (J347&lt;&gt;""))+((L347&lt;&gt;L340)*(M347="Y")*(N347&lt;&gt;N340)*(O347="Y")*(L347&lt;&gt;"")* (N347&lt;&gt;""))+((P347&lt;&gt;P340)*(Q347="Y")*(R347&lt;&gt;R340)*(S347="Y")*(P347&lt;&gt;"")* (R347&lt;&gt;""))),0)</f>
        <v/>
      </c>
      <c r="V347" s="37">
        <f>IFERROR(SUMPRODUCT(((D347=D340)*(E347="Y")*(F347&lt;&gt;F340)*(G347="Y")*(D347&lt;&gt;"")* (F347&lt;&gt;""))+((H347=H340)*(I347="Y")*(J347&lt;&gt;J340)*(K347="Y")*(H347&lt;&gt;"")* (J347&lt;&gt;""))+((L347=L340)*(M347="Y")*(N347&lt;&gt;N340)*(O347="Y")*(L347&lt;&gt;"")* (N347&lt;&gt;""))+((P347=P340)*(Q347="Y")*(R347&lt;&gt;R340)*(S347="Y")*(P347&lt;&gt;"")* (R347&lt;&gt;""))),0)</f>
        <v/>
      </c>
      <c r="W347" s="37">
        <f>IFERROR(SUMPRODUCT(((E347="N")*(D347&lt;&gt;"")* (F347&lt;&gt;""))+((I347="N")*(H347&lt;&gt;"")* (J347&lt;&gt;""))+((M347="N")*(L347&lt;&gt;"")* (N347&lt;&gt;""))+((Q347="N")*(P347&lt;&gt;"")* (R347&lt;&gt;""))),0)</f>
        <v/>
      </c>
      <c r="X347" s="50">
        <f>IFERROR(U347/4,0)</f>
        <v/>
      </c>
    </row>
    <row r="348" ht="18" customHeight="1">
      <c r="B348" s="46">
        <f>'📥 ข้อมูลนักเรียน'!B11</f>
        <v/>
      </c>
      <c r="C348" s="51">
        <f>'📥 ข้อมูลนักเรียน'!C11</f>
        <v/>
      </c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37">
        <f>IFERROR(SUMPRODUCT(((D348=D340)*(E348="Y")*(F348=F340)*(G348="Y")*(D348&lt;&gt;"")* (F348&lt;&gt;""))+((H348=H340)*(I348="Y")*(J348=J340)*(K348="Y")*(H348&lt;&gt;"")* (J348&lt;&gt;""))+((L348=L340)*(M348="Y")*(N348=N340)*(O348="Y")*(L348&lt;&gt;"")* (N348&lt;&gt;""))+((P348=P340)*(Q348="Y")*(R348=R340)*(S348="Y")*(P348&lt;&gt;"")* (R348&lt;&gt;""))),0)</f>
        <v/>
      </c>
      <c r="U348" s="49">
        <f>IFERROR(SUMPRODUCT(((D348&lt;&gt;D340)*(E348="Y")*(F348&lt;&gt;F340)*(G348="Y")*(D348&lt;&gt;"")* (F348&lt;&gt;""))+((H348&lt;&gt;H340)*(I348="Y")*(J348&lt;&gt;J340)*(K348="Y")*(H348&lt;&gt;"")* (J348&lt;&gt;""))+((L348&lt;&gt;L340)*(M348="Y")*(N348&lt;&gt;N340)*(O348="Y")*(L348&lt;&gt;"")* (N348&lt;&gt;""))+((P348&lt;&gt;P340)*(Q348="Y")*(R348&lt;&gt;R340)*(S348="Y")*(P348&lt;&gt;"")* (R348&lt;&gt;""))),0)</f>
        <v/>
      </c>
      <c r="V348" s="37">
        <f>IFERROR(SUMPRODUCT(((D348=D340)*(E348="Y")*(F348&lt;&gt;F340)*(G348="Y")*(D348&lt;&gt;"")* (F348&lt;&gt;""))+((H348=H340)*(I348="Y")*(J348&lt;&gt;J340)*(K348="Y")*(H348&lt;&gt;"")* (J348&lt;&gt;""))+((L348=L340)*(M348="Y")*(N348&lt;&gt;N340)*(O348="Y")*(L348&lt;&gt;"")* (N348&lt;&gt;""))+((P348=P340)*(Q348="Y")*(R348&lt;&gt;R340)*(S348="Y")*(P348&lt;&gt;"")* (R348&lt;&gt;""))),0)</f>
        <v/>
      </c>
      <c r="W348" s="37">
        <f>IFERROR(SUMPRODUCT(((E348="N")*(D348&lt;&gt;"")* (F348&lt;&gt;""))+((I348="N")*(H348&lt;&gt;"")* (J348&lt;&gt;""))+((M348="N")*(L348&lt;&gt;"")* (N348&lt;&gt;""))+((Q348="N")*(P348&lt;&gt;"")* (R348&lt;&gt;""))),0)</f>
        <v/>
      </c>
      <c r="X348" s="50">
        <f>IFERROR(U348/4,0)</f>
        <v/>
      </c>
    </row>
    <row r="349" ht="18" customHeight="1">
      <c r="B349" s="46">
        <f>'📥 ข้อมูลนักเรียน'!B12</f>
        <v/>
      </c>
      <c r="C349" s="47">
        <f>'📥 ข้อมูลนักเรียน'!C12</f>
        <v/>
      </c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37">
        <f>IFERROR(SUMPRODUCT(((D349=D340)*(E349="Y")*(F349=F340)*(G349="Y")*(D349&lt;&gt;"")* (F349&lt;&gt;""))+((H349=H340)*(I349="Y")*(J349=J340)*(K349="Y")*(H349&lt;&gt;"")* (J349&lt;&gt;""))+((L349=L340)*(M349="Y")*(N349=N340)*(O349="Y")*(L349&lt;&gt;"")* (N349&lt;&gt;""))+((P349=P340)*(Q349="Y")*(R349=R340)*(S349="Y")*(P349&lt;&gt;"")* (R349&lt;&gt;""))),0)</f>
        <v/>
      </c>
      <c r="U349" s="49">
        <f>IFERROR(SUMPRODUCT(((D349&lt;&gt;D340)*(E349="Y")*(F349&lt;&gt;F340)*(G349="Y")*(D349&lt;&gt;"")* (F349&lt;&gt;""))+((H349&lt;&gt;H340)*(I349="Y")*(J349&lt;&gt;J340)*(K349="Y")*(H349&lt;&gt;"")* (J349&lt;&gt;""))+((L349&lt;&gt;L340)*(M349="Y")*(N349&lt;&gt;N340)*(O349="Y")*(L349&lt;&gt;"")* (N349&lt;&gt;""))+((P349&lt;&gt;P340)*(Q349="Y")*(R349&lt;&gt;R340)*(S349="Y")*(P349&lt;&gt;"")* (R349&lt;&gt;""))),0)</f>
        <v/>
      </c>
      <c r="V349" s="37">
        <f>IFERROR(SUMPRODUCT(((D349=D340)*(E349="Y")*(F349&lt;&gt;F340)*(G349="Y")*(D349&lt;&gt;"")* (F349&lt;&gt;""))+((H349=H340)*(I349="Y")*(J349&lt;&gt;J340)*(K349="Y")*(H349&lt;&gt;"")* (J349&lt;&gt;""))+((L349=L340)*(M349="Y")*(N349&lt;&gt;N340)*(O349="Y")*(L349&lt;&gt;"")* (N349&lt;&gt;""))+((P349=P340)*(Q349="Y")*(R349&lt;&gt;R340)*(S349="Y")*(P349&lt;&gt;"")* (R349&lt;&gt;""))),0)</f>
        <v/>
      </c>
      <c r="W349" s="37">
        <f>IFERROR(SUMPRODUCT(((E349="N")*(D349&lt;&gt;"")* (F349&lt;&gt;""))+((I349="N")*(H349&lt;&gt;"")* (J349&lt;&gt;""))+((M349="N")*(L349&lt;&gt;"")* (N349&lt;&gt;""))+((Q349="N")*(P349&lt;&gt;"")* (R349&lt;&gt;""))),0)</f>
        <v/>
      </c>
      <c r="X349" s="50">
        <f>IFERROR(U349/4,0)</f>
        <v/>
      </c>
    </row>
    <row r="350" ht="18" customHeight="1">
      <c r="B350" s="46">
        <f>'📥 ข้อมูลนักเรียน'!B13</f>
        <v/>
      </c>
      <c r="C350" s="51">
        <f>'📥 ข้อมูลนักเรียน'!C13</f>
        <v/>
      </c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37">
        <f>IFERROR(SUMPRODUCT(((D350=D340)*(E350="Y")*(F350=F340)*(G350="Y")*(D350&lt;&gt;"")* (F350&lt;&gt;""))+((H350=H340)*(I350="Y")*(J350=J340)*(K350="Y")*(H350&lt;&gt;"")* (J350&lt;&gt;""))+((L350=L340)*(M350="Y")*(N350=N340)*(O350="Y")*(L350&lt;&gt;"")* (N350&lt;&gt;""))+((P350=P340)*(Q350="Y")*(R350=R340)*(S350="Y")*(P350&lt;&gt;"")* (R350&lt;&gt;""))),0)</f>
        <v/>
      </c>
      <c r="U350" s="49">
        <f>IFERROR(SUMPRODUCT(((D350&lt;&gt;D340)*(E350="Y")*(F350&lt;&gt;F340)*(G350="Y")*(D350&lt;&gt;"")* (F350&lt;&gt;""))+((H350&lt;&gt;H340)*(I350="Y")*(J350&lt;&gt;J340)*(K350="Y")*(H350&lt;&gt;"")* (J350&lt;&gt;""))+((L350&lt;&gt;L340)*(M350="Y")*(N350&lt;&gt;N340)*(O350="Y")*(L350&lt;&gt;"")* (N350&lt;&gt;""))+((P350&lt;&gt;P340)*(Q350="Y")*(R350&lt;&gt;R340)*(S350="Y")*(P350&lt;&gt;"")* (R350&lt;&gt;""))),0)</f>
        <v/>
      </c>
      <c r="V350" s="37">
        <f>IFERROR(SUMPRODUCT(((D350=D340)*(E350="Y")*(F350&lt;&gt;F340)*(G350="Y")*(D350&lt;&gt;"")* (F350&lt;&gt;""))+((H350=H340)*(I350="Y")*(J350&lt;&gt;J340)*(K350="Y")*(H350&lt;&gt;"")* (J350&lt;&gt;""))+((L350=L340)*(M350="Y")*(N350&lt;&gt;N340)*(O350="Y")*(L350&lt;&gt;"")* (N350&lt;&gt;""))+((P350=P340)*(Q350="Y")*(R350&lt;&gt;R340)*(S350="Y")*(P350&lt;&gt;"")* (R350&lt;&gt;""))),0)</f>
        <v/>
      </c>
      <c r="W350" s="37">
        <f>IFERROR(SUMPRODUCT(((E350="N")*(D350&lt;&gt;"")* (F350&lt;&gt;""))+((I350="N")*(H350&lt;&gt;"")* (J350&lt;&gt;""))+((M350="N")*(L350&lt;&gt;"")* (N350&lt;&gt;""))+((Q350="N")*(P350&lt;&gt;"")* (R350&lt;&gt;""))),0)</f>
        <v/>
      </c>
      <c r="X350" s="50">
        <f>IFERROR(U350/4,0)</f>
        <v/>
      </c>
    </row>
    <row r="351" ht="18" customHeight="1">
      <c r="B351" s="46">
        <f>'📥 ข้อมูลนักเรียน'!B14</f>
        <v/>
      </c>
      <c r="C351" s="47">
        <f>'📥 ข้อมูลนักเรียน'!C14</f>
        <v/>
      </c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37">
        <f>IFERROR(SUMPRODUCT(((D351=D340)*(E351="Y")*(F351=F340)*(G351="Y")*(D351&lt;&gt;"")* (F351&lt;&gt;""))+((H351=H340)*(I351="Y")*(J351=J340)*(K351="Y")*(H351&lt;&gt;"")* (J351&lt;&gt;""))+((L351=L340)*(M351="Y")*(N351=N340)*(O351="Y")*(L351&lt;&gt;"")* (N351&lt;&gt;""))+((P351=P340)*(Q351="Y")*(R351=R340)*(S351="Y")*(P351&lt;&gt;"")* (R351&lt;&gt;""))),0)</f>
        <v/>
      </c>
      <c r="U351" s="49">
        <f>IFERROR(SUMPRODUCT(((D351&lt;&gt;D340)*(E351="Y")*(F351&lt;&gt;F340)*(G351="Y")*(D351&lt;&gt;"")* (F351&lt;&gt;""))+((H351&lt;&gt;H340)*(I351="Y")*(J351&lt;&gt;J340)*(K351="Y")*(H351&lt;&gt;"")* (J351&lt;&gt;""))+((L351&lt;&gt;L340)*(M351="Y")*(N351&lt;&gt;N340)*(O351="Y")*(L351&lt;&gt;"")* (N351&lt;&gt;""))+((P351&lt;&gt;P340)*(Q351="Y")*(R351&lt;&gt;R340)*(S351="Y")*(P351&lt;&gt;"")* (R351&lt;&gt;""))),0)</f>
        <v/>
      </c>
      <c r="V351" s="37">
        <f>IFERROR(SUMPRODUCT(((D351=D340)*(E351="Y")*(F351&lt;&gt;F340)*(G351="Y")*(D351&lt;&gt;"")* (F351&lt;&gt;""))+((H351=H340)*(I351="Y")*(J351&lt;&gt;J340)*(K351="Y")*(H351&lt;&gt;"")* (J351&lt;&gt;""))+((L351=L340)*(M351="Y")*(N351&lt;&gt;N340)*(O351="Y")*(L351&lt;&gt;"")* (N351&lt;&gt;""))+((P351=P340)*(Q351="Y")*(R351&lt;&gt;R340)*(S351="Y")*(P351&lt;&gt;"")* (R351&lt;&gt;""))),0)</f>
        <v/>
      </c>
      <c r="W351" s="37">
        <f>IFERROR(SUMPRODUCT(((E351="N")*(D351&lt;&gt;"")* (F351&lt;&gt;""))+((I351="N")*(H351&lt;&gt;"")* (J351&lt;&gt;""))+((M351="N")*(L351&lt;&gt;"")* (N351&lt;&gt;""))+((Q351="N")*(P351&lt;&gt;"")* (R351&lt;&gt;""))),0)</f>
        <v/>
      </c>
      <c r="X351" s="50">
        <f>IFERROR(U351/4,0)</f>
        <v/>
      </c>
    </row>
    <row r="352" ht="18" customHeight="1">
      <c r="B352" s="46">
        <f>'📥 ข้อมูลนักเรียน'!B15</f>
        <v/>
      </c>
      <c r="C352" s="51">
        <f>'📥 ข้อมูลนักเรียน'!C15</f>
        <v/>
      </c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37">
        <f>IFERROR(SUMPRODUCT(((D352=D340)*(E352="Y")*(F352=F340)*(G352="Y")*(D352&lt;&gt;"")* (F352&lt;&gt;""))+((H352=H340)*(I352="Y")*(J352=J340)*(K352="Y")*(H352&lt;&gt;"")* (J352&lt;&gt;""))+((L352=L340)*(M352="Y")*(N352=N340)*(O352="Y")*(L352&lt;&gt;"")* (N352&lt;&gt;""))+((P352=P340)*(Q352="Y")*(R352=R340)*(S352="Y")*(P352&lt;&gt;"")* (R352&lt;&gt;""))),0)</f>
        <v/>
      </c>
      <c r="U352" s="49">
        <f>IFERROR(SUMPRODUCT(((D352&lt;&gt;D340)*(E352="Y")*(F352&lt;&gt;F340)*(G352="Y")*(D352&lt;&gt;"")* (F352&lt;&gt;""))+((H352&lt;&gt;H340)*(I352="Y")*(J352&lt;&gt;J340)*(K352="Y")*(H352&lt;&gt;"")* (J352&lt;&gt;""))+((L352&lt;&gt;L340)*(M352="Y")*(N352&lt;&gt;N340)*(O352="Y")*(L352&lt;&gt;"")* (N352&lt;&gt;""))+((P352&lt;&gt;P340)*(Q352="Y")*(R352&lt;&gt;R340)*(S352="Y")*(P352&lt;&gt;"")* (R352&lt;&gt;""))),0)</f>
        <v/>
      </c>
      <c r="V352" s="37">
        <f>IFERROR(SUMPRODUCT(((D352=D340)*(E352="Y")*(F352&lt;&gt;F340)*(G352="Y")*(D352&lt;&gt;"")* (F352&lt;&gt;""))+((H352=H340)*(I352="Y")*(J352&lt;&gt;J340)*(K352="Y")*(H352&lt;&gt;"")* (J352&lt;&gt;""))+((L352=L340)*(M352="Y")*(N352&lt;&gt;N340)*(O352="Y")*(L352&lt;&gt;"")* (N352&lt;&gt;""))+((P352=P340)*(Q352="Y")*(R352&lt;&gt;R340)*(S352="Y")*(P352&lt;&gt;"")* (R352&lt;&gt;""))),0)</f>
        <v/>
      </c>
      <c r="W352" s="37">
        <f>IFERROR(SUMPRODUCT(((E352="N")*(D352&lt;&gt;"")* (F352&lt;&gt;""))+((I352="N")*(H352&lt;&gt;"")* (J352&lt;&gt;""))+((M352="N")*(L352&lt;&gt;"")* (N352&lt;&gt;""))+((Q352="N")*(P352&lt;&gt;"")* (R352&lt;&gt;""))),0)</f>
        <v/>
      </c>
      <c r="X352" s="50">
        <f>IFERROR(U352/4,0)</f>
        <v/>
      </c>
    </row>
    <row r="353" ht="18" customHeight="1">
      <c r="B353" s="46">
        <f>'📥 ข้อมูลนักเรียน'!B16</f>
        <v/>
      </c>
      <c r="C353" s="47">
        <f>'📥 ข้อมูลนักเรียน'!C16</f>
        <v/>
      </c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37">
        <f>IFERROR(SUMPRODUCT(((D353=D340)*(E353="Y")*(F353=F340)*(G353="Y")*(D353&lt;&gt;"")* (F353&lt;&gt;""))+((H353=H340)*(I353="Y")*(J353=J340)*(K353="Y")*(H353&lt;&gt;"")* (J353&lt;&gt;""))+((L353=L340)*(M353="Y")*(N353=N340)*(O353="Y")*(L353&lt;&gt;"")* (N353&lt;&gt;""))+((P353=P340)*(Q353="Y")*(R353=R340)*(S353="Y")*(P353&lt;&gt;"")* (R353&lt;&gt;""))),0)</f>
        <v/>
      </c>
      <c r="U353" s="49">
        <f>IFERROR(SUMPRODUCT(((D353&lt;&gt;D340)*(E353="Y")*(F353&lt;&gt;F340)*(G353="Y")*(D353&lt;&gt;"")* (F353&lt;&gt;""))+((H353&lt;&gt;H340)*(I353="Y")*(J353&lt;&gt;J340)*(K353="Y")*(H353&lt;&gt;"")* (J353&lt;&gt;""))+((L353&lt;&gt;L340)*(M353="Y")*(N353&lt;&gt;N340)*(O353="Y")*(L353&lt;&gt;"")* (N353&lt;&gt;""))+((P353&lt;&gt;P340)*(Q353="Y")*(R353&lt;&gt;R340)*(S353="Y")*(P353&lt;&gt;"")* (R353&lt;&gt;""))),0)</f>
        <v/>
      </c>
      <c r="V353" s="37">
        <f>IFERROR(SUMPRODUCT(((D353=D340)*(E353="Y")*(F353&lt;&gt;F340)*(G353="Y")*(D353&lt;&gt;"")* (F353&lt;&gt;""))+((H353=H340)*(I353="Y")*(J353&lt;&gt;J340)*(K353="Y")*(H353&lt;&gt;"")* (J353&lt;&gt;""))+((L353=L340)*(M353="Y")*(N353&lt;&gt;N340)*(O353="Y")*(L353&lt;&gt;"")* (N353&lt;&gt;""))+((P353=P340)*(Q353="Y")*(R353&lt;&gt;R340)*(S353="Y")*(P353&lt;&gt;"")* (R353&lt;&gt;""))),0)</f>
        <v/>
      </c>
      <c r="W353" s="37">
        <f>IFERROR(SUMPRODUCT(((E353="N")*(D353&lt;&gt;"")* (F353&lt;&gt;""))+((I353="N")*(H353&lt;&gt;"")* (J353&lt;&gt;""))+((M353="N")*(L353&lt;&gt;"")* (N353&lt;&gt;""))+((Q353="N")*(P353&lt;&gt;"")* (R353&lt;&gt;""))),0)</f>
        <v/>
      </c>
      <c r="X353" s="50">
        <f>IFERROR(U353/4,0)</f>
        <v/>
      </c>
    </row>
    <row r="354" ht="18" customHeight="1">
      <c r="B354" s="46">
        <f>'📥 ข้อมูลนักเรียน'!B17</f>
        <v/>
      </c>
      <c r="C354" s="51">
        <f>'📥 ข้อมูลนักเรียน'!C17</f>
        <v/>
      </c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37">
        <f>IFERROR(SUMPRODUCT(((D354=D340)*(E354="Y")*(F354=F340)*(G354="Y")*(D354&lt;&gt;"")* (F354&lt;&gt;""))+((H354=H340)*(I354="Y")*(J354=J340)*(K354="Y")*(H354&lt;&gt;"")* (J354&lt;&gt;""))+((L354=L340)*(M354="Y")*(N354=N340)*(O354="Y")*(L354&lt;&gt;"")* (N354&lt;&gt;""))+((P354=P340)*(Q354="Y")*(R354=R340)*(S354="Y")*(P354&lt;&gt;"")* (R354&lt;&gt;""))),0)</f>
        <v/>
      </c>
      <c r="U354" s="49">
        <f>IFERROR(SUMPRODUCT(((D354&lt;&gt;D340)*(E354="Y")*(F354&lt;&gt;F340)*(G354="Y")*(D354&lt;&gt;"")* (F354&lt;&gt;""))+((H354&lt;&gt;H340)*(I354="Y")*(J354&lt;&gt;J340)*(K354="Y")*(H354&lt;&gt;"")* (J354&lt;&gt;""))+((L354&lt;&gt;L340)*(M354="Y")*(N354&lt;&gt;N340)*(O354="Y")*(L354&lt;&gt;"")* (N354&lt;&gt;""))+((P354&lt;&gt;P340)*(Q354="Y")*(R354&lt;&gt;R340)*(S354="Y")*(P354&lt;&gt;"")* (R354&lt;&gt;""))),0)</f>
        <v/>
      </c>
      <c r="V354" s="37">
        <f>IFERROR(SUMPRODUCT(((D354=D340)*(E354="Y")*(F354&lt;&gt;F340)*(G354="Y")*(D354&lt;&gt;"")* (F354&lt;&gt;""))+((H354=H340)*(I354="Y")*(J354&lt;&gt;J340)*(K354="Y")*(H354&lt;&gt;"")* (J354&lt;&gt;""))+((L354=L340)*(M354="Y")*(N354&lt;&gt;N340)*(O354="Y")*(L354&lt;&gt;"")* (N354&lt;&gt;""))+((P354=P340)*(Q354="Y")*(R354&lt;&gt;R340)*(S354="Y")*(P354&lt;&gt;"")* (R354&lt;&gt;""))),0)</f>
        <v/>
      </c>
      <c r="W354" s="37">
        <f>IFERROR(SUMPRODUCT(((E354="N")*(D354&lt;&gt;"")* (F354&lt;&gt;""))+((I354="N")*(H354&lt;&gt;"")* (J354&lt;&gt;""))+((M354="N")*(L354&lt;&gt;"")* (N354&lt;&gt;""))+((Q354="N")*(P354&lt;&gt;"")* (R354&lt;&gt;""))),0)</f>
        <v/>
      </c>
      <c r="X354" s="50">
        <f>IFERROR(U354/4,0)</f>
        <v/>
      </c>
    </row>
    <row r="355" ht="18" customHeight="1">
      <c r="B355" s="46">
        <f>'📥 ข้อมูลนักเรียน'!B18</f>
        <v/>
      </c>
      <c r="C355" s="47">
        <f>'📥 ข้อมูลนักเรียน'!C18</f>
        <v/>
      </c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37">
        <f>IFERROR(SUMPRODUCT(((D355=D340)*(E355="Y")*(F355=F340)*(G355="Y")*(D355&lt;&gt;"")*(F355&lt;&gt;""))+((H355=H340)*(I355="Y")*(J355=J340)*(K355="Y")*(H355&lt;&gt;"")*(J355&lt;&gt;""))+((L355=L340)*(M355="Y")*(N355=N340)*(O355="Y")*(L355&lt;&gt;"")*(N355&lt;&gt;""))+((P355=P340)*(Q355="Y")*(R355=R340)*(S355="Y")*(P355&lt;&gt;"")*(R355&lt;&gt;""))),0)</f>
        <v/>
      </c>
      <c r="U355" s="49">
        <f>IFERROR(SUMPRODUCT(((D355&lt;&gt;D340)*(E355="Y")*(F355&lt;&gt;F340)*(G355="Y")*(D355&lt;&gt;"")*(F355&lt;&gt;""))+((H355&lt;&gt;H340)*(I355="Y")*(J355&lt;&gt;J340)*(K355="Y")*(H355&lt;&gt;"")*(J355&lt;&gt;""))+((L355&lt;&gt;L340)*(M355="Y")*(N355&lt;&gt;N340)*(O355="Y")*(L355&lt;&gt;"")*(N355&lt;&gt;""))+((P355&lt;&gt;P340)*(Q355="Y")*(R355&lt;&gt;R340)*(S355="Y")*(P355&lt;&gt;"")*(R355&lt;&gt;""))),0)</f>
        <v/>
      </c>
      <c r="V355" s="37">
        <f>IFERROR(SUMPRODUCT(((D355=D340)*(E355="Y")*(F355&lt;&gt;F340)*(G355="Y")*(D355&lt;&gt;"")*(F355&lt;&gt;""))+((H355=H340)*(I355="Y")*(J355&lt;&gt;J340)*(K355="Y")*(H355&lt;&gt;"")*(J355&lt;&gt;""))+((L355=L340)*(M355="Y")*(N355&lt;&gt;N340)*(O355="Y")*(L355&lt;&gt;"")*(N355&lt;&gt;""))+((P355=P340)*(Q355="Y")*(R355&lt;&gt;R340)*(S355="Y")*(P355&lt;&gt;"")*(R355&lt;&gt;""))),0)</f>
        <v/>
      </c>
      <c r="W355" s="37">
        <f>IFERROR(SUMPRODUCT(((E355="N")*(D355&lt;&gt;"")*(F355&lt;&gt;""))+((I355="N")*(H355&lt;&gt;"")*(J355&lt;&gt;""))+((M355="N")*(L355&lt;&gt;"")*(N355&lt;&gt;""))+((Q355="N")*(P355&lt;&gt;"")*(R355&lt;&gt;""))),0)</f>
        <v/>
      </c>
      <c r="X355" s="50">
        <f>IFERROR(U355/4,0)</f>
        <v/>
      </c>
    </row>
    <row r="356" ht="18" customHeight="1">
      <c r="B356" s="46">
        <f>'📥 ข้อมูลนักเรียน'!B19</f>
        <v/>
      </c>
      <c r="C356" s="51">
        <f>'📥 ข้อมูลนักเรียน'!C19</f>
        <v/>
      </c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37">
        <f>IFERROR(SUMPRODUCT(((D356=D340)*(E356="Y")*(F356=F340)*(G356="Y")*(D356&lt;&gt;"")*(F356&lt;&gt;""))+((H356=H340)*(I356="Y")*(J356=J340)*(K356="Y")*(H356&lt;&gt;"")*(J356&lt;&gt;""))+((L356=L340)*(M356="Y")*(N356=N340)*(O356="Y")*(L356&lt;&gt;"")*(N356&lt;&gt;""))+((P356=P340)*(Q356="Y")*(R356=R340)*(S356="Y")*(P356&lt;&gt;"")*(R356&lt;&gt;""))),0)</f>
        <v/>
      </c>
      <c r="U356" s="49">
        <f>IFERROR(SUMPRODUCT(((D356&lt;&gt;D340)*(E356="Y")*(F356&lt;&gt;F340)*(G356="Y")*(D356&lt;&gt;"")*(F356&lt;&gt;""))+((H356&lt;&gt;H340)*(I356="Y")*(J356&lt;&gt;J340)*(K356="Y")*(H356&lt;&gt;"")*(J356&lt;&gt;""))+((L356&lt;&gt;L340)*(M356="Y")*(N356&lt;&gt;N340)*(O356="Y")*(L356&lt;&gt;"")*(N356&lt;&gt;""))+((P356&lt;&gt;P340)*(Q356="Y")*(R356&lt;&gt;R340)*(S356="Y")*(P356&lt;&gt;"")*(R356&lt;&gt;""))),0)</f>
        <v/>
      </c>
      <c r="V356" s="37">
        <f>IFERROR(SUMPRODUCT(((D356=D340)*(E356="Y")*(F356&lt;&gt;F340)*(G356="Y")*(D356&lt;&gt;"")*(F356&lt;&gt;""))+((H356=H340)*(I356="Y")*(J356&lt;&gt;J340)*(K356="Y")*(H356&lt;&gt;"")*(J356&lt;&gt;""))+((L356=L340)*(M356="Y")*(N356&lt;&gt;N340)*(O356="Y")*(L356&lt;&gt;"")*(N356&lt;&gt;""))+((P356=P340)*(Q356="Y")*(R356&lt;&gt;R340)*(S356="Y")*(P356&lt;&gt;"")*(R356&lt;&gt;""))),0)</f>
        <v/>
      </c>
      <c r="W356" s="37">
        <f>IFERROR(SUMPRODUCT(((E356="N")*(D356&lt;&gt;"")*(F356&lt;&gt;""))+((I356="N")*(H356&lt;&gt;"")*(J356&lt;&gt;""))+((M356="N")*(L356&lt;&gt;"")*(N356&lt;&gt;""))+((Q356="N")*(P356&lt;&gt;"")*(R356&lt;&gt;""))),0)</f>
        <v/>
      </c>
      <c r="X356" s="50">
        <f>IFERROR(U356/4,0)</f>
        <v/>
      </c>
    </row>
    <row r="357" ht="18" customHeight="1">
      <c r="B357" s="46">
        <f>'📥 ข้อมูลนักเรียน'!B20</f>
        <v/>
      </c>
      <c r="C357" s="47">
        <f>'📥 ข้อมูลนักเรียน'!C20</f>
        <v/>
      </c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37">
        <f>IFERROR(SUMPRODUCT(((D357=D340)*(E357="Y")*(F357=F340)*(G357="Y")*(D357&lt;&gt;"")*(F357&lt;&gt;""))+((H357=H340)*(I357="Y")*(J357=J340)*(K357="Y")*(H357&lt;&gt;"")*(J357&lt;&gt;""))+((L357=L340)*(M357="Y")*(N357=N340)*(O357="Y")*(L357&lt;&gt;"")*(N357&lt;&gt;""))+((P357=P340)*(Q357="Y")*(R357=R340)*(S357="Y")*(P357&lt;&gt;"")*(R357&lt;&gt;""))),0)</f>
        <v/>
      </c>
      <c r="U357" s="49">
        <f>IFERROR(SUMPRODUCT(((D357&lt;&gt;D340)*(E357="Y")*(F357&lt;&gt;F340)*(G357="Y")*(D357&lt;&gt;"")*(F357&lt;&gt;""))+((H357&lt;&gt;H340)*(I357="Y")*(J357&lt;&gt;J340)*(K357="Y")*(H357&lt;&gt;"")*(J357&lt;&gt;""))+((L357&lt;&gt;L340)*(M357="Y")*(N357&lt;&gt;N340)*(O357="Y")*(L357&lt;&gt;"")*(N357&lt;&gt;""))+((P357&lt;&gt;P340)*(Q357="Y")*(R357&lt;&gt;R340)*(S357="Y")*(P357&lt;&gt;"")*(R357&lt;&gt;""))),0)</f>
        <v/>
      </c>
      <c r="V357" s="37">
        <f>IFERROR(SUMPRODUCT(((D357=D340)*(E357="Y")*(F357&lt;&gt;F340)*(G357="Y")*(D357&lt;&gt;"")*(F357&lt;&gt;""))+((H357=H340)*(I357="Y")*(J357&lt;&gt;J340)*(K357="Y")*(H357&lt;&gt;"")*(J357&lt;&gt;""))+((L357=L340)*(M357="Y")*(N357&lt;&gt;N340)*(O357="Y")*(L357&lt;&gt;"")*(N357&lt;&gt;""))+((P357=P340)*(Q357="Y")*(R357&lt;&gt;R340)*(S357="Y")*(P357&lt;&gt;"")*(R357&lt;&gt;""))),0)</f>
        <v/>
      </c>
      <c r="W357" s="37">
        <f>IFERROR(SUMPRODUCT(((E357="N")*(D357&lt;&gt;"")*(F357&lt;&gt;""))+((I357="N")*(H357&lt;&gt;"")*(J357&lt;&gt;""))+((M357="N")*(L357&lt;&gt;"")*(N357&lt;&gt;""))+((Q357="N")*(P357&lt;&gt;"")*(R357&lt;&gt;""))),0)</f>
        <v/>
      </c>
      <c r="X357" s="50">
        <f>IFERROR(U357/4,0)</f>
        <v/>
      </c>
    </row>
    <row r="358" ht="18" customHeight="1">
      <c r="B358" s="46">
        <f>'📥 ข้อมูลนักเรียน'!B21</f>
        <v/>
      </c>
      <c r="C358" s="51">
        <f>'📥 ข้อมูลนักเรียน'!C21</f>
        <v/>
      </c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37">
        <f>IFERROR(SUMPRODUCT(((D358=D340)*(E358="Y")*(F358=F340)*(G358="Y")*(D358&lt;&gt;"")*(F358&lt;&gt;""))+((H358=H340)*(I358="Y")*(J358=J340)*(K358="Y")*(H358&lt;&gt;"")*(J358&lt;&gt;""))+((L358=L340)*(M358="Y")*(N358=N340)*(O358="Y")*(L358&lt;&gt;"")*(N358&lt;&gt;""))+((P358=P340)*(Q358="Y")*(R358=R340)*(S358="Y")*(P358&lt;&gt;"")*(R358&lt;&gt;""))),0)</f>
        <v/>
      </c>
      <c r="U358" s="49">
        <f>IFERROR(SUMPRODUCT(((D358&lt;&gt;D340)*(E358="Y")*(F358&lt;&gt;F340)*(G358="Y")*(D358&lt;&gt;"")*(F358&lt;&gt;""))+((H358&lt;&gt;H340)*(I358="Y")*(J358&lt;&gt;J340)*(K358="Y")*(H358&lt;&gt;"")*(J358&lt;&gt;""))+((L358&lt;&gt;L340)*(M358="Y")*(N358&lt;&gt;N340)*(O358="Y")*(L358&lt;&gt;"")*(N358&lt;&gt;""))+((P358&lt;&gt;P340)*(Q358="Y")*(R358&lt;&gt;R340)*(S358="Y")*(P358&lt;&gt;"")*(R358&lt;&gt;""))),0)</f>
        <v/>
      </c>
      <c r="V358" s="37">
        <f>IFERROR(SUMPRODUCT(((D358=D340)*(E358="Y")*(F358&lt;&gt;F340)*(G358="Y")*(D358&lt;&gt;"")*(F358&lt;&gt;""))+((H358=H340)*(I358="Y")*(J358&lt;&gt;J340)*(K358="Y")*(H358&lt;&gt;"")*(J358&lt;&gt;""))+((L358=L340)*(M358="Y")*(N358&lt;&gt;N340)*(O358="Y")*(L358&lt;&gt;"")*(N358&lt;&gt;""))+((P358=P340)*(Q358="Y")*(R358&lt;&gt;R340)*(S358="Y")*(P358&lt;&gt;"")*(R358&lt;&gt;""))),0)</f>
        <v/>
      </c>
      <c r="W358" s="37">
        <f>IFERROR(SUMPRODUCT(((E358="N")*(D358&lt;&gt;"")*(F358&lt;&gt;""))+((I358="N")*(H358&lt;&gt;"")*(J358&lt;&gt;""))+((M358="N")*(L358&lt;&gt;"")*(N358&lt;&gt;""))+((Q358="N")*(P358&lt;&gt;"")*(R358&lt;&gt;""))),0)</f>
        <v/>
      </c>
      <c r="X358" s="50">
        <f>IFERROR(U358/4,0)</f>
        <v/>
      </c>
    </row>
    <row r="359" ht="18" customHeight="1">
      <c r="B359" s="46">
        <f>'📥 ข้อมูลนักเรียน'!B22</f>
        <v/>
      </c>
      <c r="C359" s="47">
        <f>'📥 ข้อมูลนักเรียน'!C22</f>
        <v/>
      </c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37">
        <f>IFERROR(SUMPRODUCT(((D359=D340)*(E359="Y")*(F359=F340)*(G359="Y")*(D359&lt;&gt;"")*(F359&lt;&gt;""))+((H359=H340)*(I359="Y")*(J359=J340)*(K359="Y")*(H359&lt;&gt;"")*(J359&lt;&gt;""))+((L359=L340)*(M359="Y")*(N359=N340)*(O359="Y")*(L359&lt;&gt;"")*(N359&lt;&gt;""))+((P359=P340)*(Q359="Y")*(R359=R340)*(S359="Y")*(P359&lt;&gt;"")*(R359&lt;&gt;""))),0)</f>
        <v/>
      </c>
      <c r="U359" s="49">
        <f>IFERROR(SUMPRODUCT(((D359&lt;&gt;D340)*(E359="Y")*(F359&lt;&gt;F340)*(G359="Y")*(D359&lt;&gt;"")*(F359&lt;&gt;""))+((H359&lt;&gt;H340)*(I359="Y")*(J359&lt;&gt;J340)*(K359="Y")*(H359&lt;&gt;"")*(J359&lt;&gt;""))+((L359&lt;&gt;L340)*(M359="Y")*(N359&lt;&gt;N340)*(O359="Y")*(L359&lt;&gt;"")*(N359&lt;&gt;""))+((P359&lt;&gt;P340)*(Q359="Y")*(R359&lt;&gt;R340)*(S359="Y")*(P359&lt;&gt;"")*(R359&lt;&gt;""))),0)</f>
        <v/>
      </c>
      <c r="V359" s="37">
        <f>IFERROR(SUMPRODUCT(((D359=D340)*(E359="Y")*(F359&lt;&gt;F340)*(G359="Y")*(D359&lt;&gt;"")*(F359&lt;&gt;""))+((H359=H340)*(I359="Y")*(J359&lt;&gt;J340)*(K359="Y")*(H359&lt;&gt;"")*(J359&lt;&gt;""))+((L359=L340)*(M359="Y")*(N359&lt;&gt;N340)*(O359="Y")*(L359&lt;&gt;"")*(N359&lt;&gt;""))+((P359=P340)*(Q359="Y")*(R359&lt;&gt;R340)*(S359="Y")*(P359&lt;&gt;"")*(R359&lt;&gt;""))),0)</f>
        <v/>
      </c>
      <c r="W359" s="37">
        <f>IFERROR(SUMPRODUCT(((E359="N")*(D359&lt;&gt;"")*(F359&lt;&gt;""))+((I359="N")*(H359&lt;&gt;"")*(J359&lt;&gt;""))+((M359="N")*(L359&lt;&gt;"")*(N359&lt;&gt;""))+((Q359="N")*(P359&lt;&gt;"")*(R359&lt;&gt;""))),0)</f>
        <v/>
      </c>
      <c r="X359" s="50">
        <f>IFERROR(U359/4,0)</f>
        <v/>
      </c>
    </row>
    <row r="360" ht="18" customHeight="1">
      <c r="B360" s="46">
        <f>'📥 ข้อมูลนักเรียน'!B23</f>
        <v/>
      </c>
      <c r="C360" s="51">
        <f>'📥 ข้อมูลนักเรียน'!C23</f>
        <v/>
      </c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37">
        <f>IFERROR(SUMPRODUCT(((D360=D340)*(E360="Y")*(F360=F340)*(G360="Y")*(D360&lt;&gt;"")*(F360&lt;&gt;""))+((H360=H340)*(I360="Y")*(J360=J340)*(K360="Y")*(H360&lt;&gt;"")*(J360&lt;&gt;""))+((L360=L340)*(M360="Y")*(N360=N340)*(O360="Y")*(L360&lt;&gt;"")*(N360&lt;&gt;""))+((P360=P340)*(Q360="Y")*(R360=R340)*(S360="Y")*(P360&lt;&gt;"")*(R360&lt;&gt;""))),0)</f>
        <v/>
      </c>
      <c r="U360" s="49">
        <f>IFERROR(SUMPRODUCT(((D360&lt;&gt;D340)*(E360="Y")*(F360&lt;&gt;F340)*(G360="Y")*(D360&lt;&gt;"")*(F360&lt;&gt;""))+((H360&lt;&gt;H340)*(I360="Y")*(J360&lt;&gt;J340)*(K360="Y")*(H360&lt;&gt;"")*(J360&lt;&gt;""))+((L360&lt;&gt;L340)*(M360="Y")*(N360&lt;&gt;N340)*(O360="Y")*(L360&lt;&gt;"")*(N360&lt;&gt;""))+((P360&lt;&gt;P340)*(Q360="Y")*(R360&lt;&gt;R340)*(S360="Y")*(P360&lt;&gt;"")*(R360&lt;&gt;""))),0)</f>
        <v/>
      </c>
      <c r="V360" s="37">
        <f>IFERROR(SUMPRODUCT(((D360=D340)*(E360="Y")*(F360&lt;&gt;F340)*(G360="Y")*(D360&lt;&gt;"")*(F360&lt;&gt;""))+((H360=H340)*(I360="Y")*(J360&lt;&gt;J340)*(K360="Y")*(H360&lt;&gt;"")*(J360&lt;&gt;""))+((L360=L340)*(M360="Y")*(N360&lt;&gt;N340)*(O360="Y")*(L360&lt;&gt;"")*(N360&lt;&gt;""))+((P360=P340)*(Q360="Y")*(R360&lt;&gt;R340)*(S360="Y")*(P360&lt;&gt;"")*(R360&lt;&gt;""))),0)</f>
        <v/>
      </c>
      <c r="W360" s="37">
        <f>IFERROR(SUMPRODUCT(((E360="N")*(D360&lt;&gt;"")*(F360&lt;&gt;""))+((I360="N")*(H360&lt;&gt;"")*(J360&lt;&gt;""))+((M360="N")*(L360&lt;&gt;"")*(N360&lt;&gt;""))+((Q360="N")*(P360&lt;&gt;"")*(R360&lt;&gt;""))),0)</f>
        <v/>
      </c>
      <c r="X360" s="50">
        <f>IFERROR(U360/4,0)</f>
        <v/>
      </c>
    </row>
    <row r="361" ht="18" customHeight="1">
      <c r="B361" s="46">
        <f>'📥 ข้อมูลนักเรียน'!B24</f>
        <v/>
      </c>
      <c r="C361" s="47">
        <f>'📥 ข้อมูลนักเรียน'!C24</f>
        <v/>
      </c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37">
        <f>IFERROR(SUMPRODUCT(((D361=D340)*(E361="Y")*(F361=F340)*(G361="Y")*(D361&lt;&gt;"")*(F361&lt;&gt;""))+((H361=H340)*(I361="Y")*(J361=J340)*(K361="Y")*(H361&lt;&gt;"")*(J361&lt;&gt;""))+((L361=L340)*(M361="Y")*(N361=N340)*(O361="Y")*(L361&lt;&gt;"")*(N361&lt;&gt;""))+((P361=P340)*(Q361="Y")*(R361=R340)*(S361="Y")*(P361&lt;&gt;"")*(R361&lt;&gt;""))),0)</f>
        <v/>
      </c>
      <c r="U361" s="49">
        <f>IFERROR(SUMPRODUCT(((D361&lt;&gt;D340)*(E361="Y")*(F361&lt;&gt;F340)*(G361="Y")*(D361&lt;&gt;"")*(F361&lt;&gt;""))+((H361&lt;&gt;H340)*(I361="Y")*(J361&lt;&gt;J340)*(K361="Y")*(H361&lt;&gt;"")*(J361&lt;&gt;""))+((L361&lt;&gt;L340)*(M361="Y")*(N361&lt;&gt;N340)*(O361="Y")*(L361&lt;&gt;"")*(N361&lt;&gt;""))+((P361&lt;&gt;P340)*(Q361="Y")*(R361&lt;&gt;R340)*(S361="Y")*(P361&lt;&gt;"")*(R361&lt;&gt;""))),0)</f>
        <v/>
      </c>
      <c r="V361" s="37">
        <f>IFERROR(SUMPRODUCT(((D361=D340)*(E361="Y")*(F361&lt;&gt;F340)*(G361="Y")*(D361&lt;&gt;"")*(F361&lt;&gt;""))+((H361=H340)*(I361="Y")*(J361&lt;&gt;J340)*(K361="Y")*(H361&lt;&gt;"")*(J361&lt;&gt;""))+((L361=L340)*(M361="Y")*(N361&lt;&gt;N340)*(O361="Y")*(L361&lt;&gt;"")*(N361&lt;&gt;""))+((P361=P340)*(Q361="Y")*(R361&lt;&gt;R340)*(S361="Y")*(P361&lt;&gt;"")*(R361&lt;&gt;""))),0)</f>
        <v/>
      </c>
      <c r="W361" s="37">
        <f>IFERROR(SUMPRODUCT(((E361="N")*(D361&lt;&gt;"")*(F361&lt;&gt;""))+((I361="N")*(H361&lt;&gt;"")*(J361&lt;&gt;""))+((M361="N")*(L361&lt;&gt;"")*(N361&lt;&gt;""))+((Q361="N")*(P361&lt;&gt;"")*(R361&lt;&gt;""))),0)</f>
        <v/>
      </c>
      <c r="X361" s="50">
        <f>IFERROR(U361/4,0)</f>
        <v/>
      </c>
    </row>
    <row r="362" ht="18" customHeight="1">
      <c r="B362" s="46">
        <f>'📥 ข้อมูลนักเรียน'!B25</f>
        <v/>
      </c>
      <c r="C362" s="51">
        <f>'📥 ข้อมูลนักเรียน'!C25</f>
        <v/>
      </c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37">
        <f>IFERROR(SUMPRODUCT(((D362=D340)*(E362="Y")*(F362=F340)*(G362="Y")*(D362&lt;&gt;"")*(F362&lt;&gt;""))+((H362=H340)*(I362="Y")*(J362=J340)*(K362="Y")*(H362&lt;&gt;"")*(J362&lt;&gt;""))+((L362=L340)*(M362="Y")*(N362=N340)*(O362="Y")*(L362&lt;&gt;"")*(N362&lt;&gt;""))+((P362=P340)*(Q362="Y")*(R362=R340)*(S362="Y")*(P362&lt;&gt;"")*(R362&lt;&gt;""))),0)</f>
        <v/>
      </c>
      <c r="U362" s="49">
        <f>IFERROR(SUMPRODUCT(((D362&lt;&gt;D340)*(E362="Y")*(F362&lt;&gt;F340)*(G362="Y")*(D362&lt;&gt;"")*(F362&lt;&gt;""))+((H362&lt;&gt;H340)*(I362="Y")*(J362&lt;&gt;J340)*(K362="Y")*(H362&lt;&gt;"")*(J362&lt;&gt;""))+((L362&lt;&gt;L340)*(M362="Y")*(N362&lt;&gt;N340)*(O362="Y")*(L362&lt;&gt;"")*(N362&lt;&gt;""))+((P362&lt;&gt;P340)*(Q362="Y")*(R362&lt;&gt;R340)*(S362="Y")*(P362&lt;&gt;"")*(R362&lt;&gt;""))),0)</f>
        <v/>
      </c>
      <c r="V362" s="37">
        <f>IFERROR(SUMPRODUCT(((D362=D340)*(E362="Y")*(F362&lt;&gt;F340)*(G362="Y")*(D362&lt;&gt;"")*(F362&lt;&gt;""))+((H362=H340)*(I362="Y")*(J362&lt;&gt;J340)*(K362="Y")*(H362&lt;&gt;"")*(J362&lt;&gt;""))+((L362=L340)*(M362="Y")*(N362&lt;&gt;N340)*(O362="Y")*(L362&lt;&gt;"")*(N362&lt;&gt;""))+((P362=P340)*(Q362="Y")*(R362&lt;&gt;R340)*(S362="Y")*(P362&lt;&gt;"")*(R362&lt;&gt;""))),0)</f>
        <v/>
      </c>
      <c r="W362" s="37">
        <f>IFERROR(SUMPRODUCT(((E362="N")*(D362&lt;&gt;"")*(F362&lt;&gt;""))+((I362="N")*(H362&lt;&gt;"")*(J362&lt;&gt;""))+((M362="N")*(L362&lt;&gt;"")*(N362&lt;&gt;""))+((Q362="N")*(P362&lt;&gt;"")*(R362&lt;&gt;""))),0)</f>
        <v/>
      </c>
      <c r="X362" s="50">
        <f>IFERROR(U362/4,0)</f>
        <v/>
      </c>
    </row>
    <row r="363" ht="18" customHeight="1">
      <c r="B363" s="46">
        <f>'📥 ข้อมูลนักเรียน'!B26</f>
        <v/>
      </c>
      <c r="C363" s="47">
        <f>'📥 ข้อมูลนักเรียน'!C26</f>
        <v/>
      </c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37">
        <f>IFERROR(SUMPRODUCT(((D363=D340)*(E363="Y")*(F363=F340)*(G363="Y")*(D363&lt;&gt;"")*(F363&lt;&gt;""))+((H363=H340)*(I363="Y")*(J363=J340)*(K363="Y")*(H363&lt;&gt;"")*(J363&lt;&gt;""))+((L363=L340)*(M363="Y")*(N363=N340)*(O363="Y")*(L363&lt;&gt;"")*(N363&lt;&gt;""))+((P363=P340)*(Q363="Y")*(R363=R340)*(S363="Y")*(P363&lt;&gt;"")*(R363&lt;&gt;""))),0)</f>
        <v/>
      </c>
      <c r="U363" s="49">
        <f>IFERROR(SUMPRODUCT(((D363&lt;&gt;D340)*(E363="Y")*(F363&lt;&gt;F340)*(G363="Y")*(D363&lt;&gt;"")*(F363&lt;&gt;""))+((H363&lt;&gt;H340)*(I363="Y")*(J363&lt;&gt;J340)*(K363="Y")*(H363&lt;&gt;"")*(J363&lt;&gt;""))+((L363&lt;&gt;L340)*(M363="Y")*(N363&lt;&gt;N340)*(O363="Y")*(L363&lt;&gt;"")*(N363&lt;&gt;""))+((P363&lt;&gt;P340)*(Q363="Y")*(R363&lt;&gt;R340)*(S363="Y")*(P363&lt;&gt;"")*(R363&lt;&gt;""))),0)</f>
        <v/>
      </c>
      <c r="V363" s="37">
        <f>IFERROR(SUMPRODUCT(((D363=D340)*(E363="Y")*(F363&lt;&gt;F340)*(G363="Y")*(D363&lt;&gt;"")*(F363&lt;&gt;""))+((H363=H340)*(I363="Y")*(J363&lt;&gt;J340)*(K363="Y")*(H363&lt;&gt;"")*(J363&lt;&gt;""))+((L363=L340)*(M363="Y")*(N363&lt;&gt;N340)*(O363="Y")*(L363&lt;&gt;"")*(N363&lt;&gt;""))+((P363=P340)*(Q363="Y")*(R363&lt;&gt;R340)*(S363="Y")*(P363&lt;&gt;"")*(R363&lt;&gt;""))),0)</f>
        <v/>
      </c>
      <c r="W363" s="37">
        <f>IFERROR(SUMPRODUCT(((E363="N")*(D363&lt;&gt;"")*(F363&lt;&gt;""))+((I363="N")*(H363&lt;&gt;"")*(J363&lt;&gt;""))+((M363="N")*(L363&lt;&gt;"")*(N363&lt;&gt;""))+((Q363="N")*(P363&lt;&gt;"")*(R363&lt;&gt;""))),0)</f>
        <v/>
      </c>
      <c r="X363" s="50">
        <f>IFERROR(U363/4,0)</f>
        <v/>
      </c>
    </row>
    <row r="364" ht="18" customHeight="1">
      <c r="B364" s="46">
        <f>'📥 ข้อมูลนักเรียน'!B27</f>
        <v/>
      </c>
      <c r="C364" s="51">
        <f>'📥 ข้อมูลนักเรียน'!C27</f>
        <v/>
      </c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37">
        <f>IFERROR(SUMPRODUCT(((D364=D340)*(E364="Y")*(F364=F340)*(G364="Y")*(D364&lt;&gt;"")*(F364&lt;&gt;""))+((H364=H340)*(I364="Y")*(J364=J340)*(K364="Y")*(H364&lt;&gt;"")*(J364&lt;&gt;""))+((L364=L340)*(M364="Y")*(N364=N340)*(O364="Y")*(L364&lt;&gt;"")*(N364&lt;&gt;""))+((P364=P340)*(Q364="Y")*(R364=R340)*(S364="Y")*(P364&lt;&gt;"")*(R364&lt;&gt;""))),0)</f>
        <v/>
      </c>
      <c r="U364" s="49">
        <f>IFERROR(SUMPRODUCT(((D364&lt;&gt;D340)*(E364="Y")*(F364&lt;&gt;F340)*(G364="Y")*(D364&lt;&gt;"")*(F364&lt;&gt;""))+((H364&lt;&gt;H340)*(I364="Y")*(J364&lt;&gt;J340)*(K364="Y")*(H364&lt;&gt;"")*(J364&lt;&gt;""))+((L364&lt;&gt;L340)*(M364="Y")*(N364&lt;&gt;N340)*(O364="Y")*(L364&lt;&gt;"")*(N364&lt;&gt;""))+((P364&lt;&gt;P340)*(Q364="Y")*(R364&lt;&gt;R340)*(S364="Y")*(P364&lt;&gt;"")*(R364&lt;&gt;""))),0)</f>
        <v/>
      </c>
      <c r="V364" s="37">
        <f>IFERROR(SUMPRODUCT(((D364=D340)*(E364="Y")*(F364&lt;&gt;F340)*(G364="Y")*(D364&lt;&gt;"")*(F364&lt;&gt;""))+((H364=H340)*(I364="Y")*(J364&lt;&gt;J340)*(K364="Y")*(H364&lt;&gt;"")*(J364&lt;&gt;""))+((L364=L340)*(M364="Y")*(N364&lt;&gt;N340)*(O364="Y")*(L364&lt;&gt;"")*(N364&lt;&gt;""))+((P364=P340)*(Q364="Y")*(R364&lt;&gt;R340)*(S364="Y")*(P364&lt;&gt;"")*(R364&lt;&gt;""))),0)</f>
        <v/>
      </c>
      <c r="W364" s="37">
        <f>IFERROR(SUMPRODUCT(((E364="N")*(D364&lt;&gt;"")*(F364&lt;&gt;""))+((I364="N")*(H364&lt;&gt;"")*(J364&lt;&gt;""))+((M364="N")*(L364&lt;&gt;"")*(N364&lt;&gt;""))+((Q364="N")*(P364&lt;&gt;"")*(R364&lt;&gt;""))),0)</f>
        <v/>
      </c>
      <c r="X364" s="50">
        <f>IFERROR(U364/4,0)</f>
        <v/>
      </c>
    </row>
    <row r="365" ht="18" customHeight="1">
      <c r="B365" s="46">
        <f>'📥 ข้อมูลนักเรียน'!B28</f>
        <v/>
      </c>
      <c r="C365" s="47">
        <f>'📥 ข้อมูลนักเรียน'!C28</f>
        <v/>
      </c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37">
        <f>IFERROR(SUMPRODUCT(((D365=D340)*(E365="Y")*(F365=F340)*(G365="Y")*(D365&lt;&gt;"")*(F365&lt;&gt;""))+((H365=H340)*(I365="Y")*(J365=J340)*(K365="Y")*(H365&lt;&gt;"")*(J365&lt;&gt;""))+((L365=L340)*(M365="Y")*(N365=N340)*(O365="Y")*(L365&lt;&gt;"")*(N365&lt;&gt;""))+((P365=P340)*(Q365="Y")*(R365=R340)*(S365="Y")*(P365&lt;&gt;"")*(R365&lt;&gt;""))),0)</f>
        <v/>
      </c>
      <c r="U365" s="49">
        <f>IFERROR(SUMPRODUCT(((D365&lt;&gt;D340)*(E365="Y")*(F365&lt;&gt;F340)*(G365="Y")*(D365&lt;&gt;"")*(F365&lt;&gt;""))+((H365&lt;&gt;H340)*(I365="Y")*(J365&lt;&gt;J340)*(K365="Y")*(H365&lt;&gt;"")*(J365&lt;&gt;""))+((L365&lt;&gt;L340)*(M365="Y")*(N365&lt;&gt;N340)*(O365="Y")*(L365&lt;&gt;"")*(N365&lt;&gt;""))+((P365&lt;&gt;P340)*(Q365="Y")*(R365&lt;&gt;R340)*(S365="Y")*(P365&lt;&gt;"")*(R365&lt;&gt;""))),0)</f>
        <v/>
      </c>
      <c r="V365" s="37">
        <f>IFERROR(SUMPRODUCT(((D365=D340)*(E365="Y")*(F365&lt;&gt;F340)*(G365="Y")*(D365&lt;&gt;"")*(F365&lt;&gt;""))+((H365=H340)*(I365="Y")*(J365&lt;&gt;J340)*(K365="Y")*(H365&lt;&gt;"")*(J365&lt;&gt;""))+((L365=L340)*(M365="Y")*(N365&lt;&gt;N340)*(O365="Y")*(L365&lt;&gt;"")*(N365&lt;&gt;""))+((P365=P340)*(Q365="Y")*(R365&lt;&gt;R340)*(S365="Y")*(P365&lt;&gt;"")*(R365&lt;&gt;""))),0)</f>
        <v/>
      </c>
      <c r="W365" s="37">
        <f>IFERROR(SUMPRODUCT(((E365="N")*(D365&lt;&gt;"")*(F365&lt;&gt;""))+((I365="N")*(H365&lt;&gt;"")*(J365&lt;&gt;""))+((M365="N")*(L365&lt;&gt;"")*(N365&lt;&gt;""))+((Q365="N")*(P365&lt;&gt;"")*(R365&lt;&gt;""))),0)</f>
        <v/>
      </c>
      <c r="X365" s="50">
        <f>IFERROR(U365/4,0)</f>
        <v/>
      </c>
    </row>
    <row r="366" ht="18" customHeight="1">
      <c r="B366" s="46">
        <f>'📥 ข้อมูลนักเรียน'!B29</f>
        <v/>
      </c>
      <c r="C366" s="51">
        <f>'📥 ข้อมูลนักเรียน'!C29</f>
        <v/>
      </c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37">
        <f>IFERROR(SUMPRODUCT(((D366=D340)*(E366="Y")*(F366=F340)*(G366="Y")*(D366&lt;&gt;"")*(F366&lt;&gt;""))+((H366=H340)*(I366="Y")*(J366=J340)*(K366="Y")*(H366&lt;&gt;"")*(J366&lt;&gt;""))+((L366=L340)*(M366="Y")*(N366=N340)*(O366="Y")*(L366&lt;&gt;"")*(N366&lt;&gt;""))+((P366=P340)*(Q366="Y")*(R366=R340)*(S366="Y")*(P366&lt;&gt;"")*(R366&lt;&gt;""))),0)</f>
        <v/>
      </c>
      <c r="U366" s="49">
        <f>IFERROR(SUMPRODUCT(((D366&lt;&gt;D340)*(E366="Y")*(F366&lt;&gt;F340)*(G366="Y")*(D366&lt;&gt;"")*(F366&lt;&gt;""))+((H366&lt;&gt;H340)*(I366="Y")*(J366&lt;&gt;J340)*(K366="Y")*(H366&lt;&gt;"")*(J366&lt;&gt;""))+((L366&lt;&gt;L340)*(M366="Y")*(N366&lt;&gt;N340)*(O366="Y")*(L366&lt;&gt;"")*(N366&lt;&gt;""))+((P366&lt;&gt;P340)*(Q366="Y")*(R366&lt;&gt;R340)*(S366="Y")*(P366&lt;&gt;"")*(R366&lt;&gt;""))),0)</f>
        <v/>
      </c>
      <c r="V366" s="37">
        <f>IFERROR(SUMPRODUCT(((D366=D340)*(E366="Y")*(F366&lt;&gt;F340)*(G366="Y")*(D366&lt;&gt;"")*(F366&lt;&gt;""))+((H366=H340)*(I366="Y")*(J366&lt;&gt;J340)*(K366="Y")*(H366&lt;&gt;"")*(J366&lt;&gt;""))+((L366=L340)*(M366="Y")*(N366&lt;&gt;N340)*(O366="Y")*(L366&lt;&gt;"")*(N366&lt;&gt;""))+((P366=P340)*(Q366="Y")*(R366&lt;&gt;R340)*(S366="Y")*(P366&lt;&gt;"")*(R366&lt;&gt;""))),0)</f>
        <v/>
      </c>
      <c r="W366" s="37">
        <f>IFERROR(SUMPRODUCT(((E366="N")*(D366&lt;&gt;"")*(F366&lt;&gt;""))+((I366="N")*(H366&lt;&gt;"")*(J366&lt;&gt;""))+((M366="N")*(L366&lt;&gt;"")*(N366&lt;&gt;""))+((Q366="N")*(P366&lt;&gt;"")*(R366&lt;&gt;""))),0)</f>
        <v/>
      </c>
      <c r="X366" s="50">
        <f>IFERROR(U366/4,0)</f>
        <v/>
      </c>
    </row>
    <row r="367" ht="18" customHeight="1">
      <c r="B367" s="46">
        <f>'📥 ข้อมูลนักเรียน'!B30</f>
        <v/>
      </c>
      <c r="C367" s="47">
        <f>'📥 ข้อมูลนักเรียน'!C30</f>
        <v/>
      </c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37">
        <f>IFERROR(SUMPRODUCT(((D367=D340)*(E367="Y")*(F367=F340)*(G367="Y")*(D367&lt;&gt;"")*(F367&lt;&gt;""))+((H367=H340)*(I367="Y")*(J367=J340)*(K367="Y")*(H367&lt;&gt;"")*(J367&lt;&gt;""))+((L367=L340)*(M367="Y")*(N367=N340)*(O367="Y")*(L367&lt;&gt;"")*(N367&lt;&gt;""))+((P367=P340)*(Q367="Y")*(R367=R340)*(S367="Y")*(P367&lt;&gt;"")*(R367&lt;&gt;""))),0)</f>
        <v/>
      </c>
      <c r="U367" s="49">
        <f>IFERROR(SUMPRODUCT(((D367&lt;&gt;D340)*(E367="Y")*(F367&lt;&gt;F340)*(G367="Y")*(D367&lt;&gt;"")*(F367&lt;&gt;""))+((H367&lt;&gt;H340)*(I367="Y")*(J367&lt;&gt;J340)*(K367="Y")*(H367&lt;&gt;"")*(J367&lt;&gt;""))+((L367&lt;&gt;L340)*(M367="Y")*(N367&lt;&gt;N340)*(O367="Y")*(L367&lt;&gt;"")*(N367&lt;&gt;""))+((P367&lt;&gt;P340)*(Q367="Y")*(R367&lt;&gt;R340)*(S367="Y")*(P367&lt;&gt;"")*(R367&lt;&gt;""))),0)</f>
        <v/>
      </c>
      <c r="V367" s="37">
        <f>IFERROR(SUMPRODUCT(((D367=D340)*(E367="Y")*(F367&lt;&gt;F340)*(G367="Y")*(D367&lt;&gt;"")*(F367&lt;&gt;""))+((H367=H340)*(I367="Y")*(J367&lt;&gt;J340)*(K367="Y")*(H367&lt;&gt;"")*(J367&lt;&gt;""))+((L367=L340)*(M367="Y")*(N367&lt;&gt;N340)*(O367="Y")*(L367&lt;&gt;"")*(N367&lt;&gt;""))+((P367=P340)*(Q367="Y")*(R367&lt;&gt;R340)*(S367="Y")*(P367&lt;&gt;"")*(R367&lt;&gt;""))),0)</f>
        <v/>
      </c>
      <c r="W367" s="37">
        <f>IFERROR(SUMPRODUCT(((E367="N")*(D367&lt;&gt;"")*(F367&lt;&gt;""))+((I367="N")*(H367&lt;&gt;"")*(J367&lt;&gt;""))+((M367="N")*(L367&lt;&gt;"")*(N367&lt;&gt;""))+((Q367="N")*(P367&lt;&gt;"")*(R367&lt;&gt;""))),0)</f>
        <v/>
      </c>
      <c r="X367" s="50">
        <f>IFERROR(U367/4,0)</f>
        <v/>
      </c>
    </row>
    <row r="368" ht="18" customHeight="1">
      <c r="B368" s="46">
        <f>'📥 ข้อมูลนักเรียน'!B31</f>
        <v/>
      </c>
      <c r="C368" s="51">
        <f>'📥 ข้อมูลนักเรียน'!C31</f>
        <v/>
      </c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37">
        <f>IFERROR(SUMPRODUCT(((D368=D340)*(E368="Y")*(F368=F340)*(G368="Y")*(D368&lt;&gt;"")*(F368&lt;&gt;""))+((H368=H340)*(I368="Y")*(J368=J340)*(K368="Y")*(H368&lt;&gt;"")*(J368&lt;&gt;""))+((L368=L340)*(M368="Y")*(N368=N340)*(O368="Y")*(L368&lt;&gt;"")*(N368&lt;&gt;""))+((P368=P340)*(Q368="Y")*(R368=R340)*(S368="Y")*(P368&lt;&gt;"")*(R368&lt;&gt;""))),0)</f>
        <v/>
      </c>
      <c r="U368" s="49">
        <f>IFERROR(SUMPRODUCT(((D368&lt;&gt;D340)*(E368="Y")*(F368&lt;&gt;F340)*(G368="Y")*(D368&lt;&gt;"")*(F368&lt;&gt;""))+((H368&lt;&gt;H340)*(I368="Y")*(J368&lt;&gt;J340)*(K368="Y")*(H368&lt;&gt;"")*(J368&lt;&gt;""))+((L368&lt;&gt;L340)*(M368="Y")*(N368&lt;&gt;N340)*(O368="Y")*(L368&lt;&gt;"")*(N368&lt;&gt;""))+((P368&lt;&gt;P340)*(Q368="Y")*(R368&lt;&gt;R340)*(S368="Y")*(P368&lt;&gt;"")*(R368&lt;&gt;""))),0)</f>
        <v/>
      </c>
      <c r="V368" s="37">
        <f>IFERROR(SUMPRODUCT(((D368=D340)*(E368="Y")*(F368&lt;&gt;F340)*(G368="Y")*(D368&lt;&gt;"")*(F368&lt;&gt;""))+((H368=H340)*(I368="Y")*(J368&lt;&gt;J340)*(K368="Y")*(H368&lt;&gt;"")*(J368&lt;&gt;""))+((L368=L340)*(M368="Y")*(N368&lt;&gt;N340)*(O368="Y")*(L368&lt;&gt;"")*(N368&lt;&gt;""))+((P368=P340)*(Q368="Y")*(R368&lt;&gt;R340)*(S368="Y")*(P368&lt;&gt;"")*(R368&lt;&gt;""))),0)</f>
        <v/>
      </c>
      <c r="W368" s="37">
        <f>IFERROR(SUMPRODUCT(((E368="N")*(D368&lt;&gt;"")*(F368&lt;&gt;""))+((I368="N")*(H368&lt;&gt;"")*(J368&lt;&gt;""))+((M368="N")*(L368&lt;&gt;"")*(N368&lt;&gt;""))+((Q368="N")*(P368&lt;&gt;"")*(R368&lt;&gt;""))),0)</f>
        <v/>
      </c>
      <c r="X368" s="50">
        <f>IFERROR(U368/4,0)</f>
        <v/>
      </c>
    </row>
    <row r="369" ht="18" customHeight="1">
      <c r="B369" s="46">
        <f>'📥 ข้อมูลนักเรียน'!B32</f>
        <v/>
      </c>
      <c r="C369" s="47">
        <f>'📥 ข้อมูลนักเรียน'!C32</f>
        <v/>
      </c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37">
        <f>IFERROR(SUMPRODUCT(((D369=D340)*(E369="Y")*(F369=F340)*(G369="Y")*(D369&lt;&gt;"")*(F369&lt;&gt;""))+((H369=H340)*(I369="Y")*(J369=J340)*(K369="Y")*(H369&lt;&gt;"")*(J369&lt;&gt;""))+((L369=L340)*(M369="Y")*(N369=N340)*(O369="Y")*(L369&lt;&gt;"")*(N369&lt;&gt;""))+((P369=P340)*(Q369="Y")*(R369=R340)*(S369="Y")*(P369&lt;&gt;"")*(R369&lt;&gt;""))),0)</f>
        <v/>
      </c>
      <c r="U369" s="49">
        <f>IFERROR(SUMPRODUCT(((D369&lt;&gt;D340)*(E369="Y")*(F369&lt;&gt;F340)*(G369="Y")*(D369&lt;&gt;"")*(F369&lt;&gt;""))+((H369&lt;&gt;H340)*(I369="Y")*(J369&lt;&gt;J340)*(K369="Y")*(H369&lt;&gt;"")*(J369&lt;&gt;""))+((L369&lt;&gt;L340)*(M369="Y")*(N369&lt;&gt;N340)*(O369="Y")*(L369&lt;&gt;"")*(N369&lt;&gt;""))+((P369&lt;&gt;P340)*(Q369="Y")*(R369&lt;&gt;R340)*(S369="Y")*(P369&lt;&gt;"")*(R369&lt;&gt;""))),0)</f>
        <v/>
      </c>
      <c r="V369" s="37">
        <f>IFERROR(SUMPRODUCT(((D369=D340)*(E369="Y")*(F369&lt;&gt;F340)*(G369="Y")*(D369&lt;&gt;"")*(F369&lt;&gt;""))+((H369=H340)*(I369="Y")*(J369&lt;&gt;J340)*(K369="Y")*(H369&lt;&gt;"")*(J369&lt;&gt;""))+((L369=L340)*(M369="Y")*(N369&lt;&gt;N340)*(O369="Y")*(L369&lt;&gt;"")*(N369&lt;&gt;""))+((P369=P340)*(Q369="Y")*(R369&lt;&gt;R340)*(S369="Y")*(P369&lt;&gt;"")*(R369&lt;&gt;""))),0)</f>
        <v/>
      </c>
      <c r="W369" s="37">
        <f>IFERROR(SUMPRODUCT(((E369="N")*(D369&lt;&gt;"")*(F369&lt;&gt;""))+((I369="N")*(H369&lt;&gt;"")*(J369&lt;&gt;""))+((M369="N")*(L369&lt;&gt;"")*(N369&lt;&gt;""))+((Q369="N")*(P369&lt;&gt;"")*(R369&lt;&gt;""))),0)</f>
        <v/>
      </c>
      <c r="X369" s="50">
        <f>IFERROR(U369/4,0)</f>
        <v/>
      </c>
    </row>
    <row r="370" ht="18" customHeight="1">
      <c r="B370" s="46">
        <f>'📥 ข้อมูลนักเรียน'!B33</f>
        <v/>
      </c>
      <c r="C370" s="51">
        <f>'📥 ข้อมูลนักเรียน'!C33</f>
        <v/>
      </c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37">
        <f>IFERROR(SUMPRODUCT(((D370=D340)*(E370="Y")*(F370=F340)*(G370="Y")*(D370&lt;&gt;"")*(F370&lt;&gt;""))+((H370=H340)*(I370="Y")*(J370=J340)*(K370="Y")*(H370&lt;&gt;"")*(J370&lt;&gt;""))+((L370=L340)*(M370="Y")*(N370=N340)*(O370="Y")*(L370&lt;&gt;"")*(N370&lt;&gt;""))+((P370=P340)*(Q370="Y")*(R370=R340)*(S370="Y")*(P370&lt;&gt;"")*(R370&lt;&gt;""))),0)</f>
        <v/>
      </c>
      <c r="U370" s="49">
        <f>IFERROR(SUMPRODUCT(((D370&lt;&gt;D340)*(E370="Y")*(F370&lt;&gt;F340)*(G370="Y")*(D370&lt;&gt;"")*(F370&lt;&gt;""))+((H370&lt;&gt;H340)*(I370="Y")*(J370&lt;&gt;J340)*(K370="Y")*(H370&lt;&gt;"")*(J370&lt;&gt;""))+((L370&lt;&gt;L340)*(M370="Y")*(N370&lt;&gt;N340)*(O370="Y")*(L370&lt;&gt;"")*(N370&lt;&gt;""))+((P370&lt;&gt;P340)*(Q370="Y")*(R370&lt;&gt;R340)*(S370="Y")*(P370&lt;&gt;"")*(R370&lt;&gt;""))),0)</f>
        <v/>
      </c>
      <c r="V370" s="37">
        <f>IFERROR(SUMPRODUCT(((D370=D340)*(E370="Y")*(F370&lt;&gt;F340)*(G370="Y")*(D370&lt;&gt;"")*(F370&lt;&gt;""))+((H370=H340)*(I370="Y")*(J370&lt;&gt;J340)*(K370="Y")*(H370&lt;&gt;"")*(J370&lt;&gt;""))+((L370=L340)*(M370="Y")*(N370&lt;&gt;N340)*(O370="Y")*(L370&lt;&gt;"")*(N370&lt;&gt;""))+((P370=P340)*(Q370="Y")*(R370&lt;&gt;R340)*(S370="Y")*(P370&lt;&gt;"")*(R370&lt;&gt;""))),0)</f>
        <v/>
      </c>
      <c r="W370" s="37">
        <f>IFERROR(SUMPRODUCT(((E370="N")*(D370&lt;&gt;"")*(F370&lt;&gt;""))+((I370="N")*(H370&lt;&gt;"")*(J370&lt;&gt;""))+((M370="N")*(L370&lt;&gt;"")*(N370&lt;&gt;""))+((Q370="N")*(P370&lt;&gt;"")*(R370&lt;&gt;""))),0)</f>
        <v/>
      </c>
      <c r="X370" s="50">
        <f>IFERROR(U370/4,0)</f>
        <v/>
      </c>
    </row>
    <row r="371" ht="18" customHeight="1">
      <c r="B371" s="46">
        <f>'📥 ข้อมูลนักเรียน'!B34</f>
        <v/>
      </c>
      <c r="C371" s="47">
        <f>'📥 ข้อมูลนักเรียน'!C34</f>
        <v/>
      </c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37">
        <f>IFERROR(SUMPRODUCT(((D371=D340)*(E371="Y")*(F371=F340)*(G371="Y")*(D371&lt;&gt;"")*(F371&lt;&gt;""))+((H371=H340)*(I371="Y")*(J371=J340)*(K371="Y")*(H371&lt;&gt;"")*(J371&lt;&gt;""))+((L371=L340)*(M371="Y")*(N371=N340)*(O371="Y")*(L371&lt;&gt;"")*(N371&lt;&gt;""))+((P371=P340)*(Q371="Y")*(R371=R340)*(S371="Y")*(P371&lt;&gt;"")*(R371&lt;&gt;""))),0)</f>
        <v/>
      </c>
      <c r="U371" s="49">
        <f>IFERROR(SUMPRODUCT(((D371&lt;&gt;D340)*(E371="Y")*(F371&lt;&gt;F340)*(G371="Y")*(D371&lt;&gt;"")*(F371&lt;&gt;""))+((H371&lt;&gt;H340)*(I371="Y")*(J371&lt;&gt;J340)*(K371="Y")*(H371&lt;&gt;"")*(J371&lt;&gt;""))+((L371&lt;&gt;L340)*(M371="Y")*(N371&lt;&gt;N340)*(O371="Y")*(L371&lt;&gt;"")*(N371&lt;&gt;""))+((P371&lt;&gt;P340)*(Q371="Y")*(R371&lt;&gt;R340)*(S371="Y")*(P371&lt;&gt;"")*(R371&lt;&gt;""))),0)</f>
        <v/>
      </c>
      <c r="V371" s="37">
        <f>IFERROR(SUMPRODUCT(((D371=D340)*(E371="Y")*(F371&lt;&gt;F340)*(G371="Y")*(D371&lt;&gt;"")*(F371&lt;&gt;""))+((H371=H340)*(I371="Y")*(J371&lt;&gt;J340)*(K371="Y")*(H371&lt;&gt;"")*(J371&lt;&gt;""))+((L371=L340)*(M371="Y")*(N371&lt;&gt;N340)*(O371="Y")*(L371&lt;&gt;"")*(N371&lt;&gt;""))+((P371=P340)*(Q371="Y")*(R371&lt;&gt;R340)*(S371="Y")*(P371&lt;&gt;"")*(R371&lt;&gt;""))),0)</f>
        <v/>
      </c>
      <c r="W371" s="37">
        <f>IFERROR(SUMPRODUCT(((E371="N")*(D371&lt;&gt;"")*(F371&lt;&gt;""))+((I371="N")*(H371&lt;&gt;"")*(J371&lt;&gt;""))+((M371="N")*(L371&lt;&gt;"")*(N371&lt;&gt;""))+((Q371="N")*(P371&lt;&gt;"")*(R371&lt;&gt;""))),0)</f>
        <v/>
      </c>
      <c r="X371" s="50">
        <f>IFERROR(U371/4,0)</f>
        <v/>
      </c>
    </row>
    <row r="372" ht="18" customHeight="1">
      <c r="B372" s="46">
        <f>'📥 ข้อมูลนักเรียน'!B35</f>
        <v/>
      </c>
      <c r="C372" s="51">
        <f>'📥 ข้อมูลนักเรียน'!C35</f>
        <v/>
      </c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37">
        <f>IFERROR(SUMPRODUCT(((D372=D340)*(E372="Y")*(F372=F340)*(G372="Y")*(D372&lt;&gt;"")*(F372&lt;&gt;""))+((H372=H340)*(I372="Y")*(J372=J340)*(K372="Y")*(H372&lt;&gt;"")*(J372&lt;&gt;""))+((L372=L340)*(M372="Y")*(N372=N340)*(O372="Y")*(L372&lt;&gt;"")*(N372&lt;&gt;""))+((P372=P340)*(Q372="Y")*(R372=R340)*(S372="Y")*(P372&lt;&gt;"")*(R372&lt;&gt;""))),0)</f>
        <v/>
      </c>
      <c r="U372" s="49">
        <f>IFERROR(SUMPRODUCT(((D372&lt;&gt;D340)*(E372="Y")*(F372&lt;&gt;F340)*(G372="Y")*(D372&lt;&gt;"")*(F372&lt;&gt;""))+((H372&lt;&gt;H340)*(I372="Y")*(J372&lt;&gt;J340)*(K372="Y")*(H372&lt;&gt;"")*(J372&lt;&gt;""))+((L372&lt;&gt;L340)*(M372="Y")*(N372&lt;&gt;N340)*(O372="Y")*(L372&lt;&gt;"")*(N372&lt;&gt;""))+((P372&lt;&gt;P340)*(Q372="Y")*(R372&lt;&gt;R340)*(S372="Y")*(P372&lt;&gt;"")*(R372&lt;&gt;""))),0)</f>
        <v/>
      </c>
      <c r="V372" s="37">
        <f>IFERROR(SUMPRODUCT(((D372=D340)*(E372="Y")*(F372&lt;&gt;F340)*(G372="Y")*(D372&lt;&gt;"")*(F372&lt;&gt;""))+((H372=H340)*(I372="Y")*(J372&lt;&gt;J340)*(K372="Y")*(H372&lt;&gt;"")*(J372&lt;&gt;""))+((L372=L340)*(M372="Y")*(N372&lt;&gt;N340)*(O372="Y")*(L372&lt;&gt;"")*(N372&lt;&gt;""))+((P372=P340)*(Q372="Y")*(R372&lt;&gt;R340)*(S372="Y")*(P372&lt;&gt;"")*(R372&lt;&gt;""))),0)</f>
        <v/>
      </c>
      <c r="W372" s="37">
        <f>IFERROR(SUMPRODUCT(((E372="N")*(D372&lt;&gt;"")*(F372&lt;&gt;""))+((I372="N")*(H372&lt;&gt;"")*(J372&lt;&gt;""))+((M372="N")*(L372&lt;&gt;"")*(N372&lt;&gt;""))+((Q372="N")*(P372&lt;&gt;"")*(R372&lt;&gt;""))),0)</f>
        <v/>
      </c>
      <c r="X372" s="50">
        <f>IFERROR(U372/4,0)</f>
        <v/>
      </c>
    </row>
    <row r="373" ht="18" customHeight="1">
      <c r="B373" s="46">
        <f>'📥 ข้อมูลนักเรียน'!B36</f>
        <v/>
      </c>
      <c r="C373" s="47">
        <f>'📥 ข้อมูลนักเรียน'!C36</f>
        <v/>
      </c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37">
        <f>IFERROR(SUMPRODUCT(((D373=D340)*(E373="Y")*(F373=F340)*(G373="Y")*(D373&lt;&gt;"")*(F373&lt;&gt;""))+((H373=H340)*(I373="Y")*(J373=J340)*(K373="Y")*(H373&lt;&gt;"")*(J373&lt;&gt;""))+((L373=L340)*(M373="Y")*(N373=N340)*(O373="Y")*(L373&lt;&gt;"")*(N373&lt;&gt;""))+((P373=P340)*(Q373="Y")*(R373=R340)*(S373="Y")*(P373&lt;&gt;"")*(R373&lt;&gt;""))),0)</f>
        <v/>
      </c>
      <c r="U373" s="49">
        <f>IFERROR(SUMPRODUCT(((D373&lt;&gt;D340)*(E373="Y")*(F373&lt;&gt;F340)*(G373="Y")*(D373&lt;&gt;"")*(F373&lt;&gt;""))+((H373&lt;&gt;H340)*(I373="Y")*(J373&lt;&gt;J340)*(K373="Y")*(H373&lt;&gt;"")*(J373&lt;&gt;""))+((L373&lt;&gt;L340)*(M373="Y")*(N373&lt;&gt;N340)*(O373="Y")*(L373&lt;&gt;"")*(N373&lt;&gt;""))+((P373&lt;&gt;P340)*(Q373="Y")*(R373&lt;&gt;R340)*(S373="Y")*(P373&lt;&gt;"")*(R373&lt;&gt;""))),0)</f>
        <v/>
      </c>
      <c r="V373" s="37">
        <f>IFERROR(SUMPRODUCT(((D373=D340)*(E373="Y")*(F373&lt;&gt;F340)*(G373="Y")*(D373&lt;&gt;"")*(F373&lt;&gt;""))+((H373=H340)*(I373="Y")*(J373&lt;&gt;J340)*(K373="Y")*(H373&lt;&gt;"")*(J373&lt;&gt;""))+((L373=L340)*(M373="Y")*(N373&lt;&gt;N340)*(O373="Y")*(L373&lt;&gt;"")*(N373&lt;&gt;""))+((P373=P340)*(Q373="Y")*(R373&lt;&gt;R340)*(S373="Y")*(P373&lt;&gt;"")*(R373&lt;&gt;""))),0)</f>
        <v/>
      </c>
      <c r="W373" s="37">
        <f>IFERROR(SUMPRODUCT(((E373="N")*(D373&lt;&gt;"")*(F373&lt;&gt;""))+((I373="N")*(H373&lt;&gt;"")*(J373&lt;&gt;""))+((M373="N")*(L373&lt;&gt;"")*(N373&lt;&gt;""))+((Q373="N")*(P373&lt;&gt;"")*(R373&lt;&gt;""))),0)</f>
        <v/>
      </c>
      <c r="X373" s="50">
        <f>IFERROR(U373/4,0)</f>
        <v/>
      </c>
    </row>
    <row r="374" ht="18" customHeight="1">
      <c r="B374" s="46">
        <f>'📥 ข้อมูลนักเรียน'!B37</f>
        <v/>
      </c>
      <c r="C374" s="51">
        <f>'📥 ข้อมูลนักเรียน'!C37</f>
        <v/>
      </c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37">
        <f>IFERROR(SUMPRODUCT(((D374=D340)*(E374="Y")*(F374=F340)*(G374="Y")*(D374&lt;&gt;"")*(F374&lt;&gt;""))+((H374=H340)*(I374="Y")*(J374=J340)*(K374="Y")*(H374&lt;&gt;"")*(J374&lt;&gt;""))+((L374=L340)*(M374="Y")*(N374=N340)*(O374="Y")*(L374&lt;&gt;"")*(N374&lt;&gt;""))+((P374=P340)*(Q374="Y")*(R374=R340)*(S374="Y")*(P374&lt;&gt;"")*(R374&lt;&gt;""))),0)</f>
        <v/>
      </c>
      <c r="U374" s="49">
        <f>IFERROR(SUMPRODUCT(((D374&lt;&gt;D340)*(E374="Y")*(F374&lt;&gt;F340)*(G374="Y")*(D374&lt;&gt;"")*(F374&lt;&gt;""))+((H374&lt;&gt;H340)*(I374="Y")*(J374&lt;&gt;J340)*(K374="Y")*(H374&lt;&gt;"")*(J374&lt;&gt;""))+((L374&lt;&gt;L340)*(M374="Y")*(N374&lt;&gt;N340)*(O374="Y")*(L374&lt;&gt;"")*(N374&lt;&gt;""))+((P374&lt;&gt;P340)*(Q374="Y")*(R374&lt;&gt;R340)*(S374="Y")*(P374&lt;&gt;"")*(R374&lt;&gt;""))),0)</f>
        <v/>
      </c>
      <c r="V374" s="37">
        <f>IFERROR(SUMPRODUCT(((D374=D340)*(E374="Y")*(F374&lt;&gt;F340)*(G374="Y")*(D374&lt;&gt;"")*(F374&lt;&gt;""))+((H374=H340)*(I374="Y")*(J374&lt;&gt;J340)*(K374="Y")*(H374&lt;&gt;"")*(J374&lt;&gt;""))+((L374=L340)*(M374="Y")*(N374&lt;&gt;N340)*(O374="Y")*(L374&lt;&gt;"")*(N374&lt;&gt;""))+((P374=P340)*(Q374="Y")*(R374&lt;&gt;R340)*(S374="Y")*(P374&lt;&gt;"")*(R374&lt;&gt;""))),0)</f>
        <v/>
      </c>
      <c r="W374" s="37">
        <f>IFERROR(SUMPRODUCT(((E374="N")*(D374&lt;&gt;"")*(F374&lt;&gt;""))+((I374="N")*(H374&lt;&gt;"")*(J374&lt;&gt;""))+((M374="N")*(L374&lt;&gt;"")*(N374&lt;&gt;""))+((Q374="N")*(P374&lt;&gt;"")*(R374&lt;&gt;""))),0)</f>
        <v/>
      </c>
      <c r="X374" s="50">
        <f>IFERROR(U374/4,0)</f>
        <v/>
      </c>
    </row>
    <row r="375" ht="18" customHeight="1">
      <c r="B375" s="46">
        <f>'📥 ข้อมูลนักเรียน'!B38</f>
        <v/>
      </c>
      <c r="C375" s="47">
        <f>'📥 ข้อมูลนักเรียน'!C38</f>
        <v/>
      </c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37">
        <f>IFERROR(SUMPRODUCT(((D375=D340)*(E375="Y")*(F375=F340)*(G375="Y")*(D375&lt;&gt;"")*(F375&lt;&gt;""))+((H375=H340)*(I375="Y")*(J375=J340)*(K375="Y")*(H375&lt;&gt;"")*(J375&lt;&gt;""))+((L375=L340)*(M375="Y")*(N375=N340)*(O375="Y")*(L375&lt;&gt;"")*(N375&lt;&gt;""))+((P375=P340)*(Q375="Y")*(R375=R340)*(S375="Y")*(P375&lt;&gt;"")*(R375&lt;&gt;""))),0)</f>
        <v/>
      </c>
      <c r="U375" s="49">
        <f>IFERROR(SUMPRODUCT(((D375&lt;&gt;D340)*(E375="Y")*(F375&lt;&gt;F340)*(G375="Y")*(D375&lt;&gt;"")*(F375&lt;&gt;""))+((H375&lt;&gt;H340)*(I375="Y")*(J375&lt;&gt;J340)*(K375="Y")*(H375&lt;&gt;"")*(J375&lt;&gt;""))+((L375&lt;&gt;L340)*(M375="Y")*(N375&lt;&gt;N340)*(O375="Y")*(L375&lt;&gt;"")*(N375&lt;&gt;""))+((P375&lt;&gt;P340)*(Q375="Y")*(R375&lt;&gt;R340)*(S375="Y")*(P375&lt;&gt;"")*(R375&lt;&gt;""))),0)</f>
        <v/>
      </c>
      <c r="V375" s="37">
        <f>IFERROR(SUMPRODUCT(((D375=D340)*(E375="Y")*(F375&lt;&gt;F340)*(G375="Y")*(D375&lt;&gt;"")*(F375&lt;&gt;""))+((H375=H340)*(I375="Y")*(J375&lt;&gt;J340)*(K375="Y")*(H375&lt;&gt;"")*(J375&lt;&gt;""))+((L375=L340)*(M375="Y")*(N375&lt;&gt;N340)*(O375="Y")*(L375&lt;&gt;"")*(N375&lt;&gt;""))+((P375=P340)*(Q375="Y")*(R375&lt;&gt;R340)*(S375="Y")*(P375&lt;&gt;"")*(R375&lt;&gt;""))),0)</f>
        <v/>
      </c>
      <c r="W375" s="37">
        <f>IFERROR(SUMPRODUCT(((E375="N")*(D375&lt;&gt;"")*(F375&lt;&gt;""))+((I375="N")*(H375&lt;&gt;"")*(J375&lt;&gt;""))+((M375="N")*(L375&lt;&gt;"")*(N375&lt;&gt;""))+((Q375="N")*(P375&lt;&gt;"")*(R375&lt;&gt;""))),0)</f>
        <v/>
      </c>
      <c r="X375" s="50">
        <f>IFERROR(U375/4,0)</f>
        <v/>
      </c>
    </row>
    <row r="376" ht="24" customHeight="1">
      <c r="B376" s="226" t="inlineStr">
        <is>
          <t>สรุป Post แผน 5</t>
        </is>
      </c>
      <c r="C376" s="369" t="n"/>
      <c r="T376" s="52">
        <f>IFERROR(AVERAGE(T341:T375)*4,0)</f>
        <v/>
      </c>
      <c r="U376" s="53">
        <f>IFERROR(AVERAGE(U341:U375)*4,0)</f>
        <v/>
      </c>
      <c r="V376" s="54">
        <f>IFERROR(AVERAGE(V341:V375)*4,0)</f>
        <v/>
      </c>
      <c r="W376" s="55">
        <f>IFERROR(AVERAGE(W341:W375)*4,0)</f>
        <v/>
      </c>
      <c r="X376" s="56">
        <f>IFERROR(AVERAGE(X341:X375),0)</f>
        <v/>
      </c>
    </row>
    <row r="377" ht="7.5" customHeight="1"/>
    <row r="378" ht="21.75" customHeight="1">
      <c r="B378" s="247" t="inlineStr">
        <is>
          <t>▌ แผนที่ 6  |  คาบที่ 11–12  |  Misconception: M_ref  |  ข้อที่ 21–24</t>
        </is>
      </c>
      <c r="C378" s="381" t="n"/>
      <c r="D378" s="381" t="n"/>
      <c r="E378" s="381" t="n"/>
      <c r="F378" s="381" t="n"/>
      <c r="G378" s="381" t="n"/>
      <c r="H378" s="381" t="n"/>
      <c r="I378" s="381" t="n"/>
      <c r="J378" s="381" t="n"/>
      <c r="K378" s="381" t="n"/>
      <c r="L378" s="381" t="n"/>
      <c r="M378" s="381" t="n"/>
      <c r="N378" s="381" t="n"/>
      <c r="O378" s="381" t="n"/>
      <c r="P378" s="381" t="n"/>
      <c r="Q378" s="381" t="n"/>
      <c r="R378" s="381" t="n"/>
      <c r="S378" s="381" t="n"/>
      <c r="T378" s="381" t="n"/>
      <c r="U378" s="381" t="n"/>
      <c r="V378" s="381" t="n"/>
      <c r="W378" s="381" t="n"/>
      <c r="X378" s="381" t="n"/>
    </row>
    <row r="379" ht="15.75" customHeight="1">
      <c r="B379" s="248" t="inlineStr">
        <is>
          <t xml:space="preserve">   📍 M_ref: คลื่นสะท้อนปลายตรึงเฟสคงเดิม</t>
        </is>
      </c>
    </row>
    <row r="380" ht="19.5" customHeight="1">
      <c r="B380" s="238" t="inlineStr">
        <is>
          <t>🔵 PRE-test — ก่อนสอน  (แผน 6 ข้อ 21–24)</t>
        </is>
      </c>
    </row>
    <row r="381" ht="27.75" customHeight="1">
      <c r="B381" s="39" t="inlineStr">
        <is>
          <t>ที่</t>
        </is>
      </c>
      <c r="C381" s="39" t="inlineStr">
        <is>
          <t>ชื่อนักเรียน</t>
        </is>
      </c>
      <c r="D381" s="239" t="inlineStr">
        <is>
          <t>ข้อ 21</t>
        </is>
      </c>
      <c r="E381" s="369" t="n"/>
      <c r="F381" s="369" t="n"/>
      <c r="G381" s="369" t="n"/>
      <c r="H381" s="239" t="inlineStr">
        <is>
          <t>ข้อ 22</t>
        </is>
      </c>
      <c r="I381" s="369" t="n"/>
      <c r="J381" s="369" t="n"/>
      <c r="K381" s="369" t="n"/>
      <c r="L381" s="239" t="inlineStr">
        <is>
          <t>ข้อ 23</t>
        </is>
      </c>
      <c r="M381" s="369" t="n"/>
      <c r="N381" s="369" t="n"/>
      <c r="O381" s="369" t="n"/>
      <c r="P381" s="239" t="inlineStr">
        <is>
          <t>ข้อ 24</t>
        </is>
      </c>
      <c r="Q381" s="369" t="n"/>
      <c r="R381" s="369" t="n"/>
      <c r="S381" s="369" t="n"/>
      <c r="T381" s="28" t="inlineStr">
        <is>
          <t>Sound
✅</t>
        </is>
      </c>
      <c r="U381" s="28" t="inlineStr">
        <is>
          <t>Misc
❌</t>
        </is>
      </c>
      <c r="V381" s="28" t="inlineStr">
        <is>
          <t>Guess
🎲</t>
        </is>
      </c>
      <c r="W381" s="28" t="inlineStr">
        <is>
          <t>NoK
❓</t>
        </is>
      </c>
      <c r="X381" s="28" t="inlineStr">
        <is>
          <t>% Misc
(Auto)</t>
        </is>
      </c>
    </row>
    <row r="382" ht="27.75" customHeight="1">
      <c r="B382" s="40" t="n"/>
      <c r="C382" s="41" t="inlineStr">
        <is>
          <t>← กรอกเฉลย T1 และ T3</t>
        </is>
      </c>
      <c r="D382" s="42" t="inlineStr">
        <is>
          <t>T1
(ก-ง)</t>
        </is>
      </c>
      <c r="E382" s="42" t="inlineStr">
        <is>
          <t>T2
(Y/N)</t>
        </is>
      </c>
      <c r="F382" s="42" t="inlineStr">
        <is>
          <t>T3
(ก-ง)</t>
        </is>
      </c>
      <c r="G382" s="42" t="inlineStr">
        <is>
          <t>T4
(Y/N)</t>
        </is>
      </c>
      <c r="H382" s="42" t="inlineStr">
        <is>
          <t>T1
(ก-ง)</t>
        </is>
      </c>
      <c r="I382" s="42" t="inlineStr">
        <is>
          <t>T2
(Y/N)</t>
        </is>
      </c>
      <c r="J382" s="42" t="inlineStr">
        <is>
          <t>T3
(ก-ง)</t>
        </is>
      </c>
      <c r="K382" s="42" t="inlineStr">
        <is>
          <t>T4
(Y/N)</t>
        </is>
      </c>
      <c r="L382" s="42" t="inlineStr">
        <is>
          <t>T1
(ก-ง)</t>
        </is>
      </c>
      <c r="M382" s="42" t="inlineStr">
        <is>
          <t>T2
(Y/N)</t>
        </is>
      </c>
      <c r="N382" s="42" t="inlineStr">
        <is>
          <t>T3
(ก-ง)</t>
        </is>
      </c>
      <c r="O382" s="42" t="inlineStr">
        <is>
          <t>T4
(Y/N)</t>
        </is>
      </c>
      <c r="P382" s="42" t="inlineStr">
        <is>
          <t>T1
(ก-ง)</t>
        </is>
      </c>
      <c r="Q382" s="42" t="inlineStr">
        <is>
          <t>T2
(Y/N)</t>
        </is>
      </c>
      <c r="R382" s="42" t="inlineStr">
        <is>
          <t>T3
(ก-ง)</t>
        </is>
      </c>
      <c r="S382" s="42" t="inlineStr">
        <is>
          <t>T4
(Y/N)</t>
        </is>
      </c>
      <c r="T382" s="43" t="inlineStr">
        <is>
          <t>—</t>
        </is>
      </c>
      <c r="U382" s="43" t="inlineStr">
        <is>
          <t>—</t>
        </is>
      </c>
      <c r="V382" s="43" t="inlineStr">
        <is>
          <t>—</t>
        </is>
      </c>
      <c r="W382" s="43" t="inlineStr">
        <is>
          <t>—</t>
        </is>
      </c>
      <c r="X382" s="43" t="inlineStr">
        <is>
          <t>—</t>
        </is>
      </c>
    </row>
    <row r="383" ht="18" customHeight="1">
      <c r="B383" s="44" t="inlineStr">
        <is>
          <t>KEY</t>
        </is>
      </c>
      <c r="C383" s="45" t="inlineStr">
        <is>
          <t>← กรอกเฉลยที่ถูกต้อง</t>
        </is>
      </c>
      <c r="D383" s="9" t="n"/>
      <c r="E383" s="21" t="inlineStr">
        <is>
          <t>—</t>
        </is>
      </c>
      <c r="F383" s="9" t="n"/>
      <c r="G383" s="21" t="inlineStr">
        <is>
          <t>—</t>
        </is>
      </c>
      <c r="H383" s="9" t="n"/>
      <c r="I383" s="21" t="inlineStr">
        <is>
          <t>—</t>
        </is>
      </c>
      <c r="J383" s="9" t="n"/>
      <c r="K383" s="21" t="inlineStr">
        <is>
          <t>—</t>
        </is>
      </c>
      <c r="L383" s="9" t="n"/>
      <c r="M383" s="21" t="inlineStr">
        <is>
          <t>—</t>
        </is>
      </c>
      <c r="N383" s="9" t="n"/>
      <c r="O383" s="21" t="inlineStr">
        <is>
          <t>—</t>
        </is>
      </c>
      <c r="P383" s="9" t="n"/>
      <c r="Q383" s="21" t="inlineStr">
        <is>
          <t>—</t>
        </is>
      </c>
      <c r="R383" s="9" t="n"/>
      <c r="S383" s="21" t="inlineStr">
        <is>
          <t>—</t>
        </is>
      </c>
      <c r="T383" s="21" t="inlineStr">
        <is>
          <t>—</t>
        </is>
      </c>
      <c r="U383" s="21" t="inlineStr">
        <is>
          <t>—</t>
        </is>
      </c>
      <c r="V383" s="21" t="inlineStr">
        <is>
          <t>—</t>
        </is>
      </c>
      <c r="W383" s="21" t="inlineStr">
        <is>
          <t>—</t>
        </is>
      </c>
      <c r="X383" s="21" t="inlineStr">
        <is>
          <t>—</t>
        </is>
      </c>
    </row>
    <row r="384" ht="18" customHeight="1">
      <c r="B384" s="46">
        <f>'📥 ข้อมูลนักเรียน'!B4</f>
        <v/>
      </c>
      <c r="C384" s="47">
        <f>'📥 ข้อมูลนักเรียน'!C4</f>
        <v/>
      </c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37">
        <f>IFERROR(SUMPRODUCT(((D384=D383)*(E384="Y")*(F384=F383)*(G384="Y")*(D384&lt;&gt;"")* (F384&lt;&gt;""))+((H384=H383)*(I384="Y")*(J384=J383)*(K384="Y")*(H384&lt;&gt;"")* (J384&lt;&gt;""))+((L384=L383)*(M384="Y")*(N384=N383)*(O384="Y")*(L384&lt;&gt;"")* (N384&lt;&gt;""))+((P384=P383)*(Q384="Y")*(R384=R383)*(S384="Y")*(P384&lt;&gt;"")* (R384&lt;&gt;""))),0)</f>
        <v/>
      </c>
      <c r="U384" s="49">
        <f>IFERROR(SUMPRODUCT(((D384&lt;&gt;D383)*(E384="Y")*(F384&lt;&gt;F383)*(G384="Y")*(D384&lt;&gt;"")* (F384&lt;&gt;""))+((H384&lt;&gt;H383)*(I384="Y")*(J384&lt;&gt;J383)*(K384="Y")*(H384&lt;&gt;"")* (J384&lt;&gt;""))+((L384&lt;&gt;L383)*(M384="Y")*(N384&lt;&gt;N383)*(O384="Y")*(L384&lt;&gt;"")* (N384&lt;&gt;""))+((P384&lt;&gt;P383)*(Q384="Y")*(R384&lt;&gt;R383)*(S384="Y")*(P384&lt;&gt;"")* (R384&lt;&gt;""))),0)</f>
        <v/>
      </c>
      <c r="V384" s="37">
        <f>IFERROR(SUMPRODUCT(((D384=D383)*(E384="Y")*(F384&lt;&gt;F383)*(G384="Y")*(D384&lt;&gt;"")* (F384&lt;&gt;""))+((H384=H383)*(I384="Y")*(J384&lt;&gt;J383)*(K384="Y")*(H384&lt;&gt;"")* (J384&lt;&gt;""))+((L384=L383)*(M384="Y")*(N384&lt;&gt;N383)*(O384="Y")*(L384&lt;&gt;"")* (N384&lt;&gt;""))+((P384=P383)*(Q384="Y")*(R384&lt;&gt;R383)*(S384="Y")*(P384&lt;&gt;"")* (R384&lt;&gt;""))),0)</f>
        <v/>
      </c>
      <c r="W384" s="37">
        <f>IFERROR(SUMPRODUCT(((E384="N")*(D384&lt;&gt;"")* (F384&lt;&gt;""))+((I384="N")*(H384&lt;&gt;"")* (J384&lt;&gt;""))+((M384="N")*(L384&lt;&gt;"")* (N384&lt;&gt;""))+((Q384="N")*(P384&lt;&gt;"")* (R384&lt;&gt;""))),0)</f>
        <v/>
      </c>
      <c r="X384" s="50">
        <f>IFERROR(U384/4,0)</f>
        <v/>
      </c>
    </row>
    <row r="385" ht="18" customHeight="1">
      <c r="B385" s="46">
        <f>'📥 ข้อมูลนักเรียน'!B5</f>
        <v/>
      </c>
      <c r="C385" s="51">
        <f>'📥 ข้อมูลนักเรียน'!C5</f>
        <v/>
      </c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37">
        <f>IFERROR(SUMPRODUCT(((D385=D383)*(E385="Y")*(F385=F383)*(G385="Y")*(D385&lt;&gt;"")* (F385&lt;&gt;""))+((H385=H383)*(I385="Y")*(J385=J383)*(K385="Y")*(H385&lt;&gt;"")* (J385&lt;&gt;""))+((L385=L383)*(M385="Y")*(N385=N383)*(O385="Y")*(L385&lt;&gt;"")* (N385&lt;&gt;""))+((P385=P383)*(Q385="Y")*(R385=R383)*(S385="Y")*(P385&lt;&gt;"")* (R385&lt;&gt;""))),0)</f>
        <v/>
      </c>
      <c r="U385" s="49">
        <f>IFERROR(SUMPRODUCT(((D385&lt;&gt;D383)*(E385="Y")*(F385&lt;&gt;F383)*(G385="Y")*(D385&lt;&gt;"")* (F385&lt;&gt;""))+((H385&lt;&gt;H383)*(I385="Y")*(J385&lt;&gt;J383)*(K385="Y")*(H385&lt;&gt;"")* (J385&lt;&gt;""))+((L385&lt;&gt;L383)*(M385="Y")*(N385&lt;&gt;N383)*(O385="Y")*(L385&lt;&gt;"")* (N385&lt;&gt;""))+((P385&lt;&gt;P383)*(Q385="Y")*(R385&lt;&gt;R383)*(S385="Y")*(P385&lt;&gt;"")* (R385&lt;&gt;""))),0)</f>
        <v/>
      </c>
      <c r="V385" s="37">
        <f>IFERROR(SUMPRODUCT(((D385=D383)*(E385="Y")*(F385&lt;&gt;F383)*(G385="Y")*(D385&lt;&gt;"")* (F385&lt;&gt;""))+((H385=H383)*(I385="Y")*(J385&lt;&gt;J383)*(K385="Y")*(H385&lt;&gt;"")* (J385&lt;&gt;""))+((L385=L383)*(M385="Y")*(N385&lt;&gt;N383)*(O385="Y")*(L385&lt;&gt;"")* (N385&lt;&gt;""))+((P385=P383)*(Q385="Y")*(R385&lt;&gt;R383)*(S385="Y")*(P385&lt;&gt;"")* (R385&lt;&gt;""))),0)</f>
        <v/>
      </c>
      <c r="W385" s="37">
        <f>IFERROR(SUMPRODUCT(((E385="N")*(D385&lt;&gt;"")* (F385&lt;&gt;""))+((I385="N")*(H385&lt;&gt;"")* (J385&lt;&gt;""))+((M385="N")*(L385&lt;&gt;"")* (N385&lt;&gt;""))+((Q385="N")*(P385&lt;&gt;"")* (R385&lt;&gt;""))),0)</f>
        <v/>
      </c>
      <c r="X385" s="50">
        <f>IFERROR(U385/4,0)</f>
        <v/>
      </c>
    </row>
    <row r="386" ht="18" customHeight="1">
      <c r="B386" s="46">
        <f>'📥 ข้อมูลนักเรียน'!B6</f>
        <v/>
      </c>
      <c r="C386" s="47">
        <f>'📥 ข้อมูลนักเรียน'!C6</f>
        <v/>
      </c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37">
        <f>IFERROR(SUMPRODUCT(((D386=D383)*(E386="Y")*(F386=F383)*(G386="Y")*(D386&lt;&gt;"")* (F386&lt;&gt;""))+((H386=H383)*(I386="Y")*(J386=J383)*(K386="Y")*(H386&lt;&gt;"")* (J386&lt;&gt;""))+((L386=L383)*(M386="Y")*(N386=N383)*(O386="Y")*(L386&lt;&gt;"")* (N386&lt;&gt;""))+((P386=P383)*(Q386="Y")*(R386=R383)*(S386="Y")*(P386&lt;&gt;"")* (R386&lt;&gt;""))),0)</f>
        <v/>
      </c>
      <c r="U386" s="49">
        <f>IFERROR(SUMPRODUCT(((D386&lt;&gt;D383)*(E386="Y")*(F386&lt;&gt;F383)*(G386="Y")*(D386&lt;&gt;"")* (F386&lt;&gt;""))+((H386&lt;&gt;H383)*(I386="Y")*(J386&lt;&gt;J383)*(K386="Y")*(H386&lt;&gt;"")* (J386&lt;&gt;""))+((L386&lt;&gt;L383)*(M386="Y")*(N386&lt;&gt;N383)*(O386="Y")*(L386&lt;&gt;"")* (N386&lt;&gt;""))+((P386&lt;&gt;P383)*(Q386="Y")*(R386&lt;&gt;R383)*(S386="Y")*(P386&lt;&gt;"")* (R386&lt;&gt;""))),0)</f>
        <v/>
      </c>
      <c r="V386" s="37">
        <f>IFERROR(SUMPRODUCT(((D386=D383)*(E386="Y")*(F386&lt;&gt;F383)*(G386="Y")*(D386&lt;&gt;"")* (F386&lt;&gt;""))+((H386=H383)*(I386="Y")*(J386&lt;&gt;J383)*(K386="Y")*(H386&lt;&gt;"")* (J386&lt;&gt;""))+((L386=L383)*(M386="Y")*(N386&lt;&gt;N383)*(O386="Y")*(L386&lt;&gt;"")* (N386&lt;&gt;""))+((P386=P383)*(Q386="Y")*(R386&lt;&gt;R383)*(S386="Y")*(P386&lt;&gt;"")* (R386&lt;&gt;""))),0)</f>
        <v/>
      </c>
      <c r="W386" s="37">
        <f>IFERROR(SUMPRODUCT(((E386="N")*(D386&lt;&gt;"")* (F386&lt;&gt;""))+((I386="N")*(H386&lt;&gt;"")* (J386&lt;&gt;""))+((M386="N")*(L386&lt;&gt;"")* (N386&lt;&gt;""))+((Q386="N")*(P386&lt;&gt;"")* (R386&lt;&gt;""))),0)</f>
        <v/>
      </c>
      <c r="X386" s="50">
        <f>IFERROR(U386/4,0)</f>
        <v/>
      </c>
    </row>
    <row r="387" ht="18" customHeight="1">
      <c r="B387" s="46">
        <f>'📥 ข้อมูลนักเรียน'!B7</f>
        <v/>
      </c>
      <c r="C387" s="51">
        <f>'📥 ข้อมูลนักเรียน'!C7</f>
        <v/>
      </c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37">
        <f>IFERROR(SUMPRODUCT(((D387=D383)*(E387="Y")*(F387=F383)*(G387="Y")*(D387&lt;&gt;"")* (F387&lt;&gt;""))+((H387=H383)*(I387="Y")*(J387=J383)*(K387="Y")*(H387&lt;&gt;"")* (J387&lt;&gt;""))+((L387=L383)*(M387="Y")*(N387=N383)*(O387="Y")*(L387&lt;&gt;"")* (N387&lt;&gt;""))+((P387=P383)*(Q387="Y")*(R387=R383)*(S387="Y")*(P387&lt;&gt;"")* (R387&lt;&gt;""))),0)</f>
        <v/>
      </c>
      <c r="U387" s="49">
        <f>IFERROR(SUMPRODUCT(((D387&lt;&gt;D383)*(E387="Y")*(F387&lt;&gt;F383)*(G387="Y")*(D387&lt;&gt;"")* (F387&lt;&gt;""))+((H387&lt;&gt;H383)*(I387="Y")*(J387&lt;&gt;J383)*(K387="Y")*(H387&lt;&gt;"")* (J387&lt;&gt;""))+((L387&lt;&gt;L383)*(M387="Y")*(N387&lt;&gt;N383)*(O387="Y")*(L387&lt;&gt;"")* (N387&lt;&gt;""))+((P387&lt;&gt;P383)*(Q387="Y")*(R387&lt;&gt;R383)*(S387="Y")*(P387&lt;&gt;"")* (R387&lt;&gt;""))),0)</f>
        <v/>
      </c>
      <c r="V387" s="37">
        <f>IFERROR(SUMPRODUCT(((D387=D383)*(E387="Y")*(F387&lt;&gt;F383)*(G387="Y")*(D387&lt;&gt;"")* (F387&lt;&gt;""))+((H387=H383)*(I387="Y")*(J387&lt;&gt;J383)*(K387="Y")*(H387&lt;&gt;"")* (J387&lt;&gt;""))+((L387=L383)*(M387="Y")*(N387&lt;&gt;N383)*(O387="Y")*(L387&lt;&gt;"")* (N387&lt;&gt;""))+((P387=P383)*(Q387="Y")*(R387&lt;&gt;R383)*(S387="Y")*(P387&lt;&gt;"")* (R387&lt;&gt;""))),0)</f>
        <v/>
      </c>
      <c r="W387" s="37">
        <f>IFERROR(SUMPRODUCT(((E387="N")*(D387&lt;&gt;"")* (F387&lt;&gt;""))+((I387="N")*(H387&lt;&gt;"")* (J387&lt;&gt;""))+((M387="N")*(L387&lt;&gt;"")* (N387&lt;&gt;""))+((Q387="N")*(P387&lt;&gt;"")* (R387&lt;&gt;""))),0)</f>
        <v/>
      </c>
      <c r="X387" s="50">
        <f>IFERROR(U387/4,0)</f>
        <v/>
      </c>
    </row>
    <row r="388" ht="18" customHeight="1">
      <c r="B388" s="46">
        <f>'📥 ข้อมูลนักเรียน'!B8</f>
        <v/>
      </c>
      <c r="C388" s="47">
        <f>'📥 ข้อมูลนักเรียน'!C8</f>
        <v/>
      </c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37">
        <f>IFERROR(SUMPRODUCT(((D388=D383)*(E388="Y")*(F388=F383)*(G388="Y")*(D388&lt;&gt;"")* (F388&lt;&gt;""))+((H388=H383)*(I388="Y")*(J388=J383)*(K388="Y")*(H388&lt;&gt;"")* (J388&lt;&gt;""))+((L388=L383)*(M388="Y")*(N388=N383)*(O388="Y")*(L388&lt;&gt;"")* (N388&lt;&gt;""))+((P388=P383)*(Q388="Y")*(R388=R383)*(S388="Y")*(P388&lt;&gt;"")* (R388&lt;&gt;""))),0)</f>
        <v/>
      </c>
      <c r="U388" s="49">
        <f>IFERROR(SUMPRODUCT(((D388&lt;&gt;D383)*(E388="Y")*(F388&lt;&gt;F383)*(G388="Y")*(D388&lt;&gt;"")* (F388&lt;&gt;""))+((H388&lt;&gt;H383)*(I388="Y")*(J388&lt;&gt;J383)*(K388="Y")*(H388&lt;&gt;"")* (J388&lt;&gt;""))+((L388&lt;&gt;L383)*(M388="Y")*(N388&lt;&gt;N383)*(O388="Y")*(L388&lt;&gt;"")* (N388&lt;&gt;""))+((P388&lt;&gt;P383)*(Q388="Y")*(R388&lt;&gt;R383)*(S388="Y")*(P388&lt;&gt;"")* (R388&lt;&gt;""))),0)</f>
        <v/>
      </c>
      <c r="V388" s="37">
        <f>IFERROR(SUMPRODUCT(((D388=D383)*(E388="Y")*(F388&lt;&gt;F383)*(G388="Y")*(D388&lt;&gt;"")* (F388&lt;&gt;""))+((H388=H383)*(I388="Y")*(J388&lt;&gt;J383)*(K388="Y")*(H388&lt;&gt;"")* (J388&lt;&gt;""))+((L388=L383)*(M388="Y")*(N388&lt;&gt;N383)*(O388="Y")*(L388&lt;&gt;"")* (N388&lt;&gt;""))+((P388=P383)*(Q388="Y")*(R388&lt;&gt;R383)*(S388="Y")*(P388&lt;&gt;"")* (R388&lt;&gt;""))),0)</f>
        <v/>
      </c>
      <c r="W388" s="37">
        <f>IFERROR(SUMPRODUCT(((E388="N")*(D388&lt;&gt;"")* (F388&lt;&gt;""))+((I388="N")*(H388&lt;&gt;"")* (J388&lt;&gt;""))+((M388="N")*(L388&lt;&gt;"")* (N388&lt;&gt;""))+((Q388="N")*(P388&lt;&gt;"")* (R388&lt;&gt;""))),0)</f>
        <v/>
      </c>
      <c r="X388" s="50">
        <f>IFERROR(U388/4,0)</f>
        <v/>
      </c>
    </row>
    <row r="389" ht="18" customHeight="1">
      <c r="B389" s="46">
        <f>'📥 ข้อมูลนักเรียน'!B9</f>
        <v/>
      </c>
      <c r="C389" s="51">
        <f>'📥 ข้อมูลนักเรียน'!C9</f>
        <v/>
      </c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37">
        <f>IFERROR(SUMPRODUCT(((D389=D383)*(E389="Y")*(F389=F383)*(G389="Y")*(D389&lt;&gt;"")* (F389&lt;&gt;""))+((H389=H383)*(I389="Y")*(J389=J383)*(K389="Y")*(H389&lt;&gt;"")* (J389&lt;&gt;""))+((L389=L383)*(M389="Y")*(N389=N383)*(O389="Y")*(L389&lt;&gt;"")* (N389&lt;&gt;""))+((P389=P383)*(Q389="Y")*(R389=R383)*(S389="Y")*(P389&lt;&gt;"")* (R389&lt;&gt;""))),0)</f>
        <v/>
      </c>
      <c r="U389" s="49">
        <f>IFERROR(SUMPRODUCT(((D389&lt;&gt;D383)*(E389="Y")*(F389&lt;&gt;F383)*(G389="Y")*(D389&lt;&gt;"")* (F389&lt;&gt;""))+((H389&lt;&gt;H383)*(I389="Y")*(J389&lt;&gt;J383)*(K389="Y")*(H389&lt;&gt;"")* (J389&lt;&gt;""))+((L389&lt;&gt;L383)*(M389="Y")*(N389&lt;&gt;N383)*(O389="Y")*(L389&lt;&gt;"")* (N389&lt;&gt;""))+((P389&lt;&gt;P383)*(Q389="Y")*(R389&lt;&gt;R383)*(S389="Y")*(P389&lt;&gt;"")* (R389&lt;&gt;""))),0)</f>
        <v/>
      </c>
      <c r="V389" s="37">
        <f>IFERROR(SUMPRODUCT(((D389=D383)*(E389="Y")*(F389&lt;&gt;F383)*(G389="Y")*(D389&lt;&gt;"")* (F389&lt;&gt;""))+((H389=H383)*(I389="Y")*(J389&lt;&gt;J383)*(K389="Y")*(H389&lt;&gt;"")* (J389&lt;&gt;""))+((L389=L383)*(M389="Y")*(N389&lt;&gt;N383)*(O389="Y")*(L389&lt;&gt;"")* (N389&lt;&gt;""))+((P389=P383)*(Q389="Y")*(R389&lt;&gt;R383)*(S389="Y")*(P389&lt;&gt;"")* (R389&lt;&gt;""))),0)</f>
        <v/>
      </c>
      <c r="W389" s="37">
        <f>IFERROR(SUMPRODUCT(((E389="N")*(D389&lt;&gt;"")* (F389&lt;&gt;""))+((I389="N")*(H389&lt;&gt;"")* (J389&lt;&gt;""))+((M389="N")*(L389&lt;&gt;"")* (N389&lt;&gt;""))+((Q389="N")*(P389&lt;&gt;"")* (R389&lt;&gt;""))),0)</f>
        <v/>
      </c>
      <c r="X389" s="50">
        <f>IFERROR(U389/4,0)</f>
        <v/>
      </c>
    </row>
    <row r="390" ht="18" customHeight="1">
      <c r="B390" s="46">
        <f>'📥 ข้อมูลนักเรียน'!B10</f>
        <v/>
      </c>
      <c r="C390" s="47">
        <f>'📥 ข้อมูลนักเรียน'!C10</f>
        <v/>
      </c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37">
        <f>IFERROR(SUMPRODUCT(((D390=D383)*(E390="Y")*(F390=F383)*(G390="Y")*(D390&lt;&gt;"")* (F390&lt;&gt;""))+((H390=H383)*(I390="Y")*(J390=J383)*(K390="Y")*(H390&lt;&gt;"")* (J390&lt;&gt;""))+((L390=L383)*(M390="Y")*(N390=N383)*(O390="Y")*(L390&lt;&gt;"")* (N390&lt;&gt;""))+((P390=P383)*(Q390="Y")*(R390=R383)*(S390="Y")*(P390&lt;&gt;"")* (R390&lt;&gt;""))),0)</f>
        <v/>
      </c>
      <c r="U390" s="49">
        <f>IFERROR(SUMPRODUCT(((D390&lt;&gt;D383)*(E390="Y")*(F390&lt;&gt;F383)*(G390="Y")*(D390&lt;&gt;"")* (F390&lt;&gt;""))+((H390&lt;&gt;H383)*(I390="Y")*(J390&lt;&gt;J383)*(K390="Y")*(H390&lt;&gt;"")* (J390&lt;&gt;""))+((L390&lt;&gt;L383)*(M390="Y")*(N390&lt;&gt;N383)*(O390="Y")*(L390&lt;&gt;"")* (N390&lt;&gt;""))+((P390&lt;&gt;P383)*(Q390="Y")*(R390&lt;&gt;R383)*(S390="Y")*(P390&lt;&gt;"")* (R390&lt;&gt;""))),0)</f>
        <v/>
      </c>
      <c r="V390" s="37">
        <f>IFERROR(SUMPRODUCT(((D390=D383)*(E390="Y")*(F390&lt;&gt;F383)*(G390="Y")*(D390&lt;&gt;"")* (F390&lt;&gt;""))+((H390=H383)*(I390="Y")*(J390&lt;&gt;J383)*(K390="Y")*(H390&lt;&gt;"")* (J390&lt;&gt;""))+((L390=L383)*(M390="Y")*(N390&lt;&gt;N383)*(O390="Y")*(L390&lt;&gt;"")* (N390&lt;&gt;""))+((P390=P383)*(Q390="Y")*(R390&lt;&gt;R383)*(S390="Y")*(P390&lt;&gt;"")* (R390&lt;&gt;""))),0)</f>
        <v/>
      </c>
      <c r="W390" s="37">
        <f>IFERROR(SUMPRODUCT(((E390="N")*(D390&lt;&gt;"")* (F390&lt;&gt;""))+((I390="N")*(H390&lt;&gt;"")* (J390&lt;&gt;""))+((M390="N")*(L390&lt;&gt;"")* (N390&lt;&gt;""))+((Q390="N")*(P390&lt;&gt;"")* (R390&lt;&gt;""))),0)</f>
        <v/>
      </c>
      <c r="X390" s="50">
        <f>IFERROR(U390/4,0)</f>
        <v/>
      </c>
    </row>
    <row r="391" ht="18" customHeight="1">
      <c r="B391" s="46">
        <f>'📥 ข้อมูลนักเรียน'!B11</f>
        <v/>
      </c>
      <c r="C391" s="51">
        <f>'📥 ข้อมูลนักเรียน'!C11</f>
        <v/>
      </c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37">
        <f>IFERROR(SUMPRODUCT(((D391=D383)*(E391="Y")*(F391=F383)*(G391="Y")*(D391&lt;&gt;"")* (F391&lt;&gt;""))+((H391=H383)*(I391="Y")*(J391=J383)*(K391="Y")*(H391&lt;&gt;"")* (J391&lt;&gt;""))+((L391=L383)*(M391="Y")*(N391=N383)*(O391="Y")*(L391&lt;&gt;"")* (N391&lt;&gt;""))+((P391=P383)*(Q391="Y")*(R391=R383)*(S391="Y")*(P391&lt;&gt;"")* (R391&lt;&gt;""))),0)</f>
        <v/>
      </c>
      <c r="U391" s="49">
        <f>IFERROR(SUMPRODUCT(((D391&lt;&gt;D383)*(E391="Y")*(F391&lt;&gt;F383)*(G391="Y")*(D391&lt;&gt;"")* (F391&lt;&gt;""))+((H391&lt;&gt;H383)*(I391="Y")*(J391&lt;&gt;J383)*(K391="Y")*(H391&lt;&gt;"")* (J391&lt;&gt;""))+((L391&lt;&gt;L383)*(M391="Y")*(N391&lt;&gt;N383)*(O391="Y")*(L391&lt;&gt;"")* (N391&lt;&gt;""))+((P391&lt;&gt;P383)*(Q391="Y")*(R391&lt;&gt;R383)*(S391="Y")*(P391&lt;&gt;"")* (R391&lt;&gt;""))),0)</f>
        <v/>
      </c>
      <c r="V391" s="37">
        <f>IFERROR(SUMPRODUCT(((D391=D383)*(E391="Y")*(F391&lt;&gt;F383)*(G391="Y")*(D391&lt;&gt;"")* (F391&lt;&gt;""))+((H391=H383)*(I391="Y")*(J391&lt;&gt;J383)*(K391="Y")*(H391&lt;&gt;"")* (J391&lt;&gt;""))+((L391=L383)*(M391="Y")*(N391&lt;&gt;N383)*(O391="Y")*(L391&lt;&gt;"")* (N391&lt;&gt;""))+((P391=P383)*(Q391="Y")*(R391&lt;&gt;R383)*(S391="Y")*(P391&lt;&gt;"")* (R391&lt;&gt;""))),0)</f>
        <v/>
      </c>
      <c r="W391" s="37">
        <f>IFERROR(SUMPRODUCT(((E391="N")*(D391&lt;&gt;"")* (F391&lt;&gt;""))+((I391="N")*(H391&lt;&gt;"")* (J391&lt;&gt;""))+((M391="N")*(L391&lt;&gt;"")* (N391&lt;&gt;""))+((Q391="N")*(P391&lt;&gt;"")* (R391&lt;&gt;""))),0)</f>
        <v/>
      </c>
      <c r="X391" s="50">
        <f>IFERROR(U391/4,0)</f>
        <v/>
      </c>
    </row>
    <row r="392" ht="18" customHeight="1">
      <c r="B392" s="46">
        <f>'📥 ข้อมูลนักเรียน'!B12</f>
        <v/>
      </c>
      <c r="C392" s="47">
        <f>'📥 ข้อมูลนักเรียน'!C12</f>
        <v/>
      </c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37">
        <f>IFERROR(SUMPRODUCT(((D392=D383)*(E392="Y")*(F392=F383)*(G392="Y")*(D392&lt;&gt;"")* (F392&lt;&gt;""))+((H392=H383)*(I392="Y")*(J392=J383)*(K392="Y")*(H392&lt;&gt;"")* (J392&lt;&gt;""))+((L392=L383)*(M392="Y")*(N392=N383)*(O392="Y")*(L392&lt;&gt;"")* (N392&lt;&gt;""))+((P392=P383)*(Q392="Y")*(R392=R383)*(S392="Y")*(P392&lt;&gt;"")* (R392&lt;&gt;""))),0)</f>
        <v/>
      </c>
      <c r="U392" s="49">
        <f>IFERROR(SUMPRODUCT(((D392&lt;&gt;D383)*(E392="Y")*(F392&lt;&gt;F383)*(G392="Y")*(D392&lt;&gt;"")* (F392&lt;&gt;""))+((H392&lt;&gt;H383)*(I392="Y")*(J392&lt;&gt;J383)*(K392="Y")*(H392&lt;&gt;"")* (J392&lt;&gt;""))+((L392&lt;&gt;L383)*(M392="Y")*(N392&lt;&gt;N383)*(O392="Y")*(L392&lt;&gt;"")* (N392&lt;&gt;""))+((P392&lt;&gt;P383)*(Q392="Y")*(R392&lt;&gt;R383)*(S392="Y")*(P392&lt;&gt;"")* (R392&lt;&gt;""))),0)</f>
        <v/>
      </c>
      <c r="V392" s="37">
        <f>IFERROR(SUMPRODUCT(((D392=D383)*(E392="Y")*(F392&lt;&gt;F383)*(G392="Y")*(D392&lt;&gt;"")* (F392&lt;&gt;""))+((H392=H383)*(I392="Y")*(J392&lt;&gt;J383)*(K392="Y")*(H392&lt;&gt;"")* (J392&lt;&gt;""))+((L392=L383)*(M392="Y")*(N392&lt;&gt;N383)*(O392="Y")*(L392&lt;&gt;"")* (N392&lt;&gt;""))+((P392=P383)*(Q392="Y")*(R392&lt;&gt;R383)*(S392="Y")*(P392&lt;&gt;"")* (R392&lt;&gt;""))),0)</f>
        <v/>
      </c>
      <c r="W392" s="37">
        <f>IFERROR(SUMPRODUCT(((E392="N")*(D392&lt;&gt;"")* (F392&lt;&gt;""))+((I392="N")*(H392&lt;&gt;"")* (J392&lt;&gt;""))+((M392="N")*(L392&lt;&gt;"")* (N392&lt;&gt;""))+((Q392="N")*(P392&lt;&gt;"")* (R392&lt;&gt;""))),0)</f>
        <v/>
      </c>
      <c r="X392" s="50">
        <f>IFERROR(U392/4,0)</f>
        <v/>
      </c>
    </row>
    <row r="393" ht="18" customHeight="1">
      <c r="B393" s="46">
        <f>'📥 ข้อมูลนักเรียน'!B13</f>
        <v/>
      </c>
      <c r="C393" s="51">
        <f>'📥 ข้อมูลนักเรียน'!C13</f>
        <v/>
      </c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37">
        <f>IFERROR(SUMPRODUCT(((D393=D383)*(E393="Y")*(F393=F383)*(G393="Y")*(D393&lt;&gt;"")* (F393&lt;&gt;""))+((H393=H383)*(I393="Y")*(J393=J383)*(K393="Y")*(H393&lt;&gt;"")* (J393&lt;&gt;""))+((L393=L383)*(M393="Y")*(N393=N383)*(O393="Y")*(L393&lt;&gt;"")* (N393&lt;&gt;""))+((P393=P383)*(Q393="Y")*(R393=R383)*(S393="Y")*(P393&lt;&gt;"")* (R393&lt;&gt;""))),0)</f>
        <v/>
      </c>
      <c r="U393" s="49">
        <f>IFERROR(SUMPRODUCT(((D393&lt;&gt;D383)*(E393="Y")*(F393&lt;&gt;F383)*(G393="Y")*(D393&lt;&gt;"")* (F393&lt;&gt;""))+((H393&lt;&gt;H383)*(I393="Y")*(J393&lt;&gt;J383)*(K393="Y")*(H393&lt;&gt;"")* (J393&lt;&gt;""))+((L393&lt;&gt;L383)*(M393="Y")*(N393&lt;&gt;N383)*(O393="Y")*(L393&lt;&gt;"")* (N393&lt;&gt;""))+((P393&lt;&gt;P383)*(Q393="Y")*(R393&lt;&gt;R383)*(S393="Y")*(P393&lt;&gt;"")* (R393&lt;&gt;""))),0)</f>
        <v/>
      </c>
      <c r="V393" s="37">
        <f>IFERROR(SUMPRODUCT(((D393=D383)*(E393="Y")*(F393&lt;&gt;F383)*(G393="Y")*(D393&lt;&gt;"")* (F393&lt;&gt;""))+((H393=H383)*(I393="Y")*(J393&lt;&gt;J383)*(K393="Y")*(H393&lt;&gt;"")* (J393&lt;&gt;""))+((L393=L383)*(M393="Y")*(N393&lt;&gt;N383)*(O393="Y")*(L393&lt;&gt;"")* (N393&lt;&gt;""))+((P393=P383)*(Q393="Y")*(R393&lt;&gt;R383)*(S393="Y")*(P393&lt;&gt;"")* (R393&lt;&gt;""))),0)</f>
        <v/>
      </c>
      <c r="W393" s="37">
        <f>IFERROR(SUMPRODUCT(((E393="N")*(D393&lt;&gt;"")* (F393&lt;&gt;""))+((I393="N")*(H393&lt;&gt;"")* (J393&lt;&gt;""))+((M393="N")*(L393&lt;&gt;"")* (N393&lt;&gt;""))+((Q393="N")*(P393&lt;&gt;"")* (R393&lt;&gt;""))),0)</f>
        <v/>
      </c>
      <c r="X393" s="50">
        <f>IFERROR(U393/4,0)</f>
        <v/>
      </c>
    </row>
    <row r="394" ht="18" customHeight="1">
      <c r="B394" s="46">
        <f>'📥 ข้อมูลนักเรียน'!B14</f>
        <v/>
      </c>
      <c r="C394" s="47">
        <f>'📥 ข้อมูลนักเรียน'!C14</f>
        <v/>
      </c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37">
        <f>IFERROR(SUMPRODUCT(((D394=D383)*(E394="Y")*(F394=F383)*(G394="Y")*(D394&lt;&gt;"")* (F394&lt;&gt;""))+((H394=H383)*(I394="Y")*(J394=J383)*(K394="Y")*(H394&lt;&gt;"")* (J394&lt;&gt;""))+((L394=L383)*(M394="Y")*(N394=N383)*(O394="Y")*(L394&lt;&gt;"")* (N394&lt;&gt;""))+((P394=P383)*(Q394="Y")*(R394=R383)*(S394="Y")*(P394&lt;&gt;"")* (R394&lt;&gt;""))),0)</f>
        <v/>
      </c>
      <c r="U394" s="49">
        <f>IFERROR(SUMPRODUCT(((D394&lt;&gt;D383)*(E394="Y")*(F394&lt;&gt;F383)*(G394="Y")*(D394&lt;&gt;"")* (F394&lt;&gt;""))+((H394&lt;&gt;H383)*(I394="Y")*(J394&lt;&gt;J383)*(K394="Y")*(H394&lt;&gt;"")* (J394&lt;&gt;""))+((L394&lt;&gt;L383)*(M394="Y")*(N394&lt;&gt;N383)*(O394="Y")*(L394&lt;&gt;"")* (N394&lt;&gt;""))+((P394&lt;&gt;P383)*(Q394="Y")*(R394&lt;&gt;R383)*(S394="Y")*(P394&lt;&gt;"")* (R394&lt;&gt;""))),0)</f>
        <v/>
      </c>
      <c r="V394" s="37">
        <f>IFERROR(SUMPRODUCT(((D394=D383)*(E394="Y")*(F394&lt;&gt;F383)*(G394="Y")*(D394&lt;&gt;"")* (F394&lt;&gt;""))+((H394=H383)*(I394="Y")*(J394&lt;&gt;J383)*(K394="Y")*(H394&lt;&gt;"")* (J394&lt;&gt;""))+((L394=L383)*(M394="Y")*(N394&lt;&gt;N383)*(O394="Y")*(L394&lt;&gt;"")* (N394&lt;&gt;""))+((P394=P383)*(Q394="Y")*(R394&lt;&gt;R383)*(S394="Y")*(P394&lt;&gt;"")* (R394&lt;&gt;""))),0)</f>
        <v/>
      </c>
      <c r="W394" s="37">
        <f>IFERROR(SUMPRODUCT(((E394="N")*(D394&lt;&gt;"")* (F394&lt;&gt;""))+((I394="N")*(H394&lt;&gt;"")* (J394&lt;&gt;""))+((M394="N")*(L394&lt;&gt;"")* (N394&lt;&gt;""))+((Q394="N")*(P394&lt;&gt;"")* (R394&lt;&gt;""))),0)</f>
        <v/>
      </c>
      <c r="X394" s="50">
        <f>IFERROR(U394/4,0)</f>
        <v/>
      </c>
    </row>
    <row r="395" ht="18" customHeight="1">
      <c r="B395" s="46">
        <f>'📥 ข้อมูลนักเรียน'!B15</f>
        <v/>
      </c>
      <c r="C395" s="51">
        <f>'📥 ข้อมูลนักเรียน'!C15</f>
        <v/>
      </c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37">
        <f>IFERROR(SUMPRODUCT(((D395=D383)*(E395="Y")*(F395=F383)*(G395="Y")*(D395&lt;&gt;"")* (F395&lt;&gt;""))+((H395=H383)*(I395="Y")*(J395=J383)*(K395="Y")*(H395&lt;&gt;"")* (J395&lt;&gt;""))+((L395=L383)*(M395="Y")*(N395=N383)*(O395="Y")*(L395&lt;&gt;"")* (N395&lt;&gt;""))+((P395=P383)*(Q395="Y")*(R395=R383)*(S395="Y")*(P395&lt;&gt;"")* (R395&lt;&gt;""))),0)</f>
        <v/>
      </c>
      <c r="U395" s="49">
        <f>IFERROR(SUMPRODUCT(((D395&lt;&gt;D383)*(E395="Y")*(F395&lt;&gt;F383)*(G395="Y")*(D395&lt;&gt;"")* (F395&lt;&gt;""))+((H395&lt;&gt;H383)*(I395="Y")*(J395&lt;&gt;J383)*(K395="Y")*(H395&lt;&gt;"")* (J395&lt;&gt;""))+((L395&lt;&gt;L383)*(M395="Y")*(N395&lt;&gt;N383)*(O395="Y")*(L395&lt;&gt;"")* (N395&lt;&gt;""))+((P395&lt;&gt;P383)*(Q395="Y")*(R395&lt;&gt;R383)*(S395="Y")*(P395&lt;&gt;"")* (R395&lt;&gt;""))),0)</f>
        <v/>
      </c>
      <c r="V395" s="37">
        <f>IFERROR(SUMPRODUCT(((D395=D383)*(E395="Y")*(F395&lt;&gt;F383)*(G395="Y")*(D395&lt;&gt;"")* (F395&lt;&gt;""))+((H395=H383)*(I395="Y")*(J395&lt;&gt;J383)*(K395="Y")*(H395&lt;&gt;"")* (J395&lt;&gt;""))+((L395=L383)*(M395="Y")*(N395&lt;&gt;N383)*(O395="Y")*(L395&lt;&gt;"")* (N395&lt;&gt;""))+((P395=P383)*(Q395="Y")*(R395&lt;&gt;R383)*(S395="Y")*(P395&lt;&gt;"")* (R395&lt;&gt;""))),0)</f>
        <v/>
      </c>
      <c r="W395" s="37">
        <f>IFERROR(SUMPRODUCT(((E395="N")*(D395&lt;&gt;"")* (F395&lt;&gt;""))+((I395="N")*(H395&lt;&gt;"")* (J395&lt;&gt;""))+((M395="N")*(L395&lt;&gt;"")* (N395&lt;&gt;""))+((Q395="N")*(P395&lt;&gt;"")* (R395&lt;&gt;""))),0)</f>
        <v/>
      </c>
      <c r="X395" s="50">
        <f>IFERROR(U395/4,0)</f>
        <v/>
      </c>
    </row>
    <row r="396" ht="18" customHeight="1">
      <c r="B396" s="46">
        <f>'📥 ข้อมูลนักเรียน'!B16</f>
        <v/>
      </c>
      <c r="C396" s="47">
        <f>'📥 ข้อมูลนักเรียน'!C16</f>
        <v/>
      </c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37">
        <f>IFERROR(SUMPRODUCT(((D396=D383)*(E396="Y")*(F396=F383)*(G396="Y")*(D396&lt;&gt;"")* (F396&lt;&gt;""))+((H396=H383)*(I396="Y")*(J396=J383)*(K396="Y")*(H396&lt;&gt;"")* (J396&lt;&gt;""))+((L396=L383)*(M396="Y")*(N396=N383)*(O396="Y")*(L396&lt;&gt;"")* (N396&lt;&gt;""))+((P396=P383)*(Q396="Y")*(R396=R383)*(S396="Y")*(P396&lt;&gt;"")* (R396&lt;&gt;""))),0)</f>
        <v/>
      </c>
      <c r="U396" s="49">
        <f>IFERROR(SUMPRODUCT(((D396&lt;&gt;D383)*(E396="Y")*(F396&lt;&gt;F383)*(G396="Y")*(D396&lt;&gt;"")* (F396&lt;&gt;""))+((H396&lt;&gt;H383)*(I396="Y")*(J396&lt;&gt;J383)*(K396="Y")*(H396&lt;&gt;"")* (J396&lt;&gt;""))+((L396&lt;&gt;L383)*(M396="Y")*(N396&lt;&gt;N383)*(O396="Y")*(L396&lt;&gt;"")* (N396&lt;&gt;""))+((P396&lt;&gt;P383)*(Q396="Y")*(R396&lt;&gt;R383)*(S396="Y")*(P396&lt;&gt;"")* (R396&lt;&gt;""))),0)</f>
        <v/>
      </c>
      <c r="V396" s="37">
        <f>IFERROR(SUMPRODUCT(((D396=D383)*(E396="Y")*(F396&lt;&gt;F383)*(G396="Y")*(D396&lt;&gt;"")* (F396&lt;&gt;""))+((H396=H383)*(I396="Y")*(J396&lt;&gt;J383)*(K396="Y")*(H396&lt;&gt;"")* (J396&lt;&gt;""))+((L396=L383)*(M396="Y")*(N396&lt;&gt;N383)*(O396="Y")*(L396&lt;&gt;"")* (N396&lt;&gt;""))+((P396=P383)*(Q396="Y")*(R396&lt;&gt;R383)*(S396="Y")*(P396&lt;&gt;"")* (R396&lt;&gt;""))),0)</f>
        <v/>
      </c>
      <c r="W396" s="37">
        <f>IFERROR(SUMPRODUCT(((E396="N")*(D396&lt;&gt;"")* (F396&lt;&gt;""))+((I396="N")*(H396&lt;&gt;"")* (J396&lt;&gt;""))+((M396="N")*(L396&lt;&gt;"")* (N396&lt;&gt;""))+((Q396="N")*(P396&lt;&gt;"")* (R396&lt;&gt;""))),0)</f>
        <v/>
      </c>
      <c r="X396" s="50">
        <f>IFERROR(U396/4,0)</f>
        <v/>
      </c>
    </row>
    <row r="397" ht="18" customHeight="1">
      <c r="B397" s="46">
        <f>'📥 ข้อมูลนักเรียน'!B17</f>
        <v/>
      </c>
      <c r="C397" s="51">
        <f>'📥 ข้อมูลนักเรียน'!C17</f>
        <v/>
      </c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37">
        <f>IFERROR(SUMPRODUCT(((D397=D383)*(E397="Y")*(F397=F383)*(G397="Y")*(D397&lt;&gt;"")* (F397&lt;&gt;""))+((H397=H383)*(I397="Y")*(J397=J383)*(K397="Y")*(H397&lt;&gt;"")* (J397&lt;&gt;""))+((L397=L383)*(M397="Y")*(N397=N383)*(O397="Y")*(L397&lt;&gt;"")* (N397&lt;&gt;""))+((P397=P383)*(Q397="Y")*(R397=R383)*(S397="Y")*(P397&lt;&gt;"")* (R397&lt;&gt;""))),0)</f>
        <v/>
      </c>
      <c r="U397" s="49">
        <f>IFERROR(SUMPRODUCT(((D397&lt;&gt;D383)*(E397="Y")*(F397&lt;&gt;F383)*(G397="Y")*(D397&lt;&gt;"")* (F397&lt;&gt;""))+((H397&lt;&gt;H383)*(I397="Y")*(J397&lt;&gt;J383)*(K397="Y")*(H397&lt;&gt;"")* (J397&lt;&gt;""))+((L397&lt;&gt;L383)*(M397="Y")*(N397&lt;&gt;N383)*(O397="Y")*(L397&lt;&gt;"")* (N397&lt;&gt;""))+((P397&lt;&gt;P383)*(Q397="Y")*(R397&lt;&gt;R383)*(S397="Y")*(P397&lt;&gt;"")* (R397&lt;&gt;""))),0)</f>
        <v/>
      </c>
      <c r="V397" s="37">
        <f>IFERROR(SUMPRODUCT(((D397=D383)*(E397="Y")*(F397&lt;&gt;F383)*(G397="Y")*(D397&lt;&gt;"")* (F397&lt;&gt;""))+((H397=H383)*(I397="Y")*(J397&lt;&gt;J383)*(K397="Y")*(H397&lt;&gt;"")* (J397&lt;&gt;""))+((L397=L383)*(M397="Y")*(N397&lt;&gt;N383)*(O397="Y")*(L397&lt;&gt;"")* (N397&lt;&gt;""))+((P397=P383)*(Q397="Y")*(R397&lt;&gt;R383)*(S397="Y")*(P397&lt;&gt;"")* (R397&lt;&gt;""))),0)</f>
        <v/>
      </c>
      <c r="W397" s="37">
        <f>IFERROR(SUMPRODUCT(((E397="N")*(D397&lt;&gt;"")* (F397&lt;&gt;""))+((I397="N")*(H397&lt;&gt;"")* (J397&lt;&gt;""))+((M397="N")*(L397&lt;&gt;"")* (N397&lt;&gt;""))+((Q397="N")*(P397&lt;&gt;"")* (R397&lt;&gt;""))),0)</f>
        <v/>
      </c>
      <c r="X397" s="50">
        <f>IFERROR(U397/4,0)</f>
        <v/>
      </c>
    </row>
    <row r="398" ht="18" customHeight="1">
      <c r="B398" s="46">
        <f>'📥 ข้อมูลนักเรียน'!B18</f>
        <v/>
      </c>
      <c r="C398" s="47">
        <f>'📥 ข้อมูลนักเรียน'!C18</f>
        <v/>
      </c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37">
        <f>IFERROR(SUMPRODUCT(((D398=D383)*(E398="Y")*(F398=F383)*(G398="Y")*(D398&lt;&gt;"")*(F398&lt;&gt;""))+((H398=H383)*(I398="Y")*(J398=J383)*(K398="Y")*(H398&lt;&gt;"")*(J398&lt;&gt;""))+((L398=L383)*(M398="Y")*(N398=N383)*(O398="Y")*(L398&lt;&gt;"")*(N398&lt;&gt;""))+((P398=P383)*(Q398="Y")*(R398=R383)*(S398="Y")*(P398&lt;&gt;"")*(R398&lt;&gt;""))),0)</f>
        <v/>
      </c>
      <c r="U398" s="49">
        <f>IFERROR(SUMPRODUCT(((D398&lt;&gt;D383)*(E398="Y")*(F398&lt;&gt;F383)*(G398="Y")*(D398&lt;&gt;"")*(F398&lt;&gt;""))+((H398&lt;&gt;H383)*(I398="Y")*(J398&lt;&gt;J383)*(K398="Y")*(H398&lt;&gt;"")*(J398&lt;&gt;""))+((L398&lt;&gt;L383)*(M398="Y")*(N398&lt;&gt;N383)*(O398="Y")*(L398&lt;&gt;"")*(N398&lt;&gt;""))+((P398&lt;&gt;P383)*(Q398="Y")*(R398&lt;&gt;R383)*(S398="Y")*(P398&lt;&gt;"")*(R398&lt;&gt;""))),0)</f>
        <v/>
      </c>
      <c r="V398" s="37">
        <f>IFERROR(SUMPRODUCT(((D398=D383)*(E398="Y")*(F398&lt;&gt;F383)*(G398="Y")*(D398&lt;&gt;"")*(F398&lt;&gt;""))+((H398=H383)*(I398="Y")*(J398&lt;&gt;J383)*(K398="Y")*(H398&lt;&gt;"")*(J398&lt;&gt;""))+((L398=L383)*(M398="Y")*(N398&lt;&gt;N383)*(O398="Y")*(L398&lt;&gt;"")*(N398&lt;&gt;""))+((P398=P383)*(Q398="Y")*(R398&lt;&gt;R383)*(S398="Y")*(P398&lt;&gt;"")*(R398&lt;&gt;""))),0)</f>
        <v/>
      </c>
      <c r="W398" s="37">
        <f>IFERROR(SUMPRODUCT(((E398="N")*(D398&lt;&gt;"")*(F398&lt;&gt;""))+((I398="N")*(H398&lt;&gt;"")*(J398&lt;&gt;""))+((M398="N")*(L398&lt;&gt;"")*(N398&lt;&gt;""))+((Q398="N")*(P398&lt;&gt;"")*(R398&lt;&gt;""))),0)</f>
        <v/>
      </c>
      <c r="X398" s="50">
        <f>IFERROR(U398/4,0)</f>
        <v/>
      </c>
    </row>
    <row r="399" ht="18" customHeight="1">
      <c r="B399" s="46">
        <f>'📥 ข้อมูลนักเรียน'!B19</f>
        <v/>
      </c>
      <c r="C399" s="51">
        <f>'📥 ข้อมูลนักเรียน'!C19</f>
        <v/>
      </c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37">
        <f>IFERROR(SUMPRODUCT(((D399=D383)*(E399="Y")*(F399=F383)*(G399="Y")*(D399&lt;&gt;"")*(F399&lt;&gt;""))+((H399=H383)*(I399="Y")*(J399=J383)*(K399="Y")*(H399&lt;&gt;"")*(J399&lt;&gt;""))+((L399=L383)*(M399="Y")*(N399=N383)*(O399="Y")*(L399&lt;&gt;"")*(N399&lt;&gt;""))+((P399=P383)*(Q399="Y")*(R399=R383)*(S399="Y")*(P399&lt;&gt;"")*(R399&lt;&gt;""))),0)</f>
        <v/>
      </c>
      <c r="U399" s="49">
        <f>IFERROR(SUMPRODUCT(((D399&lt;&gt;D383)*(E399="Y")*(F399&lt;&gt;F383)*(G399="Y")*(D399&lt;&gt;"")*(F399&lt;&gt;""))+((H399&lt;&gt;H383)*(I399="Y")*(J399&lt;&gt;J383)*(K399="Y")*(H399&lt;&gt;"")*(J399&lt;&gt;""))+((L399&lt;&gt;L383)*(M399="Y")*(N399&lt;&gt;N383)*(O399="Y")*(L399&lt;&gt;"")*(N399&lt;&gt;""))+((P399&lt;&gt;P383)*(Q399="Y")*(R399&lt;&gt;R383)*(S399="Y")*(P399&lt;&gt;"")*(R399&lt;&gt;""))),0)</f>
        <v/>
      </c>
      <c r="V399" s="37">
        <f>IFERROR(SUMPRODUCT(((D399=D383)*(E399="Y")*(F399&lt;&gt;F383)*(G399="Y")*(D399&lt;&gt;"")*(F399&lt;&gt;""))+((H399=H383)*(I399="Y")*(J399&lt;&gt;J383)*(K399="Y")*(H399&lt;&gt;"")*(J399&lt;&gt;""))+((L399=L383)*(M399="Y")*(N399&lt;&gt;N383)*(O399="Y")*(L399&lt;&gt;"")*(N399&lt;&gt;""))+((P399=P383)*(Q399="Y")*(R399&lt;&gt;R383)*(S399="Y")*(P399&lt;&gt;"")*(R399&lt;&gt;""))),0)</f>
        <v/>
      </c>
      <c r="W399" s="37">
        <f>IFERROR(SUMPRODUCT(((E399="N")*(D399&lt;&gt;"")*(F399&lt;&gt;""))+((I399="N")*(H399&lt;&gt;"")*(J399&lt;&gt;""))+((M399="N")*(L399&lt;&gt;"")*(N399&lt;&gt;""))+((Q399="N")*(P399&lt;&gt;"")*(R399&lt;&gt;""))),0)</f>
        <v/>
      </c>
      <c r="X399" s="50">
        <f>IFERROR(U399/4,0)</f>
        <v/>
      </c>
    </row>
    <row r="400" ht="18" customHeight="1">
      <c r="B400" s="46">
        <f>'📥 ข้อมูลนักเรียน'!B20</f>
        <v/>
      </c>
      <c r="C400" s="47">
        <f>'📥 ข้อมูลนักเรียน'!C20</f>
        <v/>
      </c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37">
        <f>IFERROR(SUMPRODUCT(((D400=D383)*(E400="Y")*(F400=F383)*(G400="Y")*(D400&lt;&gt;"")*(F400&lt;&gt;""))+((H400=H383)*(I400="Y")*(J400=J383)*(K400="Y")*(H400&lt;&gt;"")*(J400&lt;&gt;""))+((L400=L383)*(M400="Y")*(N400=N383)*(O400="Y")*(L400&lt;&gt;"")*(N400&lt;&gt;""))+((P400=P383)*(Q400="Y")*(R400=R383)*(S400="Y")*(P400&lt;&gt;"")*(R400&lt;&gt;""))),0)</f>
        <v/>
      </c>
      <c r="U400" s="49">
        <f>IFERROR(SUMPRODUCT(((D400&lt;&gt;D383)*(E400="Y")*(F400&lt;&gt;F383)*(G400="Y")*(D400&lt;&gt;"")*(F400&lt;&gt;""))+((H400&lt;&gt;H383)*(I400="Y")*(J400&lt;&gt;J383)*(K400="Y")*(H400&lt;&gt;"")*(J400&lt;&gt;""))+((L400&lt;&gt;L383)*(M400="Y")*(N400&lt;&gt;N383)*(O400="Y")*(L400&lt;&gt;"")*(N400&lt;&gt;""))+((P400&lt;&gt;P383)*(Q400="Y")*(R400&lt;&gt;R383)*(S400="Y")*(P400&lt;&gt;"")*(R400&lt;&gt;""))),0)</f>
        <v/>
      </c>
      <c r="V400" s="37">
        <f>IFERROR(SUMPRODUCT(((D400=D383)*(E400="Y")*(F400&lt;&gt;F383)*(G400="Y")*(D400&lt;&gt;"")*(F400&lt;&gt;""))+((H400=H383)*(I400="Y")*(J400&lt;&gt;J383)*(K400="Y")*(H400&lt;&gt;"")*(J400&lt;&gt;""))+((L400=L383)*(M400="Y")*(N400&lt;&gt;N383)*(O400="Y")*(L400&lt;&gt;"")*(N400&lt;&gt;""))+((P400=P383)*(Q400="Y")*(R400&lt;&gt;R383)*(S400="Y")*(P400&lt;&gt;"")*(R400&lt;&gt;""))),0)</f>
        <v/>
      </c>
      <c r="W400" s="37">
        <f>IFERROR(SUMPRODUCT(((E400="N")*(D400&lt;&gt;"")*(F400&lt;&gt;""))+((I400="N")*(H400&lt;&gt;"")*(J400&lt;&gt;""))+((M400="N")*(L400&lt;&gt;"")*(N400&lt;&gt;""))+((Q400="N")*(P400&lt;&gt;"")*(R400&lt;&gt;""))),0)</f>
        <v/>
      </c>
      <c r="X400" s="50">
        <f>IFERROR(U400/4,0)</f>
        <v/>
      </c>
    </row>
    <row r="401" ht="18" customHeight="1">
      <c r="B401" s="46">
        <f>'📥 ข้อมูลนักเรียน'!B21</f>
        <v/>
      </c>
      <c r="C401" s="51">
        <f>'📥 ข้อมูลนักเรียน'!C21</f>
        <v/>
      </c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37">
        <f>IFERROR(SUMPRODUCT(((D401=D383)*(E401="Y")*(F401=F383)*(G401="Y")*(D401&lt;&gt;"")*(F401&lt;&gt;""))+((H401=H383)*(I401="Y")*(J401=J383)*(K401="Y")*(H401&lt;&gt;"")*(J401&lt;&gt;""))+((L401=L383)*(M401="Y")*(N401=N383)*(O401="Y")*(L401&lt;&gt;"")*(N401&lt;&gt;""))+((P401=P383)*(Q401="Y")*(R401=R383)*(S401="Y")*(P401&lt;&gt;"")*(R401&lt;&gt;""))),0)</f>
        <v/>
      </c>
      <c r="U401" s="49">
        <f>IFERROR(SUMPRODUCT(((D401&lt;&gt;D383)*(E401="Y")*(F401&lt;&gt;F383)*(G401="Y")*(D401&lt;&gt;"")*(F401&lt;&gt;""))+((H401&lt;&gt;H383)*(I401="Y")*(J401&lt;&gt;J383)*(K401="Y")*(H401&lt;&gt;"")*(J401&lt;&gt;""))+((L401&lt;&gt;L383)*(M401="Y")*(N401&lt;&gt;N383)*(O401="Y")*(L401&lt;&gt;"")*(N401&lt;&gt;""))+((P401&lt;&gt;P383)*(Q401="Y")*(R401&lt;&gt;R383)*(S401="Y")*(P401&lt;&gt;"")*(R401&lt;&gt;""))),0)</f>
        <v/>
      </c>
      <c r="V401" s="37">
        <f>IFERROR(SUMPRODUCT(((D401=D383)*(E401="Y")*(F401&lt;&gt;F383)*(G401="Y")*(D401&lt;&gt;"")*(F401&lt;&gt;""))+((H401=H383)*(I401="Y")*(J401&lt;&gt;J383)*(K401="Y")*(H401&lt;&gt;"")*(J401&lt;&gt;""))+((L401=L383)*(M401="Y")*(N401&lt;&gt;N383)*(O401="Y")*(L401&lt;&gt;"")*(N401&lt;&gt;""))+((P401=P383)*(Q401="Y")*(R401&lt;&gt;R383)*(S401="Y")*(P401&lt;&gt;"")*(R401&lt;&gt;""))),0)</f>
        <v/>
      </c>
      <c r="W401" s="37">
        <f>IFERROR(SUMPRODUCT(((E401="N")*(D401&lt;&gt;"")*(F401&lt;&gt;""))+((I401="N")*(H401&lt;&gt;"")*(J401&lt;&gt;""))+((M401="N")*(L401&lt;&gt;"")*(N401&lt;&gt;""))+((Q401="N")*(P401&lt;&gt;"")*(R401&lt;&gt;""))),0)</f>
        <v/>
      </c>
      <c r="X401" s="50">
        <f>IFERROR(U401/4,0)</f>
        <v/>
      </c>
    </row>
    <row r="402" ht="18" customHeight="1">
      <c r="B402" s="46">
        <f>'📥 ข้อมูลนักเรียน'!B22</f>
        <v/>
      </c>
      <c r="C402" s="47">
        <f>'📥 ข้อมูลนักเรียน'!C22</f>
        <v/>
      </c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37">
        <f>IFERROR(SUMPRODUCT(((D402=D383)*(E402="Y")*(F402=F383)*(G402="Y")*(D402&lt;&gt;"")*(F402&lt;&gt;""))+((H402=H383)*(I402="Y")*(J402=J383)*(K402="Y")*(H402&lt;&gt;"")*(J402&lt;&gt;""))+((L402=L383)*(M402="Y")*(N402=N383)*(O402="Y")*(L402&lt;&gt;"")*(N402&lt;&gt;""))+((P402=P383)*(Q402="Y")*(R402=R383)*(S402="Y")*(P402&lt;&gt;"")*(R402&lt;&gt;""))),0)</f>
        <v/>
      </c>
      <c r="U402" s="49">
        <f>IFERROR(SUMPRODUCT(((D402&lt;&gt;D383)*(E402="Y")*(F402&lt;&gt;F383)*(G402="Y")*(D402&lt;&gt;"")*(F402&lt;&gt;""))+((H402&lt;&gt;H383)*(I402="Y")*(J402&lt;&gt;J383)*(K402="Y")*(H402&lt;&gt;"")*(J402&lt;&gt;""))+((L402&lt;&gt;L383)*(M402="Y")*(N402&lt;&gt;N383)*(O402="Y")*(L402&lt;&gt;"")*(N402&lt;&gt;""))+((P402&lt;&gt;P383)*(Q402="Y")*(R402&lt;&gt;R383)*(S402="Y")*(P402&lt;&gt;"")*(R402&lt;&gt;""))),0)</f>
        <v/>
      </c>
      <c r="V402" s="37">
        <f>IFERROR(SUMPRODUCT(((D402=D383)*(E402="Y")*(F402&lt;&gt;F383)*(G402="Y")*(D402&lt;&gt;"")*(F402&lt;&gt;""))+((H402=H383)*(I402="Y")*(J402&lt;&gt;J383)*(K402="Y")*(H402&lt;&gt;"")*(J402&lt;&gt;""))+((L402=L383)*(M402="Y")*(N402&lt;&gt;N383)*(O402="Y")*(L402&lt;&gt;"")*(N402&lt;&gt;""))+((P402=P383)*(Q402="Y")*(R402&lt;&gt;R383)*(S402="Y")*(P402&lt;&gt;"")*(R402&lt;&gt;""))),0)</f>
        <v/>
      </c>
      <c r="W402" s="37">
        <f>IFERROR(SUMPRODUCT(((E402="N")*(D402&lt;&gt;"")*(F402&lt;&gt;""))+((I402="N")*(H402&lt;&gt;"")*(J402&lt;&gt;""))+((M402="N")*(L402&lt;&gt;"")*(N402&lt;&gt;""))+((Q402="N")*(P402&lt;&gt;"")*(R402&lt;&gt;""))),0)</f>
        <v/>
      </c>
      <c r="X402" s="50">
        <f>IFERROR(U402/4,0)</f>
        <v/>
      </c>
    </row>
    <row r="403" ht="18" customHeight="1">
      <c r="B403" s="46">
        <f>'📥 ข้อมูลนักเรียน'!B23</f>
        <v/>
      </c>
      <c r="C403" s="51">
        <f>'📥 ข้อมูลนักเรียน'!C23</f>
        <v/>
      </c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37">
        <f>IFERROR(SUMPRODUCT(((D403=D383)*(E403="Y")*(F403=F383)*(G403="Y")*(D403&lt;&gt;"")*(F403&lt;&gt;""))+((H403=H383)*(I403="Y")*(J403=J383)*(K403="Y")*(H403&lt;&gt;"")*(J403&lt;&gt;""))+((L403=L383)*(M403="Y")*(N403=N383)*(O403="Y")*(L403&lt;&gt;"")*(N403&lt;&gt;""))+((P403=P383)*(Q403="Y")*(R403=R383)*(S403="Y")*(P403&lt;&gt;"")*(R403&lt;&gt;""))),0)</f>
        <v/>
      </c>
      <c r="U403" s="49">
        <f>IFERROR(SUMPRODUCT(((D403&lt;&gt;D383)*(E403="Y")*(F403&lt;&gt;F383)*(G403="Y")*(D403&lt;&gt;"")*(F403&lt;&gt;""))+((H403&lt;&gt;H383)*(I403="Y")*(J403&lt;&gt;J383)*(K403="Y")*(H403&lt;&gt;"")*(J403&lt;&gt;""))+((L403&lt;&gt;L383)*(M403="Y")*(N403&lt;&gt;N383)*(O403="Y")*(L403&lt;&gt;"")*(N403&lt;&gt;""))+((P403&lt;&gt;P383)*(Q403="Y")*(R403&lt;&gt;R383)*(S403="Y")*(P403&lt;&gt;"")*(R403&lt;&gt;""))),0)</f>
        <v/>
      </c>
      <c r="V403" s="37">
        <f>IFERROR(SUMPRODUCT(((D403=D383)*(E403="Y")*(F403&lt;&gt;F383)*(G403="Y")*(D403&lt;&gt;"")*(F403&lt;&gt;""))+((H403=H383)*(I403="Y")*(J403&lt;&gt;J383)*(K403="Y")*(H403&lt;&gt;"")*(J403&lt;&gt;""))+((L403=L383)*(M403="Y")*(N403&lt;&gt;N383)*(O403="Y")*(L403&lt;&gt;"")*(N403&lt;&gt;""))+((P403=P383)*(Q403="Y")*(R403&lt;&gt;R383)*(S403="Y")*(P403&lt;&gt;"")*(R403&lt;&gt;""))),0)</f>
        <v/>
      </c>
      <c r="W403" s="37">
        <f>IFERROR(SUMPRODUCT(((E403="N")*(D403&lt;&gt;"")*(F403&lt;&gt;""))+((I403="N")*(H403&lt;&gt;"")*(J403&lt;&gt;""))+((M403="N")*(L403&lt;&gt;"")*(N403&lt;&gt;""))+((Q403="N")*(P403&lt;&gt;"")*(R403&lt;&gt;""))),0)</f>
        <v/>
      </c>
      <c r="X403" s="50">
        <f>IFERROR(U403/4,0)</f>
        <v/>
      </c>
    </row>
    <row r="404" ht="18" customHeight="1">
      <c r="B404" s="46">
        <f>'📥 ข้อมูลนักเรียน'!B24</f>
        <v/>
      </c>
      <c r="C404" s="47">
        <f>'📥 ข้อมูลนักเรียน'!C24</f>
        <v/>
      </c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37">
        <f>IFERROR(SUMPRODUCT(((D404=D383)*(E404="Y")*(F404=F383)*(G404="Y")*(D404&lt;&gt;"")*(F404&lt;&gt;""))+((H404=H383)*(I404="Y")*(J404=J383)*(K404="Y")*(H404&lt;&gt;"")*(J404&lt;&gt;""))+((L404=L383)*(M404="Y")*(N404=N383)*(O404="Y")*(L404&lt;&gt;"")*(N404&lt;&gt;""))+((P404=P383)*(Q404="Y")*(R404=R383)*(S404="Y")*(P404&lt;&gt;"")*(R404&lt;&gt;""))),0)</f>
        <v/>
      </c>
      <c r="U404" s="49">
        <f>IFERROR(SUMPRODUCT(((D404&lt;&gt;D383)*(E404="Y")*(F404&lt;&gt;F383)*(G404="Y")*(D404&lt;&gt;"")*(F404&lt;&gt;""))+((H404&lt;&gt;H383)*(I404="Y")*(J404&lt;&gt;J383)*(K404="Y")*(H404&lt;&gt;"")*(J404&lt;&gt;""))+((L404&lt;&gt;L383)*(M404="Y")*(N404&lt;&gt;N383)*(O404="Y")*(L404&lt;&gt;"")*(N404&lt;&gt;""))+((P404&lt;&gt;P383)*(Q404="Y")*(R404&lt;&gt;R383)*(S404="Y")*(P404&lt;&gt;"")*(R404&lt;&gt;""))),0)</f>
        <v/>
      </c>
      <c r="V404" s="37">
        <f>IFERROR(SUMPRODUCT(((D404=D383)*(E404="Y")*(F404&lt;&gt;F383)*(G404="Y")*(D404&lt;&gt;"")*(F404&lt;&gt;""))+((H404=H383)*(I404="Y")*(J404&lt;&gt;J383)*(K404="Y")*(H404&lt;&gt;"")*(J404&lt;&gt;""))+((L404=L383)*(M404="Y")*(N404&lt;&gt;N383)*(O404="Y")*(L404&lt;&gt;"")*(N404&lt;&gt;""))+((P404=P383)*(Q404="Y")*(R404&lt;&gt;R383)*(S404="Y")*(P404&lt;&gt;"")*(R404&lt;&gt;""))),0)</f>
        <v/>
      </c>
      <c r="W404" s="37">
        <f>IFERROR(SUMPRODUCT(((E404="N")*(D404&lt;&gt;"")*(F404&lt;&gt;""))+((I404="N")*(H404&lt;&gt;"")*(J404&lt;&gt;""))+((M404="N")*(L404&lt;&gt;"")*(N404&lt;&gt;""))+((Q404="N")*(P404&lt;&gt;"")*(R404&lt;&gt;""))),0)</f>
        <v/>
      </c>
      <c r="X404" s="50">
        <f>IFERROR(U404/4,0)</f>
        <v/>
      </c>
    </row>
    <row r="405" ht="18" customHeight="1">
      <c r="B405" s="46">
        <f>'📥 ข้อมูลนักเรียน'!B25</f>
        <v/>
      </c>
      <c r="C405" s="51">
        <f>'📥 ข้อมูลนักเรียน'!C25</f>
        <v/>
      </c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37">
        <f>IFERROR(SUMPRODUCT(((D405=D383)*(E405="Y")*(F405=F383)*(G405="Y")*(D405&lt;&gt;"")*(F405&lt;&gt;""))+((H405=H383)*(I405="Y")*(J405=J383)*(K405="Y")*(H405&lt;&gt;"")*(J405&lt;&gt;""))+((L405=L383)*(M405="Y")*(N405=N383)*(O405="Y")*(L405&lt;&gt;"")*(N405&lt;&gt;""))+((P405=P383)*(Q405="Y")*(R405=R383)*(S405="Y")*(P405&lt;&gt;"")*(R405&lt;&gt;""))),0)</f>
        <v/>
      </c>
      <c r="U405" s="49">
        <f>IFERROR(SUMPRODUCT(((D405&lt;&gt;D383)*(E405="Y")*(F405&lt;&gt;F383)*(G405="Y")*(D405&lt;&gt;"")*(F405&lt;&gt;""))+((H405&lt;&gt;H383)*(I405="Y")*(J405&lt;&gt;J383)*(K405="Y")*(H405&lt;&gt;"")*(J405&lt;&gt;""))+((L405&lt;&gt;L383)*(M405="Y")*(N405&lt;&gt;N383)*(O405="Y")*(L405&lt;&gt;"")*(N405&lt;&gt;""))+((P405&lt;&gt;P383)*(Q405="Y")*(R405&lt;&gt;R383)*(S405="Y")*(P405&lt;&gt;"")*(R405&lt;&gt;""))),0)</f>
        <v/>
      </c>
      <c r="V405" s="37">
        <f>IFERROR(SUMPRODUCT(((D405=D383)*(E405="Y")*(F405&lt;&gt;F383)*(G405="Y")*(D405&lt;&gt;"")*(F405&lt;&gt;""))+((H405=H383)*(I405="Y")*(J405&lt;&gt;J383)*(K405="Y")*(H405&lt;&gt;"")*(J405&lt;&gt;""))+((L405=L383)*(M405="Y")*(N405&lt;&gt;N383)*(O405="Y")*(L405&lt;&gt;"")*(N405&lt;&gt;""))+((P405=P383)*(Q405="Y")*(R405&lt;&gt;R383)*(S405="Y")*(P405&lt;&gt;"")*(R405&lt;&gt;""))),0)</f>
        <v/>
      </c>
      <c r="W405" s="37">
        <f>IFERROR(SUMPRODUCT(((E405="N")*(D405&lt;&gt;"")*(F405&lt;&gt;""))+((I405="N")*(H405&lt;&gt;"")*(J405&lt;&gt;""))+((M405="N")*(L405&lt;&gt;"")*(N405&lt;&gt;""))+((Q405="N")*(P405&lt;&gt;"")*(R405&lt;&gt;""))),0)</f>
        <v/>
      </c>
      <c r="X405" s="50">
        <f>IFERROR(U405/4,0)</f>
        <v/>
      </c>
    </row>
    <row r="406" ht="18" customHeight="1">
      <c r="B406" s="46">
        <f>'📥 ข้อมูลนักเรียน'!B26</f>
        <v/>
      </c>
      <c r="C406" s="47">
        <f>'📥 ข้อมูลนักเรียน'!C26</f>
        <v/>
      </c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37">
        <f>IFERROR(SUMPRODUCT(((D406=D383)*(E406="Y")*(F406=F383)*(G406="Y")*(D406&lt;&gt;"")*(F406&lt;&gt;""))+((H406=H383)*(I406="Y")*(J406=J383)*(K406="Y")*(H406&lt;&gt;"")*(J406&lt;&gt;""))+((L406=L383)*(M406="Y")*(N406=N383)*(O406="Y")*(L406&lt;&gt;"")*(N406&lt;&gt;""))+((P406=P383)*(Q406="Y")*(R406=R383)*(S406="Y")*(P406&lt;&gt;"")*(R406&lt;&gt;""))),0)</f>
        <v/>
      </c>
      <c r="U406" s="49">
        <f>IFERROR(SUMPRODUCT(((D406&lt;&gt;D383)*(E406="Y")*(F406&lt;&gt;F383)*(G406="Y")*(D406&lt;&gt;"")*(F406&lt;&gt;""))+((H406&lt;&gt;H383)*(I406="Y")*(J406&lt;&gt;J383)*(K406="Y")*(H406&lt;&gt;"")*(J406&lt;&gt;""))+((L406&lt;&gt;L383)*(M406="Y")*(N406&lt;&gt;N383)*(O406="Y")*(L406&lt;&gt;"")*(N406&lt;&gt;""))+((P406&lt;&gt;P383)*(Q406="Y")*(R406&lt;&gt;R383)*(S406="Y")*(P406&lt;&gt;"")*(R406&lt;&gt;""))),0)</f>
        <v/>
      </c>
      <c r="V406" s="37">
        <f>IFERROR(SUMPRODUCT(((D406=D383)*(E406="Y")*(F406&lt;&gt;F383)*(G406="Y")*(D406&lt;&gt;"")*(F406&lt;&gt;""))+((H406=H383)*(I406="Y")*(J406&lt;&gt;J383)*(K406="Y")*(H406&lt;&gt;"")*(J406&lt;&gt;""))+((L406=L383)*(M406="Y")*(N406&lt;&gt;N383)*(O406="Y")*(L406&lt;&gt;"")*(N406&lt;&gt;""))+((P406=P383)*(Q406="Y")*(R406&lt;&gt;R383)*(S406="Y")*(P406&lt;&gt;"")*(R406&lt;&gt;""))),0)</f>
        <v/>
      </c>
      <c r="W406" s="37">
        <f>IFERROR(SUMPRODUCT(((E406="N")*(D406&lt;&gt;"")*(F406&lt;&gt;""))+((I406="N")*(H406&lt;&gt;"")*(J406&lt;&gt;""))+((M406="N")*(L406&lt;&gt;"")*(N406&lt;&gt;""))+((Q406="N")*(P406&lt;&gt;"")*(R406&lt;&gt;""))),0)</f>
        <v/>
      </c>
      <c r="X406" s="50">
        <f>IFERROR(U406/4,0)</f>
        <v/>
      </c>
    </row>
    <row r="407" ht="18" customHeight="1">
      <c r="B407" s="46">
        <f>'📥 ข้อมูลนักเรียน'!B27</f>
        <v/>
      </c>
      <c r="C407" s="51">
        <f>'📥 ข้อมูลนักเรียน'!C27</f>
        <v/>
      </c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37">
        <f>IFERROR(SUMPRODUCT(((D407=D383)*(E407="Y")*(F407=F383)*(G407="Y")*(D407&lt;&gt;"")*(F407&lt;&gt;""))+((H407=H383)*(I407="Y")*(J407=J383)*(K407="Y")*(H407&lt;&gt;"")*(J407&lt;&gt;""))+((L407=L383)*(M407="Y")*(N407=N383)*(O407="Y")*(L407&lt;&gt;"")*(N407&lt;&gt;""))+((P407=P383)*(Q407="Y")*(R407=R383)*(S407="Y")*(P407&lt;&gt;"")*(R407&lt;&gt;""))),0)</f>
        <v/>
      </c>
      <c r="U407" s="49">
        <f>IFERROR(SUMPRODUCT(((D407&lt;&gt;D383)*(E407="Y")*(F407&lt;&gt;F383)*(G407="Y")*(D407&lt;&gt;"")*(F407&lt;&gt;""))+((H407&lt;&gt;H383)*(I407="Y")*(J407&lt;&gt;J383)*(K407="Y")*(H407&lt;&gt;"")*(J407&lt;&gt;""))+((L407&lt;&gt;L383)*(M407="Y")*(N407&lt;&gt;N383)*(O407="Y")*(L407&lt;&gt;"")*(N407&lt;&gt;""))+((P407&lt;&gt;P383)*(Q407="Y")*(R407&lt;&gt;R383)*(S407="Y")*(P407&lt;&gt;"")*(R407&lt;&gt;""))),0)</f>
        <v/>
      </c>
      <c r="V407" s="37">
        <f>IFERROR(SUMPRODUCT(((D407=D383)*(E407="Y")*(F407&lt;&gt;F383)*(G407="Y")*(D407&lt;&gt;"")*(F407&lt;&gt;""))+((H407=H383)*(I407="Y")*(J407&lt;&gt;J383)*(K407="Y")*(H407&lt;&gt;"")*(J407&lt;&gt;""))+((L407=L383)*(M407="Y")*(N407&lt;&gt;N383)*(O407="Y")*(L407&lt;&gt;"")*(N407&lt;&gt;""))+((P407=P383)*(Q407="Y")*(R407&lt;&gt;R383)*(S407="Y")*(P407&lt;&gt;"")*(R407&lt;&gt;""))),0)</f>
        <v/>
      </c>
      <c r="W407" s="37">
        <f>IFERROR(SUMPRODUCT(((E407="N")*(D407&lt;&gt;"")*(F407&lt;&gt;""))+((I407="N")*(H407&lt;&gt;"")*(J407&lt;&gt;""))+((M407="N")*(L407&lt;&gt;"")*(N407&lt;&gt;""))+((Q407="N")*(P407&lt;&gt;"")*(R407&lt;&gt;""))),0)</f>
        <v/>
      </c>
      <c r="X407" s="50">
        <f>IFERROR(U407/4,0)</f>
        <v/>
      </c>
    </row>
    <row r="408" ht="18" customHeight="1">
      <c r="B408" s="46">
        <f>'📥 ข้อมูลนักเรียน'!B28</f>
        <v/>
      </c>
      <c r="C408" s="47">
        <f>'📥 ข้อมูลนักเรียน'!C28</f>
        <v/>
      </c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37">
        <f>IFERROR(SUMPRODUCT(((D408=D383)*(E408="Y")*(F408=F383)*(G408="Y")*(D408&lt;&gt;"")*(F408&lt;&gt;""))+((H408=H383)*(I408="Y")*(J408=J383)*(K408="Y")*(H408&lt;&gt;"")*(J408&lt;&gt;""))+((L408=L383)*(M408="Y")*(N408=N383)*(O408="Y")*(L408&lt;&gt;"")*(N408&lt;&gt;""))+((P408=P383)*(Q408="Y")*(R408=R383)*(S408="Y")*(P408&lt;&gt;"")*(R408&lt;&gt;""))),0)</f>
        <v/>
      </c>
      <c r="U408" s="49">
        <f>IFERROR(SUMPRODUCT(((D408&lt;&gt;D383)*(E408="Y")*(F408&lt;&gt;F383)*(G408="Y")*(D408&lt;&gt;"")*(F408&lt;&gt;""))+((H408&lt;&gt;H383)*(I408="Y")*(J408&lt;&gt;J383)*(K408="Y")*(H408&lt;&gt;"")*(J408&lt;&gt;""))+((L408&lt;&gt;L383)*(M408="Y")*(N408&lt;&gt;N383)*(O408="Y")*(L408&lt;&gt;"")*(N408&lt;&gt;""))+((P408&lt;&gt;P383)*(Q408="Y")*(R408&lt;&gt;R383)*(S408="Y")*(P408&lt;&gt;"")*(R408&lt;&gt;""))),0)</f>
        <v/>
      </c>
      <c r="V408" s="37">
        <f>IFERROR(SUMPRODUCT(((D408=D383)*(E408="Y")*(F408&lt;&gt;F383)*(G408="Y")*(D408&lt;&gt;"")*(F408&lt;&gt;""))+((H408=H383)*(I408="Y")*(J408&lt;&gt;J383)*(K408="Y")*(H408&lt;&gt;"")*(J408&lt;&gt;""))+((L408=L383)*(M408="Y")*(N408&lt;&gt;N383)*(O408="Y")*(L408&lt;&gt;"")*(N408&lt;&gt;""))+((P408=P383)*(Q408="Y")*(R408&lt;&gt;R383)*(S408="Y")*(P408&lt;&gt;"")*(R408&lt;&gt;""))),0)</f>
        <v/>
      </c>
      <c r="W408" s="37">
        <f>IFERROR(SUMPRODUCT(((E408="N")*(D408&lt;&gt;"")*(F408&lt;&gt;""))+((I408="N")*(H408&lt;&gt;"")*(J408&lt;&gt;""))+((M408="N")*(L408&lt;&gt;"")*(N408&lt;&gt;""))+((Q408="N")*(P408&lt;&gt;"")*(R408&lt;&gt;""))),0)</f>
        <v/>
      </c>
      <c r="X408" s="50">
        <f>IFERROR(U408/4,0)</f>
        <v/>
      </c>
    </row>
    <row r="409" ht="18" customHeight="1">
      <c r="B409" s="46">
        <f>'📥 ข้อมูลนักเรียน'!B29</f>
        <v/>
      </c>
      <c r="C409" s="51">
        <f>'📥 ข้อมูลนักเรียน'!C29</f>
        <v/>
      </c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37">
        <f>IFERROR(SUMPRODUCT(((D409=D383)*(E409="Y")*(F409=F383)*(G409="Y")*(D409&lt;&gt;"")*(F409&lt;&gt;""))+((H409=H383)*(I409="Y")*(J409=J383)*(K409="Y")*(H409&lt;&gt;"")*(J409&lt;&gt;""))+((L409=L383)*(M409="Y")*(N409=N383)*(O409="Y")*(L409&lt;&gt;"")*(N409&lt;&gt;""))+((P409=P383)*(Q409="Y")*(R409=R383)*(S409="Y")*(P409&lt;&gt;"")*(R409&lt;&gt;""))),0)</f>
        <v/>
      </c>
      <c r="U409" s="49">
        <f>IFERROR(SUMPRODUCT(((D409&lt;&gt;D383)*(E409="Y")*(F409&lt;&gt;F383)*(G409="Y")*(D409&lt;&gt;"")*(F409&lt;&gt;""))+((H409&lt;&gt;H383)*(I409="Y")*(J409&lt;&gt;J383)*(K409="Y")*(H409&lt;&gt;"")*(J409&lt;&gt;""))+((L409&lt;&gt;L383)*(M409="Y")*(N409&lt;&gt;N383)*(O409="Y")*(L409&lt;&gt;"")*(N409&lt;&gt;""))+((P409&lt;&gt;P383)*(Q409="Y")*(R409&lt;&gt;R383)*(S409="Y")*(P409&lt;&gt;"")*(R409&lt;&gt;""))),0)</f>
        <v/>
      </c>
      <c r="V409" s="37">
        <f>IFERROR(SUMPRODUCT(((D409=D383)*(E409="Y")*(F409&lt;&gt;F383)*(G409="Y")*(D409&lt;&gt;"")*(F409&lt;&gt;""))+((H409=H383)*(I409="Y")*(J409&lt;&gt;J383)*(K409="Y")*(H409&lt;&gt;"")*(J409&lt;&gt;""))+((L409=L383)*(M409="Y")*(N409&lt;&gt;N383)*(O409="Y")*(L409&lt;&gt;"")*(N409&lt;&gt;""))+((P409=P383)*(Q409="Y")*(R409&lt;&gt;R383)*(S409="Y")*(P409&lt;&gt;"")*(R409&lt;&gt;""))),0)</f>
        <v/>
      </c>
      <c r="W409" s="37">
        <f>IFERROR(SUMPRODUCT(((E409="N")*(D409&lt;&gt;"")*(F409&lt;&gt;""))+((I409="N")*(H409&lt;&gt;"")*(J409&lt;&gt;""))+((M409="N")*(L409&lt;&gt;"")*(N409&lt;&gt;""))+((Q409="N")*(P409&lt;&gt;"")*(R409&lt;&gt;""))),0)</f>
        <v/>
      </c>
      <c r="X409" s="50">
        <f>IFERROR(U409/4,0)</f>
        <v/>
      </c>
    </row>
    <row r="410" ht="18" customHeight="1">
      <c r="B410" s="46">
        <f>'📥 ข้อมูลนักเรียน'!B30</f>
        <v/>
      </c>
      <c r="C410" s="47">
        <f>'📥 ข้อมูลนักเรียน'!C30</f>
        <v/>
      </c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37">
        <f>IFERROR(SUMPRODUCT(((D410=D383)*(E410="Y")*(F410=F383)*(G410="Y")*(D410&lt;&gt;"")*(F410&lt;&gt;""))+((H410=H383)*(I410="Y")*(J410=J383)*(K410="Y")*(H410&lt;&gt;"")*(J410&lt;&gt;""))+((L410=L383)*(M410="Y")*(N410=N383)*(O410="Y")*(L410&lt;&gt;"")*(N410&lt;&gt;""))+((P410=P383)*(Q410="Y")*(R410=R383)*(S410="Y")*(P410&lt;&gt;"")*(R410&lt;&gt;""))),0)</f>
        <v/>
      </c>
      <c r="U410" s="49">
        <f>IFERROR(SUMPRODUCT(((D410&lt;&gt;D383)*(E410="Y")*(F410&lt;&gt;F383)*(G410="Y")*(D410&lt;&gt;"")*(F410&lt;&gt;""))+((H410&lt;&gt;H383)*(I410="Y")*(J410&lt;&gt;J383)*(K410="Y")*(H410&lt;&gt;"")*(J410&lt;&gt;""))+((L410&lt;&gt;L383)*(M410="Y")*(N410&lt;&gt;N383)*(O410="Y")*(L410&lt;&gt;"")*(N410&lt;&gt;""))+((P410&lt;&gt;P383)*(Q410="Y")*(R410&lt;&gt;R383)*(S410="Y")*(P410&lt;&gt;"")*(R410&lt;&gt;""))),0)</f>
        <v/>
      </c>
      <c r="V410" s="37">
        <f>IFERROR(SUMPRODUCT(((D410=D383)*(E410="Y")*(F410&lt;&gt;F383)*(G410="Y")*(D410&lt;&gt;"")*(F410&lt;&gt;""))+((H410=H383)*(I410="Y")*(J410&lt;&gt;J383)*(K410="Y")*(H410&lt;&gt;"")*(J410&lt;&gt;""))+((L410=L383)*(M410="Y")*(N410&lt;&gt;N383)*(O410="Y")*(L410&lt;&gt;"")*(N410&lt;&gt;""))+((P410=P383)*(Q410="Y")*(R410&lt;&gt;R383)*(S410="Y")*(P410&lt;&gt;"")*(R410&lt;&gt;""))),0)</f>
        <v/>
      </c>
      <c r="W410" s="37">
        <f>IFERROR(SUMPRODUCT(((E410="N")*(D410&lt;&gt;"")*(F410&lt;&gt;""))+((I410="N")*(H410&lt;&gt;"")*(J410&lt;&gt;""))+((M410="N")*(L410&lt;&gt;"")*(N410&lt;&gt;""))+((Q410="N")*(P410&lt;&gt;"")*(R410&lt;&gt;""))),0)</f>
        <v/>
      </c>
      <c r="X410" s="50">
        <f>IFERROR(U410/4,0)</f>
        <v/>
      </c>
    </row>
    <row r="411" ht="18" customHeight="1">
      <c r="B411" s="46">
        <f>'📥 ข้อมูลนักเรียน'!B31</f>
        <v/>
      </c>
      <c r="C411" s="51">
        <f>'📥 ข้อมูลนักเรียน'!C31</f>
        <v/>
      </c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37">
        <f>IFERROR(SUMPRODUCT(((D411=D383)*(E411="Y")*(F411=F383)*(G411="Y")*(D411&lt;&gt;"")*(F411&lt;&gt;""))+((H411=H383)*(I411="Y")*(J411=J383)*(K411="Y")*(H411&lt;&gt;"")*(J411&lt;&gt;""))+((L411=L383)*(M411="Y")*(N411=N383)*(O411="Y")*(L411&lt;&gt;"")*(N411&lt;&gt;""))+((P411=P383)*(Q411="Y")*(R411=R383)*(S411="Y")*(P411&lt;&gt;"")*(R411&lt;&gt;""))),0)</f>
        <v/>
      </c>
      <c r="U411" s="49">
        <f>IFERROR(SUMPRODUCT(((D411&lt;&gt;D383)*(E411="Y")*(F411&lt;&gt;F383)*(G411="Y")*(D411&lt;&gt;"")*(F411&lt;&gt;""))+((H411&lt;&gt;H383)*(I411="Y")*(J411&lt;&gt;J383)*(K411="Y")*(H411&lt;&gt;"")*(J411&lt;&gt;""))+((L411&lt;&gt;L383)*(M411="Y")*(N411&lt;&gt;N383)*(O411="Y")*(L411&lt;&gt;"")*(N411&lt;&gt;""))+((P411&lt;&gt;P383)*(Q411="Y")*(R411&lt;&gt;R383)*(S411="Y")*(P411&lt;&gt;"")*(R411&lt;&gt;""))),0)</f>
        <v/>
      </c>
      <c r="V411" s="37">
        <f>IFERROR(SUMPRODUCT(((D411=D383)*(E411="Y")*(F411&lt;&gt;F383)*(G411="Y")*(D411&lt;&gt;"")*(F411&lt;&gt;""))+((H411=H383)*(I411="Y")*(J411&lt;&gt;J383)*(K411="Y")*(H411&lt;&gt;"")*(J411&lt;&gt;""))+((L411=L383)*(M411="Y")*(N411&lt;&gt;N383)*(O411="Y")*(L411&lt;&gt;"")*(N411&lt;&gt;""))+((P411=P383)*(Q411="Y")*(R411&lt;&gt;R383)*(S411="Y")*(P411&lt;&gt;"")*(R411&lt;&gt;""))),0)</f>
        <v/>
      </c>
      <c r="W411" s="37">
        <f>IFERROR(SUMPRODUCT(((E411="N")*(D411&lt;&gt;"")*(F411&lt;&gt;""))+((I411="N")*(H411&lt;&gt;"")*(J411&lt;&gt;""))+((M411="N")*(L411&lt;&gt;"")*(N411&lt;&gt;""))+((Q411="N")*(P411&lt;&gt;"")*(R411&lt;&gt;""))),0)</f>
        <v/>
      </c>
      <c r="X411" s="50">
        <f>IFERROR(U411/4,0)</f>
        <v/>
      </c>
    </row>
    <row r="412" ht="18" customHeight="1">
      <c r="B412" s="46">
        <f>'📥 ข้อมูลนักเรียน'!B32</f>
        <v/>
      </c>
      <c r="C412" s="47">
        <f>'📥 ข้อมูลนักเรียน'!C32</f>
        <v/>
      </c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37">
        <f>IFERROR(SUMPRODUCT(((D412=D383)*(E412="Y")*(F412=F383)*(G412="Y")*(D412&lt;&gt;"")*(F412&lt;&gt;""))+((H412=H383)*(I412="Y")*(J412=J383)*(K412="Y")*(H412&lt;&gt;"")*(J412&lt;&gt;""))+((L412=L383)*(M412="Y")*(N412=N383)*(O412="Y")*(L412&lt;&gt;"")*(N412&lt;&gt;""))+((P412=P383)*(Q412="Y")*(R412=R383)*(S412="Y")*(P412&lt;&gt;"")*(R412&lt;&gt;""))),0)</f>
        <v/>
      </c>
      <c r="U412" s="49">
        <f>IFERROR(SUMPRODUCT(((D412&lt;&gt;D383)*(E412="Y")*(F412&lt;&gt;F383)*(G412="Y")*(D412&lt;&gt;"")*(F412&lt;&gt;""))+((H412&lt;&gt;H383)*(I412="Y")*(J412&lt;&gt;J383)*(K412="Y")*(H412&lt;&gt;"")*(J412&lt;&gt;""))+((L412&lt;&gt;L383)*(M412="Y")*(N412&lt;&gt;N383)*(O412="Y")*(L412&lt;&gt;"")*(N412&lt;&gt;""))+((P412&lt;&gt;P383)*(Q412="Y")*(R412&lt;&gt;R383)*(S412="Y")*(P412&lt;&gt;"")*(R412&lt;&gt;""))),0)</f>
        <v/>
      </c>
      <c r="V412" s="37">
        <f>IFERROR(SUMPRODUCT(((D412=D383)*(E412="Y")*(F412&lt;&gt;F383)*(G412="Y")*(D412&lt;&gt;"")*(F412&lt;&gt;""))+((H412=H383)*(I412="Y")*(J412&lt;&gt;J383)*(K412="Y")*(H412&lt;&gt;"")*(J412&lt;&gt;""))+((L412=L383)*(M412="Y")*(N412&lt;&gt;N383)*(O412="Y")*(L412&lt;&gt;"")*(N412&lt;&gt;""))+((P412=P383)*(Q412="Y")*(R412&lt;&gt;R383)*(S412="Y")*(P412&lt;&gt;"")*(R412&lt;&gt;""))),0)</f>
        <v/>
      </c>
      <c r="W412" s="37">
        <f>IFERROR(SUMPRODUCT(((E412="N")*(D412&lt;&gt;"")*(F412&lt;&gt;""))+((I412="N")*(H412&lt;&gt;"")*(J412&lt;&gt;""))+((M412="N")*(L412&lt;&gt;"")*(N412&lt;&gt;""))+((Q412="N")*(P412&lt;&gt;"")*(R412&lt;&gt;""))),0)</f>
        <v/>
      </c>
      <c r="X412" s="50">
        <f>IFERROR(U412/4,0)</f>
        <v/>
      </c>
    </row>
    <row r="413" ht="18" customHeight="1">
      <c r="B413" s="46">
        <f>'📥 ข้อมูลนักเรียน'!B33</f>
        <v/>
      </c>
      <c r="C413" s="51">
        <f>'📥 ข้อมูลนักเรียน'!C33</f>
        <v/>
      </c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37">
        <f>IFERROR(SUMPRODUCT(((D413=D383)*(E413="Y")*(F413=F383)*(G413="Y")*(D413&lt;&gt;"")*(F413&lt;&gt;""))+((H413=H383)*(I413="Y")*(J413=J383)*(K413="Y")*(H413&lt;&gt;"")*(J413&lt;&gt;""))+((L413=L383)*(M413="Y")*(N413=N383)*(O413="Y")*(L413&lt;&gt;"")*(N413&lt;&gt;""))+((P413=P383)*(Q413="Y")*(R413=R383)*(S413="Y")*(P413&lt;&gt;"")*(R413&lt;&gt;""))),0)</f>
        <v/>
      </c>
      <c r="U413" s="49">
        <f>IFERROR(SUMPRODUCT(((D413&lt;&gt;D383)*(E413="Y")*(F413&lt;&gt;F383)*(G413="Y")*(D413&lt;&gt;"")*(F413&lt;&gt;""))+((H413&lt;&gt;H383)*(I413="Y")*(J413&lt;&gt;J383)*(K413="Y")*(H413&lt;&gt;"")*(J413&lt;&gt;""))+((L413&lt;&gt;L383)*(M413="Y")*(N413&lt;&gt;N383)*(O413="Y")*(L413&lt;&gt;"")*(N413&lt;&gt;""))+((P413&lt;&gt;P383)*(Q413="Y")*(R413&lt;&gt;R383)*(S413="Y")*(P413&lt;&gt;"")*(R413&lt;&gt;""))),0)</f>
        <v/>
      </c>
      <c r="V413" s="37">
        <f>IFERROR(SUMPRODUCT(((D413=D383)*(E413="Y")*(F413&lt;&gt;F383)*(G413="Y")*(D413&lt;&gt;"")*(F413&lt;&gt;""))+((H413=H383)*(I413="Y")*(J413&lt;&gt;J383)*(K413="Y")*(H413&lt;&gt;"")*(J413&lt;&gt;""))+((L413=L383)*(M413="Y")*(N413&lt;&gt;N383)*(O413="Y")*(L413&lt;&gt;"")*(N413&lt;&gt;""))+((P413=P383)*(Q413="Y")*(R413&lt;&gt;R383)*(S413="Y")*(P413&lt;&gt;"")*(R413&lt;&gt;""))),0)</f>
        <v/>
      </c>
      <c r="W413" s="37">
        <f>IFERROR(SUMPRODUCT(((E413="N")*(D413&lt;&gt;"")*(F413&lt;&gt;""))+((I413="N")*(H413&lt;&gt;"")*(J413&lt;&gt;""))+((M413="N")*(L413&lt;&gt;"")*(N413&lt;&gt;""))+((Q413="N")*(P413&lt;&gt;"")*(R413&lt;&gt;""))),0)</f>
        <v/>
      </c>
      <c r="X413" s="50">
        <f>IFERROR(U413/4,0)</f>
        <v/>
      </c>
    </row>
    <row r="414" ht="18" customHeight="1">
      <c r="B414" s="46">
        <f>'📥 ข้อมูลนักเรียน'!B34</f>
        <v/>
      </c>
      <c r="C414" s="47">
        <f>'📥 ข้อมูลนักเรียน'!C34</f>
        <v/>
      </c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37">
        <f>IFERROR(SUMPRODUCT(((D414=D383)*(E414="Y")*(F414=F383)*(G414="Y")*(D414&lt;&gt;"")*(F414&lt;&gt;""))+((H414=H383)*(I414="Y")*(J414=J383)*(K414="Y")*(H414&lt;&gt;"")*(J414&lt;&gt;""))+((L414=L383)*(M414="Y")*(N414=N383)*(O414="Y")*(L414&lt;&gt;"")*(N414&lt;&gt;""))+((P414=P383)*(Q414="Y")*(R414=R383)*(S414="Y")*(P414&lt;&gt;"")*(R414&lt;&gt;""))),0)</f>
        <v/>
      </c>
      <c r="U414" s="49">
        <f>IFERROR(SUMPRODUCT(((D414&lt;&gt;D383)*(E414="Y")*(F414&lt;&gt;F383)*(G414="Y")*(D414&lt;&gt;"")*(F414&lt;&gt;""))+((H414&lt;&gt;H383)*(I414="Y")*(J414&lt;&gt;J383)*(K414="Y")*(H414&lt;&gt;"")*(J414&lt;&gt;""))+((L414&lt;&gt;L383)*(M414="Y")*(N414&lt;&gt;N383)*(O414="Y")*(L414&lt;&gt;"")*(N414&lt;&gt;""))+((P414&lt;&gt;P383)*(Q414="Y")*(R414&lt;&gt;R383)*(S414="Y")*(P414&lt;&gt;"")*(R414&lt;&gt;""))),0)</f>
        <v/>
      </c>
      <c r="V414" s="37">
        <f>IFERROR(SUMPRODUCT(((D414=D383)*(E414="Y")*(F414&lt;&gt;F383)*(G414="Y")*(D414&lt;&gt;"")*(F414&lt;&gt;""))+((H414=H383)*(I414="Y")*(J414&lt;&gt;J383)*(K414="Y")*(H414&lt;&gt;"")*(J414&lt;&gt;""))+((L414=L383)*(M414="Y")*(N414&lt;&gt;N383)*(O414="Y")*(L414&lt;&gt;"")*(N414&lt;&gt;""))+((P414=P383)*(Q414="Y")*(R414&lt;&gt;R383)*(S414="Y")*(P414&lt;&gt;"")*(R414&lt;&gt;""))),0)</f>
        <v/>
      </c>
      <c r="W414" s="37">
        <f>IFERROR(SUMPRODUCT(((E414="N")*(D414&lt;&gt;"")*(F414&lt;&gt;""))+((I414="N")*(H414&lt;&gt;"")*(J414&lt;&gt;""))+((M414="N")*(L414&lt;&gt;"")*(N414&lt;&gt;""))+((Q414="N")*(P414&lt;&gt;"")*(R414&lt;&gt;""))),0)</f>
        <v/>
      </c>
      <c r="X414" s="50">
        <f>IFERROR(U414/4,0)</f>
        <v/>
      </c>
    </row>
    <row r="415" ht="18" customHeight="1">
      <c r="B415" s="46">
        <f>'📥 ข้อมูลนักเรียน'!B35</f>
        <v/>
      </c>
      <c r="C415" s="51">
        <f>'📥 ข้อมูลนักเรียน'!C35</f>
        <v/>
      </c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37">
        <f>IFERROR(SUMPRODUCT(((D415=D383)*(E415="Y")*(F415=F383)*(G415="Y")*(D415&lt;&gt;"")*(F415&lt;&gt;""))+((H415=H383)*(I415="Y")*(J415=J383)*(K415="Y")*(H415&lt;&gt;"")*(J415&lt;&gt;""))+((L415=L383)*(M415="Y")*(N415=N383)*(O415="Y")*(L415&lt;&gt;"")*(N415&lt;&gt;""))+((P415=P383)*(Q415="Y")*(R415=R383)*(S415="Y")*(P415&lt;&gt;"")*(R415&lt;&gt;""))),0)</f>
        <v/>
      </c>
      <c r="U415" s="49">
        <f>IFERROR(SUMPRODUCT(((D415&lt;&gt;D383)*(E415="Y")*(F415&lt;&gt;F383)*(G415="Y")*(D415&lt;&gt;"")*(F415&lt;&gt;""))+((H415&lt;&gt;H383)*(I415="Y")*(J415&lt;&gt;J383)*(K415="Y")*(H415&lt;&gt;"")*(J415&lt;&gt;""))+((L415&lt;&gt;L383)*(M415="Y")*(N415&lt;&gt;N383)*(O415="Y")*(L415&lt;&gt;"")*(N415&lt;&gt;""))+((P415&lt;&gt;P383)*(Q415="Y")*(R415&lt;&gt;R383)*(S415="Y")*(P415&lt;&gt;"")*(R415&lt;&gt;""))),0)</f>
        <v/>
      </c>
      <c r="V415" s="37">
        <f>IFERROR(SUMPRODUCT(((D415=D383)*(E415="Y")*(F415&lt;&gt;F383)*(G415="Y")*(D415&lt;&gt;"")*(F415&lt;&gt;""))+((H415=H383)*(I415="Y")*(J415&lt;&gt;J383)*(K415="Y")*(H415&lt;&gt;"")*(J415&lt;&gt;""))+((L415=L383)*(M415="Y")*(N415&lt;&gt;N383)*(O415="Y")*(L415&lt;&gt;"")*(N415&lt;&gt;""))+((P415=P383)*(Q415="Y")*(R415&lt;&gt;R383)*(S415="Y")*(P415&lt;&gt;"")*(R415&lt;&gt;""))),0)</f>
        <v/>
      </c>
      <c r="W415" s="37">
        <f>IFERROR(SUMPRODUCT(((E415="N")*(D415&lt;&gt;"")*(F415&lt;&gt;""))+((I415="N")*(H415&lt;&gt;"")*(J415&lt;&gt;""))+((M415="N")*(L415&lt;&gt;"")*(N415&lt;&gt;""))+((Q415="N")*(P415&lt;&gt;"")*(R415&lt;&gt;""))),0)</f>
        <v/>
      </c>
      <c r="X415" s="50">
        <f>IFERROR(U415/4,0)</f>
        <v/>
      </c>
    </row>
    <row r="416" ht="18" customHeight="1">
      <c r="B416" s="46">
        <f>'📥 ข้อมูลนักเรียน'!B36</f>
        <v/>
      </c>
      <c r="C416" s="47">
        <f>'📥 ข้อมูลนักเรียน'!C36</f>
        <v/>
      </c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37">
        <f>IFERROR(SUMPRODUCT(((D416=D383)*(E416="Y")*(F416=F383)*(G416="Y")*(D416&lt;&gt;"")*(F416&lt;&gt;""))+((H416=H383)*(I416="Y")*(J416=J383)*(K416="Y")*(H416&lt;&gt;"")*(J416&lt;&gt;""))+((L416=L383)*(M416="Y")*(N416=N383)*(O416="Y")*(L416&lt;&gt;"")*(N416&lt;&gt;""))+((P416=P383)*(Q416="Y")*(R416=R383)*(S416="Y")*(P416&lt;&gt;"")*(R416&lt;&gt;""))),0)</f>
        <v/>
      </c>
      <c r="U416" s="49">
        <f>IFERROR(SUMPRODUCT(((D416&lt;&gt;D383)*(E416="Y")*(F416&lt;&gt;F383)*(G416="Y")*(D416&lt;&gt;"")*(F416&lt;&gt;""))+((H416&lt;&gt;H383)*(I416="Y")*(J416&lt;&gt;J383)*(K416="Y")*(H416&lt;&gt;"")*(J416&lt;&gt;""))+((L416&lt;&gt;L383)*(M416="Y")*(N416&lt;&gt;N383)*(O416="Y")*(L416&lt;&gt;"")*(N416&lt;&gt;""))+((P416&lt;&gt;P383)*(Q416="Y")*(R416&lt;&gt;R383)*(S416="Y")*(P416&lt;&gt;"")*(R416&lt;&gt;""))),0)</f>
        <v/>
      </c>
      <c r="V416" s="37">
        <f>IFERROR(SUMPRODUCT(((D416=D383)*(E416="Y")*(F416&lt;&gt;F383)*(G416="Y")*(D416&lt;&gt;"")*(F416&lt;&gt;""))+((H416=H383)*(I416="Y")*(J416&lt;&gt;J383)*(K416="Y")*(H416&lt;&gt;"")*(J416&lt;&gt;""))+((L416=L383)*(M416="Y")*(N416&lt;&gt;N383)*(O416="Y")*(L416&lt;&gt;"")*(N416&lt;&gt;""))+((P416=P383)*(Q416="Y")*(R416&lt;&gt;R383)*(S416="Y")*(P416&lt;&gt;"")*(R416&lt;&gt;""))),0)</f>
        <v/>
      </c>
      <c r="W416" s="37">
        <f>IFERROR(SUMPRODUCT(((E416="N")*(D416&lt;&gt;"")*(F416&lt;&gt;""))+((I416="N")*(H416&lt;&gt;"")*(J416&lt;&gt;""))+((M416="N")*(L416&lt;&gt;"")*(N416&lt;&gt;""))+((Q416="N")*(P416&lt;&gt;"")*(R416&lt;&gt;""))),0)</f>
        <v/>
      </c>
      <c r="X416" s="50">
        <f>IFERROR(U416/4,0)</f>
        <v/>
      </c>
    </row>
    <row r="417" ht="18" customHeight="1">
      <c r="B417" s="46">
        <f>'📥 ข้อมูลนักเรียน'!B37</f>
        <v/>
      </c>
      <c r="C417" s="51">
        <f>'📥 ข้อมูลนักเรียน'!C37</f>
        <v/>
      </c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37">
        <f>IFERROR(SUMPRODUCT(((D417=D383)*(E417="Y")*(F417=F383)*(G417="Y")*(D417&lt;&gt;"")*(F417&lt;&gt;""))+((H417=H383)*(I417="Y")*(J417=J383)*(K417="Y")*(H417&lt;&gt;"")*(J417&lt;&gt;""))+((L417=L383)*(M417="Y")*(N417=N383)*(O417="Y")*(L417&lt;&gt;"")*(N417&lt;&gt;""))+((P417=P383)*(Q417="Y")*(R417=R383)*(S417="Y")*(P417&lt;&gt;"")*(R417&lt;&gt;""))),0)</f>
        <v/>
      </c>
      <c r="U417" s="49">
        <f>IFERROR(SUMPRODUCT(((D417&lt;&gt;D383)*(E417="Y")*(F417&lt;&gt;F383)*(G417="Y")*(D417&lt;&gt;"")*(F417&lt;&gt;""))+((H417&lt;&gt;H383)*(I417="Y")*(J417&lt;&gt;J383)*(K417="Y")*(H417&lt;&gt;"")*(J417&lt;&gt;""))+((L417&lt;&gt;L383)*(M417="Y")*(N417&lt;&gt;N383)*(O417="Y")*(L417&lt;&gt;"")*(N417&lt;&gt;""))+((P417&lt;&gt;P383)*(Q417="Y")*(R417&lt;&gt;R383)*(S417="Y")*(P417&lt;&gt;"")*(R417&lt;&gt;""))),0)</f>
        <v/>
      </c>
      <c r="V417" s="37">
        <f>IFERROR(SUMPRODUCT(((D417=D383)*(E417="Y")*(F417&lt;&gt;F383)*(G417="Y")*(D417&lt;&gt;"")*(F417&lt;&gt;""))+((H417=H383)*(I417="Y")*(J417&lt;&gt;J383)*(K417="Y")*(H417&lt;&gt;"")*(J417&lt;&gt;""))+((L417=L383)*(M417="Y")*(N417&lt;&gt;N383)*(O417="Y")*(L417&lt;&gt;"")*(N417&lt;&gt;""))+((P417=P383)*(Q417="Y")*(R417&lt;&gt;R383)*(S417="Y")*(P417&lt;&gt;"")*(R417&lt;&gt;""))),0)</f>
        <v/>
      </c>
      <c r="W417" s="37">
        <f>IFERROR(SUMPRODUCT(((E417="N")*(D417&lt;&gt;"")*(F417&lt;&gt;""))+((I417="N")*(H417&lt;&gt;"")*(J417&lt;&gt;""))+((M417="N")*(L417&lt;&gt;"")*(N417&lt;&gt;""))+((Q417="N")*(P417&lt;&gt;"")*(R417&lt;&gt;""))),0)</f>
        <v/>
      </c>
      <c r="X417" s="50">
        <f>IFERROR(U417/4,0)</f>
        <v/>
      </c>
    </row>
    <row r="418" ht="18" customHeight="1">
      <c r="B418" s="46">
        <f>'📥 ข้อมูลนักเรียน'!B38</f>
        <v/>
      </c>
      <c r="C418" s="47">
        <f>'📥 ข้อมูลนักเรียน'!C38</f>
        <v/>
      </c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37">
        <f>IFERROR(SUMPRODUCT(((D418=D383)*(E418="Y")*(F418=F383)*(G418="Y")*(D418&lt;&gt;"")*(F418&lt;&gt;""))+((H418=H383)*(I418="Y")*(J418=J383)*(K418="Y")*(H418&lt;&gt;"")*(J418&lt;&gt;""))+((L418=L383)*(M418="Y")*(N418=N383)*(O418="Y")*(L418&lt;&gt;"")*(N418&lt;&gt;""))+((P418=P383)*(Q418="Y")*(R418=R383)*(S418="Y")*(P418&lt;&gt;"")*(R418&lt;&gt;""))),0)</f>
        <v/>
      </c>
      <c r="U418" s="49">
        <f>IFERROR(SUMPRODUCT(((D418&lt;&gt;D383)*(E418="Y")*(F418&lt;&gt;F383)*(G418="Y")*(D418&lt;&gt;"")*(F418&lt;&gt;""))+((H418&lt;&gt;H383)*(I418="Y")*(J418&lt;&gt;J383)*(K418="Y")*(H418&lt;&gt;"")*(J418&lt;&gt;""))+((L418&lt;&gt;L383)*(M418="Y")*(N418&lt;&gt;N383)*(O418="Y")*(L418&lt;&gt;"")*(N418&lt;&gt;""))+((P418&lt;&gt;P383)*(Q418="Y")*(R418&lt;&gt;R383)*(S418="Y")*(P418&lt;&gt;"")*(R418&lt;&gt;""))),0)</f>
        <v/>
      </c>
      <c r="V418" s="37">
        <f>IFERROR(SUMPRODUCT(((D418=D383)*(E418="Y")*(F418&lt;&gt;F383)*(G418="Y")*(D418&lt;&gt;"")*(F418&lt;&gt;""))+((H418=H383)*(I418="Y")*(J418&lt;&gt;J383)*(K418="Y")*(H418&lt;&gt;"")*(J418&lt;&gt;""))+((L418=L383)*(M418="Y")*(N418&lt;&gt;N383)*(O418="Y")*(L418&lt;&gt;"")*(N418&lt;&gt;""))+((P418=P383)*(Q418="Y")*(R418&lt;&gt;R383)*(S418="Y")*(P418&lt;&gt;"")*(R418&lt;&gt;""))),0)</f>
        <v/>
      </c>
      <c r="W418" s="37">
        <f>IFERROR(SUMPRODUCT(((E418="N")*(D418&lt;&gt;"")*(F418&lt;&gt;""))+((I418="N")*(H418&lt;&gt;"")*(J418&lt;&gt;""))+((M418="N")*(L418&lt;&gt;"")*(N418&lt;&gt;""))+((Q418="N")*(P418&lt;&gt;"")*(R418&lt;&gt;""))),0)</f>
        <v/>
      </c>
      <c r="X418" s="50">
        <f>IFERROR(U418/4,0)</f>
        <v/>
      </c>
    </row>
    <row r="419" ht="24" customHeight="1">
      <c r="B419" s="240" t="inlineStr">
        <is>
          <t>สรุป Pre แผน 6</t>
        </is>
      </c>
      <c r="C419" s="369" t="n"/>
      <c r="T419" s="52">
        <f>IFERROR(AVERAGE(T384:T418)*4,0)</f>
        <v/>
      </c>
      <c r="U419" s="53">
        <f>IFERROR(AVERAGE(U384:U418)*4,0)</f>
        <v/>
      </c>
      <c r="V419" s="54">
        <f>IFERROR(AVERAGE(V384:V418)*4,0)</f>
        <v/>
      </c>
      <c r="W419" s="55">
        <f>IFERROR(AVERAGE(W384:W418)*4,0)</f>
        <v/>
      </c>
      <c r="X419" s="56">
        <f>IFERROR(AVERAGE(X384:X418),0)</f>
        <v/>
      </c>
    </row>
    <row r="420" ht="19.5" customHeight="1">
      <c r="B420" s="241" t="inlineStr">
        <is>
          <t>🟢 POST-test — หลังสอน  (แผน 6 ข้อ 21–24)</t>
        </is>
      </c>
    </row>
    <row r="421" ht="27.75" customHeight="1">
      <c r="B421" s="27" t="inlineStr">
        <is>
          <t>ที่</t>
        </is>
      </c>
      <c r="C421" s="27" t="inlineStr">
        <is>
          <t>ชื่อนักเรียน</t>
        </is>
      </c>
      <c r="D421" s="242" t="inlineStr">
        <is>
          <t>ข้อ 21</t>
        </is>
      </c>
      <c r="E421" s="369" t="n"/>
      <c r="F421" s="369" t="n"/>
      <c r="G421" s="369" t="n"/>
      <c r="H421" s="242" t="inlineStr">
        <is>
          <t>ข้อ 22</t>
        </is>
      </c>
      <c r="I421" s="369" t="n"/>
      <c r="J421" s="369" t="n"/>
      <c r="K421" s="369" t="n"/>
      <c r="L421" s="242" t="inlineStr">
        <is>
          <t>ข้อ 23</t>
        </is>
      </c>
      <c r="M421" s="369" t="n"/>
      <c r="N421" s="369" t="n"/>
      <c r="O421" s="369" t="n"/>
      <c r="P421" s="242" t="inlineStr">
        <is>
          <t>ข้อ 24</t>
        </is>
      </c>
      <c r="Q421" s="369" t="n"/>
      <c r="R421" s="369" t="n"/>
      <c r="S421" s="369" t="n"/>
      <c r="T421" s="57" t="inlineStr">
        <is>
          <t>Sound
✅</t>
        </is>
      </c>
      <c r="U421" s="57" t="inlineStr">
        <is>
          <t>Misc
❌</t>
        </is>
      </c>
      <c r="V421" s="57" t="inlineStr">
        <is>
          <t>Guess
🎲</t>
        </is>
      </c>
      <c r="W421" s="57" t="inlineStr">
        <is>
          <t>NoK
❓</t>
        </is>
      </c>
      <c r="X421" s="57" t="inlineStr">
        <is>
          <t>% Misc
(Auto)</t>
        </is>
      </c>
    </row>
    <row r="422" ht="27.75" customHeight="1">
      <c r="B422" s="58" t="n"/>
      <c r="C422" s="59" t="inlineStr">
        <is>
          <t>← กรอกเฉลย T1 และ T3</t>
        </is>
      </c>
      <c r="D422" s="60" t="inlineStr">
        <is>
          <t>T1
(ก-ง)</t>
        </is>
      </c>
      <c r="E422" s="60" t="inlineStr">
        <is>
          <t>T2
(Y/N)</t>
        </is>
      </c>
      <c r="F422" s="60" t="inlineStr">
        <is>
          <t>T3
(ก-ง)</t>
        </is>
      </c>
      <c r="G422" s="60" t="inlineStr">
        <is>
          <t>T4
(Y/N)</t>
        </is>
      </c>
      <c r="H422" s="60" t="inlineStr">
        <is>
          <t>T1
(ก-ง)</t>
        </is>
      </c>
      <c r="I422" s="60" t="inlineStr">
        <is>
          <t>T2
(Y/N)</t>
        </is>
      </c>
      <c r="J422" s="60" t="inlineStr">
        <is>
          <t>T3
(ก-ง)</t>
        </is>
      </c>
      <c r="K422" s="60" t="inlineStr">
        <is>
          <t>T4
(Y/N)</t>
        </is>
      </c>
      <c r="L422" s="60" t="inlineStr">
        <is>
          <t>T1
(ก-ง)</t>
        </is>
      </c>
      <c r="M422" s="60" t="inlineStr">
        <is>
          <t>T2
(Y/N)</t>
        </is>
      </c>
      <c r="N422" s="60" t="inlineStr">
        <is>
          <t>T3
(ก-ง)</t>
        </is>
      </c>
      <c r="O422" s="60" t="inlineStr">
        <is>
          <t>T4
(Y/N)</t>
        </is>
      </c>
      <c r="P422" s="60" t="inlineStr">
        <is>
          <t>T1
(ก-ง)</t>
        </is>
      </c>
      <c r="Q422" s="60" t="inlineStr">
        <is>
          <t>T2
(Y/N)</t>
        </is>
      </c>
      <c r="R422" s="60" t="inlineStr">
        <is>
          <t>T3
(ก-ง)</t>
        </is>
      </c>
      <c r="S422" s="60" t="inlineStr">
        <is>
          <t>T4
(Y/N)</t>
        </is>
      </c>
      <c r="T422" s="61" t="inlineStr">
        <is>
          <t>—</t>
        </is>
      </c>
      <c r="U422" s="61" t="inlineStr">
        <is>
          <t>—</t>
        </is>
      </c>
      <c r="V422" s="61" t="inlineStr">
        <is>
          <t>—</t>
        </is>
      </c>
      <c r="W422" s="61" t="inlineStr">
        <is>
          <t>—</t>
        </is>
      </c>
      <c r="X422" s="61" t="inlineStr">
        <is>
          <t>—</t>
        </is>
      </c>
    </row>
    <row r="423" ht="18" customHeight="1">
      <c r="B423" s="44" t="inlineStr">
        <is>
          <t>KEY</t>
        </is>
      </c>
      <c r="C423" s="45" t="inlineStr">
        <is>
          <t>← กรอกเฉลยที่ถูกต้อง</t>
        </is>
      </c>
      <c r="D423" s="9" t="n"/>
      <c r="E423" s="21" t="inlineStr">
        <is>
          <t>—</t>
        </is>
      </c>
      <c r="F423" s="9" t="n"/>
      <c r="G423" s="21" t="inlineStr">
        <is>
          <t>—</t>
        </is>
      </c>
      <c r="H423" s="9" t="n"/>
      <c r="I423" s="21" t="inlineStr">
        <is>
          <t>—</t>
        </is>
      </c>
      <c r="J423" s="9" t="n"/>
      <c r="K423" s="21" t="inlineStr">
        <is>
          <t>—</t>
        </is>
      </c>
      <c r="L423" s="9" t="n"/>
      <c r="M423" s="21" t="inlineStr">
        <is>
          <t>—</t>
        </is>
      </c>
      <c r="N423" s="9" t="n"/>
      <c r="O423" s="21" t="inlineStr">
        <is>
          <t>—</t>
        </is>
      </c>
      <c r="P423" s="9" t="n"/>
      <c r="Q423" s="21" t="inlineStr">
        <is>
          <t>—</t>
        </is>
      </c>
      <c r="R423" s="9" t="n"/>
      <c r="S423" s="21" t="inlineStr">
        <is>
          <t>—</t>
        </is>
      </c>
      <c r="T423" s="21" t="inlineStr">
        <is>
          <t>—</t>
        </is>
      </c>
      <c r="U423" s="21" t="inlineStr">
        <is>
          <t>—</t>
        </is>
      </c>
      <c r="V423" s="21" t="inlineStr">
        <is>
          <t>—</t>
        </is>
      </c>
      <c r="W423" s="21" t="inlineStr">
        <is>
          <t>—</t>
        </is>
      </c>
      <c r="X423" s="21" t="inlineStr">
        <is>
          <t>—</t>
        </is>
      </c>
    </row>
    <row r="424" ht="18" customHeight="1">
      <c r="B424" s="46">
        <f>'📥 ข้อมูลนักเรียน'!B4</f>
        <v/>
      </c>
      <c r="C424" s="47">
        <f>'📥 ข้อมูลนักเรียน'!C4</f>
        <v/>
      </c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37">
        <f>IFERROR(SUMPRODUCT(((D424=D423)*(E424="Y")*(F424=F423)*(G424="Y")*(D424&lt;&gt;"")* (F424&lt;&gt;""))+((H424=H423)*(I424="Y")*(J424=J423)*(K424="Y")*(H424&lt;&gt;"")* (J424&lt;&gt;""))+((L424=L423)*(M424="Y")*(N424=N423)*(O424="Y")*(L424&lt;&gt;"")* (N424&lt;&gt;""))+((P424=P423)*(Q424="Y")*(R424=R423)*(S424="Y")*(P424&lt;&gt;"")* (R424&lt;&gt;""))),0)</f>
        <v/>
      </c>
      <c r="U424" s="49">
        <f>IFERROR(SUMPRODUCT(((D424&lt;&gt;D423)*(E424="Y")*(F424&lt;&gt;F423)*(G424="Y")*(D424&lt;&gt;"")* (F424&lt;&gt;""))+((H424&lt;&gt;H423)*(I424="Y")*(J424&lt;&gt;J423)*(K424="Y")*(H424&lt;&gt;"")* (J424&lt;&gt;""))+((L424&lt;&gt;L423)*(M424="Y")*(N424&lt;&gt;N423)*(O424="Y")*(L424&lt;&gt;"")* (N424&lt;&gt;""))+((P424&lt;&gt;P423)*(Q424="Y")*(R424&lt;&gt;R423)*(S424="Y")*(P424&lt;&gt;"")* (R424&lt;&gt;""))),0)</f>
        <v/>
      </c>
      <c r="V424" s="37">
        <f>IFERROR(SUMPRODUCT(((D424=D423)*(E424="Y")*(F424&lt;&gt;F423)*(G424="Y")*(D424&lt;&gt;"")* (F424&lt;&gt;""))+((H424=H423)*(I424="Y")*(J424&lt;&gt;J423)*(K424="Y")*(H424&lt;&gt;"")* (J424&lt;&gt;""))+((L424=L423)*(M424="Y")*(N424&lt;&gt;N423)*(O424="Y")*(L424&lt;&gt;"")* (N424&lt;&gt;""))+((P424=P423)*(Q424="Y")*(R424&lt;&gt;R423)*(S424="Y")*(P424&lt;&gt;"")* (R424&lt;&gt;""))),0)</f>
        <v/>
      </c>
      <c r="W424" s="37">
        <f>IFERROR(SUMPRODUCT(((E424="N")*(D424&lt;&gt;"")* (F424&lt;&gt;""))+((I424="N")*(H424&lt;&gt;"")* (J424&lt;&gt;""))+((M424="N")*(L424&lt;&gt;"")* (N424&lt;&gt;""))+((Q424="N")*(P424&lt;&gt;"")* (R424&lt;&gt;""))),0)</f>
        <v/>
      </c>
      <c r="X424" s="50">
        <f>IFERROR(U424/4,0)</f>
        <v/>
      </c>
    </row>
    <row r="425" ht="18" customHeight="1">
      <c r="B425" s="46">
        <f>'📥 ข้อมูลนักเรียน'!B5</f>
        <v/>
      </c>
      <c r="C425" s="51">
        <f>'📥 ข้อมูลนักเรียน'!C5</f>
        <v/>
      </c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37">
        <f>IFERROR(SUMPRODUCT(((D425=D423)*(E425="Y")*(F425=F423)*(G425="Y")*(D425&lt;&gt;"")* (F425&lt;&gt;""))+((H425=H423)*(I425="Y")*(J425=J423)*(K425="Y")*(H425&lt;&gt;"")* (J425&lt;&gt;""))+((L425=L423)*(M425="Y")*(N425=N423)*(O425="Y")*(L425&lt;&gt;"")* (N425&lt;&gt;""))+((P425=P423)*(Q425="Y")*(R425=R423)*(S425="Y")*(P425&lt;&gt;"")* (R425&lt;&gt;""))),0)</f>
        <v/>
      </c>
      <c r="U425" s="49">
        <f>IFERROR(SUMPRODUCT(((D425&lt;&gt;D423)*(E425="Y")*(F425&lt;&gt;F423)*(G425="Y")*(D425&lt;&gt;"")* (F425&lt;&gt;""))+((H425&lt;&gt;H423)*(I425="Y")*(J425&lt;&gt;J423)*(K425="Y")*(H425&lt;&gt;"")* (J425&lt;&gt;""))+((L425&lt;&gt;L423)*(M425="Y")*(N425&lt;&gt;N423)*(O425="Y")*(L425&lt;&gt;"")* (N425&lt;&gt;""))+((P425&lt;&gt;P423)*(Q425="Y")*(R425&lt;&gt;R423)*(S425="Y")*(P425&lt;&gt;"")* (R425&lt;&gt;""))),0)</f>
        <v/>
      </c>
      <c r="V425" s="37">
        <f>IFERROR(SUMPRODUCT(((D425=D423)*(E425="Y")*(F425&lt;&gt;F423)*(G425="Y")*(D425&lt;&gt;"")* (F425&lt;&gt;""))+((H425=H423)*(I425="Y")*(J425&lt;&gt;J423)*(K425="Y")*(H425&lt;&gt;"")* (J425&lt;&gt;""))+((L425=L423)*(M425="Y")*(N425&lt;&gt;N423)*(O425="Y")*(L425&lt;&gt;"")* (N425&lt;&gt;""))+((P425=P423)*(Q425="Y")*(R425&lt;&gt;R423)*(S425="Y")*(P425&lt;&gt;"")* (R425&lt;&gt;""))),0)</f>
        <v/>
      </c>
      <c r="W425" s="37">
        <f>IFERROR(SUMPRODUCT(((E425="N")*(D425&lt;&gt;"")* (F425&lt;&gt;""))+((I425="N")*(H425&lt;&gt;"")* (J425&lt;&gt;""))+((M425="N")*(L425&lt;&gt;"")* (N425&lt;&gt;""))+((Q425="N")*(P425&lt;&gt;"")* (R425&lt;&gt;""))),0)</f>
        <v/>
      </c>
      <c r="X425" s="50">
        <f>IFERROR(U425/4,0)</f>
        <v/>
      </c>
    </row>
    <row r="426" ht="18" customHeight="1">
      <c r="B426" s="46">
        <f>'📥 ข้อมูลนักเรียน'!B6</f>
        <v/>
      </c>
      <c r="C426" s="47">
        <f>'📥 ข้อมูลนักเรียน'!C6</f>
        <v/>
      </c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37">
        <f>IFERROR(SUMPRODUCT(((D426=D423)*(E426="Y")*(F426=F423)*(G426="Y")*(D426&lt;&gt;"")* (F426&lt;&gt;""))+((H426=H423)*(I426="Y")*(J426=J423)*(K426="Y")*(H426&lt;&gt;"")* (J426&lt;&gt;""))+((L426=L423)*(M426="Y")*(N426=N423)*(O426="Y")*(L426&lt;&gt;"")* (N426&lt;&gt;""))+((P426=P423)*(Q426="Y")*(R426=R423)*(S426="Y")*(P426&lt;&gt;"")* (R426&lt;&gt;""))),0)</f>
        <v/>
      </c>
      <c r="U426" s="49">
        <f>IFERROR(SUMPRODUCT(((D426&lt;&gt;D423)*(E426="Y")*(F426&lt;&gt;F423)*(G426="Y")*(D426&lt;&gt;"")* (F426&lt;&gt;""))+((H426&lt;&gt;H423)*(I426="Y")*(J426&lt;&gt;J423)*(K426="Y")*(H426&lt;&gt;"")* (J426&lt;&gt;""))+((L426&lt;&gt;L423)*(M426="Y")*(N426&lt;&gt;N423)*(O426="Y")*(L426&lt;&gt;"")* (N426&lt;&gt;""))+((P426&lt;&gt;P423)*(Q426="Y")*(R426&lt;&gt;R423)*(S426="Y")*(P426&lt;&gt;"")* (R426&lt;&gt;""))),0)</f>
        <v/>
      </c>
      <c r="V426" s="37">
        <f>IFERROR(SUMPRODUCT(((D426=D423)*(E426="Y")*(F426&lt;&gt;F423)*(G426="Y")*(D426&lt;&gt;"")* (F426&lt;&gt;""))+((H426=H423)*(I426="Y")*(J426&lt;&gt;J423)*(K426="Y")*(H426&lt;&gt;"")* (J426&lt;&gt;""))+((L426=L423)*(M426="Y")*(N426&lt;&gt;N423)*(O426="Y")*(L426&lt;&gt;"")* (N426&lt;&gt;""))+((P426=P423)*(Q426="Y")*(R426&lt;&gt;R423)*(S426="Y")*(P426&lt;&gt;"")* (R426&lt;&gt;""))),0)</f>
        <v/>
      </c>
      <c r="W426" s="37">
        <f>IFERROR(SUMPRODUCT(((E426="N")*(D426&lt;&gt;"")* (F426&lt;&gt;""))+((I426="N")*(H426&lt;&gt;"")* (J426&lt;&gt;""))+((M426="N")*(L426&lt;&gt;"")* (N426&lt;&gt;""))+((Q426="N")*(P426&lt;&gt;"")* (R426&lt;&gt;""))),0)</f>
        <v/>
      </c>
      <c r="X426" s="50">
        <f>IFERROR(U426/4,0)</f>
        <v/>
      </c>
    </row>
    <row r="427" ht="18" customHeight="1">
      <c r="B427" s="46">
        <f>'📥 ข้อมูลนักเรียน'!B7</f>
        <v/>
      </c>
      <c r="C427" s="51">
        <f>'📥 ข้อมูลนักเรียน'!C7</f>
        <v/>
      </c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37">
        <f>IFERROR(SUMPRODUCT(((D427=D423)*(E427="Y")*(F427=F423)*(G427="Y")*(D427&lt;&gt;"")* (F427&lt;&gt;""))+((H427=H423)*(I427="Y")*(J427=J423)*(K427="Y")*(H427&lt;&gt;"")* (J427&lt;&gt;""))+((L427=L423)*(M427="Y")*(N427=N423)*(O427="Y")*(L427&lt;&gt;"")* (N427&lt;&gt;""))+((P427=P423)*(Q427="Y")*(R427=R423)*(S427="Y")*(P427&lt;&gt;"")* (R427&lt;&gt;""))),0)</f>
        <v/>
      </c>
      <c r="U427" s="49">
        <f>IFERROR(SUMPRODUCT(((D427&lt;&gt;D423)*(E427="Y")*(F427&lt;&gt;F423)*(G427="Y")*(D427&lt;&gt;"")* (F427&lt;&gt;""))+((H427&lt;&gt;H423)*(I427="Y")*(J427&lt;&gt;J423)*(K427="Y")*(H427&lt;&gt;"")* (J427&lt;&gt;""))+((L427&lt;&gt;L423)*(M427="Y")*(N427&lt;&gt;N423)*(O427="Y")*(L427&lt;&gt;"")* (N427&lt;&gt;""))+((P427&lt;&gt;P423)*(Q427="Y")*(R427&lt;&gt;R423)*(S427="Y")*(P427&lt;&gt;"")* (R427&lt;&gt;""))),0)</f>
        <v/>
      </c>
      <c r="V427" s="37">
        <f>IFERROR(SUMPRODUCT(((D427=D423)*(E427="Y")*(F427&lt;&gt;F423)*(G427="Y")*(D427&lt;&gt;"")* (F427&lt;&gt;""))+((H427=H423)*(I427="Y")*(J427&lt;&gt;J423)*(K427="Y")*(H427&lt;&gt;"")* (J427&lt;&gt;""))+((L427=L423)*(M427="Y")*(N427&lt;&gt;N423)*(O427="Y")*(L427&lt;&gt;"")* (N427&lt;&gt;""))+((P427=P423)*(Q427="Y")*(R427&lt;&gt;R423)*(S427="Y")*(P427&lt;&gt;"")* (R427&lt;&gt;""))),0)</f>
        <v/>
      </c>
      <c r="W427" s="37">
        <f>IFERROR(SUMPRODUCT(((E427="N")*(D427&lt;&gt;"")* (F427&lt;&gt;""))+((I427="N")*(H427&lt;&gt;"")* (J427&lt;&gt;""))+((M427="N")*(L427&lt;&gt;"")* (N427&lt;&gt;""))+((Q427="N")*(P427&lt;&gt;"")* (R427&lt;&gt;""))),0)</f>
        <v/>
      </c>
      <c r="X427" s="50">
        <f>IFERROR(U427/4,0)</f>
        <v/>
      </c>
    </row>
    <row r="428" ht="18" customHeight="1">
      <c r="B428" s="46">
        <f>'📥 ข้อมูลนักเรียน'!B8</f>
        <v/>
      </c>
      <c r="C428" s="47">
        <f>'📥 ข้อมูลนักเรียน'!C8</f>
        <v/>
      </c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37">
        <f>IFERROR(SUMPRODUCT(((D428=D423)*(E428="Y")*(F428=F423)*(G428="Y")*(D428&lt;&gt;"")* (F428&lt;&gt;""))+((H428=H423)*(I428="Y")*(J428=J423)*(K428="Y")*(H428&lt;&gt;"")* (J428&lt;&gt;""))+((L428=L423)*(M428="Y")*(N428=N423)*(O428="Y")*(L428&lt;&gt;"")* (N428&lt;&gt;""))+((P428=P423)*(Q428="Y")*(R428=R423)*(S428="Y")*(P428&lt;&gt;"")* (R428&lt;&gt;""))),0)</f>
        <v/>
      </c>
      <c r="U428" s="49">
        <f>IFERROR(SUMPRODUCT(((D428&lt;&gt;D423)*(E428="Y")*(F428&lt;&gt;F423)*(G428="Y")*(D428&lt;&gt;"")* (F428&lt;&gt;""))+((H428&lt;&gt;H423)*(I428="Y")*(J428&lt;&gt;J423)*(K428="Y")*(H428&lt;&gt;"")* (J428&lt;&gt;""))+((L428&lt;&gt;L423)*(M428="Y")*(N428&lt;&gt;N423)*(O428="Y")*(L428&lt;&gt;"")* (N428&lt;&gt;""))+((P428&lt;&gt;P423)*(Q428="Y")*(R428&lt;&gt;R423)*(S428="Y")*(P428&lt;&gt;"")* (R428&lt;&gt;""))),0)</f>
        <v/>
      </c>
      <c r="V428" s="37">
        <f>IFERROR(SUMPRODUCT(((D428=D423)*(E428="Y")*(F428&lt;&gt;F423)*(G428="Y")*(D428&lt;&gt;"")* (F428&lt;&gt;""))+((H428=H423)*(I428="Y")*(J428&lt;&gt;J423)*(K428="Y")*(H428&lt;&gt;"")* (J428&lt;&gt;""))+((L428=L423)*(M428="Y")*(N428&lt;&gt;N423)*(O428="Y")*(L428&lt;&gt;"")* (N428&lt;&gt;""))+((P428=P423)*(Q428="Y")*(R428&lt;&gt;R423)*(S428="Y")*(P428&lt;&gt;"")* (R428&lt;&gt;""))),0)</f>
        <v/>
      </c>
      <c r="W428" s="37">
        <f>IFERROR(SUMPRODUCT(((E428="N")*(D428&lt;&gt;"")* (F428&lt;&gt;""))+((I428="N")*(H428&lt;&gt;"")* (J428&lt;&gt;""))+((M428="N")*(L428&lt;&gt;"")* (N428&lt;&gt;""))+((Q428="N")*(P428&lt;&gt;"")* (R428&lt;&gt;""))),0)</f>
        <v/>
      </c>
      <c r="X428" s="50">
        <f>IFERROR(U428/4,0)</f>
        <v/>
      </c>
    </row>
    <row r="429" ht="18" customHeight="1">
      <c r="B429" s="46">
        <f>'📥 ข้อมูลนักเรียน'!B9</f>
        <v/>
      </c>
      <c r="C429" s="51">
        <f>'📥 ข้อมูลนักเรียน'!C9</f>
        <v/>
      </c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37">
        <f>IFERROR(SUMPRODUCT(((D429=D423)*(E429="Y")*(F429=F423)*(G429="Y")*(D429&lt;&gt;"")* (F429&lt;&gt;""))+((H429=H423)*(I429="Y")*(J429=J423)*(K429="Y")*(H429&lt;&gt;"")* (J429&lt;&gt;""))+((L429=L423)*(M429="Y")*(N429=N423)*(O429="Y")*(L429&lt;&gt;"")* (N429&lt;&gt;""))+((P429=P423)*(Q429="Y")*(R429=R423)*(S429="Y")*(P429&lt;&gt;"")* (R429&lt;&gt;""))),0)</f>
        <v/>
      </c>
      <c r="U429" s="49">
        <f>IFERROR(SUMPRODUCT(((D429&lt;&gt;D423)*(E429="Y")*(F429&lt;&gt;F423)*(G429="Y")*(D429&lt;&gt;"")* (F429&lt;&gt;""))+((H429&lt;&gt;H423)*(I429="Y")*(J429&lt;&gt;J423)*(K429="Y")*(H429&lt;&gt;"")* (J429&lt;&gt;""))+((L429&lt;&gt;L423)*(M429="Y")*(N429&lt;&gt;N423)*(O429="Y")*(L429&lt;&gt;"")* (N429&lt;&gt;""))+((P429&lt;&gt;P423)*(Q429="Y")*(R429&lt;&gt;R423)*(S429="Y")*(P429&lt;&gt;"")* (R429&lt;&gt;""))),0)</f>
        <v/>
      </c>
      <c r="V429" s="37">
        <f>IFERROR(SUMPRODUCT(((D429=D423)*(E429="Y")*(F429&lt;&gt;F423)*(G429="Y")*(D429&lt;&gt;"")* (F429&lt;&gt;""))+((H429=H423)*(I429="Y")*(J429&lt;&gt;J423)*(K429="Y")*(H429&lt;&gt;"")* (J429&lt;&gt;""))+((L429=L423)*(M429="Y")*(N429&lt;&gt;N423)*(O429="Y")*(L429&lt;&gt;"")* (N429&lt;&gt;""))+((P429=P423)*(Q429="Y")*(R429&lt;&gt;R423)*(S429="Y")*(P429&lt;&gt;"")* (R429&lt;&gt;""))),0)</f>
        <v/>
      </c>
      <c r="W429" s="37">
        <f>IFERROR(SUMPRODUCT(((E429="N")*(D429&lt;&gt;"")* (F429&lt;&gt;""))+((I429="N")*(H429&lt;&gt;"")* (J429&lt;&gt;""))+((M429="N")*(L429&lt;&gt;"")* (N429&lt;&gt;""))+((Q429="N")*(P429&lt;&gt;"")* (R429&lt;&gt;""))),0)</f>
        <v/>
      </c>
      <c r="X429" s="50">
        <f>IFERROR(U429/4,0)</f>
        <v/>
      </c>
    </row>
    <row r="430" ht="18" customHeight="1">
      <c r="B430" s="46">
        <f>'📥 ข้อมูลนักเรียน'!B10</f>
        <v/>
      </c>
      <c r="C430" s="47">
        <f>'📥 ข้อมูลนักเรียน'!C10</f>
        <v/>
      </c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37">
        <f>IFERROR(SUMPRODUCT(((D430=D423)*(E430="Y")*(F430=F423)*(G430="Y")*(D430&lt;&gt;"")* (F430&lt;&gt;""))+((H430=H423)*(I430="Y")*(J430=J423)*(K430="Y")*(H430&lt;&gt;"")* (J430&lt;&gt;""))+((L430=L423)*(M430="Y")*(N430=N423)*(O430="Y")*(L430&lt;&gt;"")* (N430&lt;&gt;""))+((P430=P423)*(Q430="Y")*(R430=R423)*(S430="Y")*(P430&lt;&gt;"")* (R430&lt;&gt;""))),0)</f>
        <v/>
      </c>
      <c r="U430" s="49">
        <f>IFERROR(SUMPRODUCT(((D430&lt;&gt;D423)*(E430="Y")*(F430&lt;&gt;F423)*(G430="Y")*(D430&lt;&gt;"")* (F430&lt;&gt;""))+((H430&lt;&gt;H423)*(I430="Y")*(J430&lt;&gt;J423)*(K430="Y")*(H430&lt;&gt;"")* (J430&lt;&gt;""))+((L430&lt;&gt;L423)*(M430="Y")*(N430&lt;&gt;N423)*(O430="Y")*(L430&lt;&gt;"")* (N430&lt;&gt;""))+((P430&lt;&gt;P423)*(Q430="Y")*(R430&lt;&gt;R423)*(S430="Y")*(P430&lt;&gt;"")* (R430&lt;&gt;""))),0)</f>
        <v/>
      </c>
      <c r="V430" s="37">
        <f>IFERROR(SUMPRODUCT(((D430=D423)*(E430="Y")*(F430&lt;&gt;F423)*(G430="Y")*(D430&lt;&gt;"")* (F430&lt;&gt;""))+((H430=H423)*(I430="Y")*(J430&lt;&gt;J423)*(K430="Y")*(H430&lt;&gt;"")* (J430&lt;&gt;""))+((L430=L423)*(M430="Y")*(N430&lt;&gt;N423)*(O430="Y")*(L430&lt;&gt;"")* (N430&lt;&gt;""))+((P430=P423)*(Q430="Y")*(R430&lt;&gt;R423)*(S430="Y")*(P430&lt;&gt;"")* (R430&lt;&gt;""))),0)</f>
        <v/>
      </c>
      <c r="W430" s="37">
        <f>IFERROR(SUMPRODUCT(((E430="N")*(D430&lt;&gt;"")* (F430&lt;&gt;""))+((I430="N")*(H430&lt;&gt;"")* (J430&lt;&gt;""))+((M430="N")*(L430&lt;&gt;"")* (N430&lt;&gt;""))+((Q430="N")*(P430&lt;&gt;"")* (R430&lt;&gt;""))),0)</f>
        <v/>
      </c>
      <c r="X430" s="50">
        <f>IFERROR(U430/4,0)</f>
        <v/>
      </c>
    </row>
    <row r="431" ht="18" customHeight="1">
      <c r="B431" s="46">
        <f>'📥 ข้อมูลนักเรียน'!B11</f>
        <v/>
      </c>
      <c r="C431" s="51">
        <f>'📥 ข้อมูลนักเรียน'!C11</f>
        <v/>
      </c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37">
        <f>IFERROR(SUMPRODUCT(((D431=D423)*(E431="Y")*(F431=F423)*(G431="Y")*(D431&lt;&gt;"")* (F431&lt;&gt;""))+((H431=H423)*(I431="Y")*(J431=J423)*(K431="Y")*(H431&lt;&gt;"")* (J431&lt;&gt;""))+((L431=L423)*(M431="Y")*(N431=N423)*(O431="Y")*(L431&lt;&gt;"")* (N431&lt;&gt;""))+((P431=P423)*(Q431="Y")*(R431=R423)*(S431="Y")*(P431&lt;&gt;"")* (R431&lt;&gt;""))),0)</f>
        <v/>
      </c>
      <c r="U431" s="49">
        <f>IFERROR(SUMPRODUCT(((D431&lt;&gt;D423)*(E431="Y")*(F431&lt;&gt;F423)*(G431="Y")*(D431&lt;&gt;"")* (F431&lt;&gt;""))+((H431&lt;&gt;H423)*(I431="Y")*(J431&lt;&gt;J423)*(K431="Y")*(H431&lt;&gt;"")* (J431&lt;&gt;""))+((L431&lt;&gt;L423)*(M431="Y")*(N431&lt;&gt;N423)*(O431="Y")*(L431&lt;&gt;"")* (N431&lt;&gt;""))+((P431&lt;&gt;P423)*(Q431="Y")*(R431&lt;&gt;R423)*(S431="Y")*(P431&lt;&gt;"")* (R431&lt;&gt;""))),0)</f>
        <v/>
      </c>
      <c r="V431" s="37">
        <f>IFERROR(SUMPRODUCT(((D431=D423)*(E431="Y")*(F431&lt;&gt;F423)*(G431="Y")*(D431&lt;&gt;"")* (F431&lt;&gt;""))+((H431=H423)*(I431="Y")*(J431&lt;&gt;J423)*(K431="Y")*(H431&lt;&gt;"")* (J431&lt;&gt;""))+((L431=L423)*(M431="Y")*(N431&lt;&gt;N423)*(O431="Y")*(L431&lt;&gt;"")* (N431&lt;&gt;""))+((P431=P423)*(Q431="Y")*(R431&lt;&gt;R423)*(S431="Y")*(P431&lt;&gt;"")* (R431&lt;&gt;""))),0)</f>
        <v/>
      </c>
      <c r="W431" s="37">
        <f>IFERROR(SUMPRODUCT(((E431="N")*(D431&lt;&gt;"")* (F431&lt;&gt;""))+((I431="N")*(H431&lt;&gt;"")* (J431&lt;&gt;""))+((M431="N")*(L431&lt;&gt;"")* (N431&lt;&gt;""))+((Q431="N")*(P431&lt;&gt;"")* (R431&lt;&gt;""))),0)</f>
        <v/>
      </c>
      <c r="X431" s="50">
        <f>IFERROR(U431/4,0)</f>
        <v/>
      </c>
    </row>
    <row r="432" ht="18" customHeight="1">
      <c r="B432" s="46">
        <f>'📥 ข้อมูลนักเรียน'!B12</f>
        <v/>
      </c>
      <c r="C432" s="47">
        <f>'📥 ข้อมูลนักเรียน'!C12</f>
        <v/>
      </c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37">
        <f>IFERROR(SUMPRODUCT(((D432=D423)*(E432="Y")*(F432=F423)*(G432="Y")*(D432&lt;&gt;"")* (F432&lt;&gt;""))+((H432=H423)*(I432="Y")*(J432=J423)*(K432="Y")*(H432&lt;&gt;"")* (J432&lt;&gt;""))+((L432=L423)*(M432="Y")*(N432=N423)*(O432="Y")*(L432&lt;&gt;"")* (N432&lt;&gt;""))+((P432=P423)*(Q432="Y")*(R432=R423)*(S432="Y")*(P432&lt;&gt;"")* (R432&lt;&gt;""))),0)</f>
        <v/>
      </c>
      <c r="U432" s="49">
        <f>IFERROR(SUMPRODUCT(((D432&lt;&gt;D423)*(E432="Y")*(F432&lt;&gt;F423)*(G432="Y")*(D432&lt;&gt;"")* (F432&lt;&gt;""))+((H432&lt;&gt;H423)*(I432="Y")*(J432&lt;&gt;J423)*(K432="Y")*(H432&lt;&gt;"")* (J432&lt;&gt;""))+((L432&lt;&gt;L423)*(M432="Y")*(N432&lt;&gt;N423)*(O432="Y")*(L432&lt;&gt;"")* (N432&lt;&gt;""))+((P432&lt;&gt;P423)*(Q432="Y")*(R432&lt;&gt;R423)*(S432="Y")*(P432&lt;&gt;"")* (R432&lt;&gt;""))),0)</f>
        <v/>
      </c>
      <c r="V432" s="37">
        <f>IFERROR(SUMPRODUCT(((D432=D423)*(E432="Y")*(F432&lt;&gt;F423)*(G432="Y")*(D432&lt;&gt;"")* (F432&lt;&gt;""))+((H432=H423)*(I432="Y")*(J432&lt;&gt;J423)*(K432="Y")*(H432&lt;&gt;"")* (J432&lt;&gt;""))+((L432=L423)*(M432="Y")*(N432&lt;&gt;N423)*(O432="Y")*(L432&lt;&gt;"")* (N432&lt;&gt;""))+((P432=P423)*(Q432="Y")*(R432&lt;&gt;R423)*(S432="Y")*(P432&lt;&gt;"")* (R432&lt;&gt;""))),0)</f>
        <v/>
      </c>
      <c r="W432" s="37">
        <f>IFERROR(SUMPRODUCT(((E432="N")*(D432&lt;&gt;"")* (F432&lt;&gt;""))+((I432="N")*(H432&lt;&gt;"")* (J432&lt;&gt;""))+((M432="N")*(L432&lt;&gt;"")* (N432&lt;&gt;""))+((Q432="N")*(P432&lt;&gt;"")* (R432&lt;&gt;""))),0)</f>
        <v/>
      </c>
      <c r="X432" s="50">
        <f>IFERROR(U432/4,0)</f>
        <v/>
      </c>
    </row>
    <row r="433" ht="18" customHeight="1">
      <c r="B433" s="46">
        <f>'📥 ข้อมูลนักเรียน'!B13</f>
        <v/>
      </c>
      <c r="C433" s="51">
        <f>'📥 ข้อมูลนักเรียน'!C13</f>
        <v/>
      </c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37">
        <f>IFERROR(SUMPRODUCT(((D433=D423)*(E433="Y")*(F433=F423)*(G433="Y")*(D433&lt;&gt;"")* (F433&lt;&gt;""))+((H433=H423)*(I433="Y")*(J433=J423)*(K433="Y")*(H433&lt;&gt;"")* (J433&lt;&gt;""))+((L433=L423)*(M433="Y")*(N433=N423)*(O433="Y")*(L433&lt;&gt;"")* (N433&lt;&gt;""))+((P433=P423)*(Q433="Y")*(R433=R423)*(S433="Y")*(P433&lt;&gt;"")* (R433&lt;&gt;""))),0)</f>
        <v/>
      </c>
      <c r="U433" s="49">
        <f>IFERROR(SUMPRODUCT(((D433&lt;&gt;D423)*(E433="Y")*(F433&lt;&gt;F423)*(G433="Y")*(D433&lt;&gt;"")* (F433&lt;&gt;""))+((H433&lt;&gt;H423)*(I433="Y")*(J433&lt;&gt;J423)*(K433="Y")*(H433&lt;&gt;"")* (J433&lt;&gt;""))+((L433&lt;&gt;L423)*(M433="Y")*(N433&lt;&gt;N423)*(O433="Y")*(L433&lt;&gt;"")* (N433&lt;&gt;""))+((P433&lt;&gt;P423)*(Q433="Y")*(R433&lt;&gt;R423)*(S433="Y")*(P433&lt;&gt;"")* (R433&lt;&gt;""))),0)</f>
        <v/>
      </c>
      <c r="V433" s="37">
        <f>IFERROR(SUMPRODUCT(((D433=D423)*(E433="Y")*(F433&lt;&gt;F423)*(G433="Y")*(D433&lt;&gt;"")* (F433&lt;&gt;""))+((H433=H423)*(I433="Y")*(J433&lt;&gt;J423)*(K433="Y")*(H433&lt;&gt;"")* (J433&lt;&gt;""))+((L433=L423)*(M433="Y")*(N433&lt;&gt;N423)*(O433="Y")*(L433&lt;&gt;"")* (N433&lt;&gt;""))+((P433=P423)*(Q433="Y")*(R433&lt;&gt;R423)*(S433="Y")*(P433&lt;&gt;"")* (R433&lt;&gt;""))),0)</f>
        <v/>
      </c>
      <c r="W433" s="37">
        <f>IFERROR(SUMPRODUCT(((E433="N")*(D433&lt;&gt;"")* (F433&lt;&gt;""))+((I433="N")*(H433&lt;&gt;"")* (J433&lt;&gt;""))+((M433="N")*(L433&lt;&gt;"")* (N433&lt;&gt;""))+((Q433="N")*(P433&lt;&gt;"")* (R433&lt;&gt;""))),0)</f>
        <v/>
      </c>
      <c r="X433" s="50">
        <f>IFERROR(U433/4,0)</f>
        <v/>
      </c>
    </row>
    <row r="434" ht="18" customHeight="1">
      <c r="B434" s="46">
        <f>'📥 ข้อมูลนักเรียน'!B14</f>
        <v/>
      </c>
      <c r="C434" s="47">
        <f>'📥 ข้อมูลนักเรียน'!C14</f>
        <v/>
      </c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37">
        <f>IFERROR(SUMPRODUCT(((D434=D423)*(E434="Y")*(F434=F423)*(G434="Y")*(D434&lt;&gt;"")* (F434&lt;&gt;""))+((H434=H423)*(I434="Y")*(J434=J423)*(K434="Y")*(H434&lt;&gt;"")* (J434&lt;&gt;""))+((L434=L423)*(M434="Y")*(N434=N423)*(O434="Y")*(L434&lt;&gt;"")* (N434&lt;&gt;""))+((P434=P423)*(Q434="Y")*(R434=R423)*(S434="Y")*(P434&lt;&gt;"")* (R434&lt;&gt;""))),0)</f>
        <v/>
      </c>
      <c r="U434" s="49">
        <f>IFERROR(SUMPRODUCT(((D434&lt;&gt;D423)*(E434="Y")*(F434&lt;&gt;F423)*(G434="Y")*(D434&lt;&gt;"")* (F434&lt;&gt;""))+((H434&lt;&gt;H423)*(I434="Y")*(J434&lt;&gt;J423)*(K434="Y")*(H434&lt;&gt;"")* (J434&lt;&gt;""))+((L434&lt;&gt;L423)*(M434="Y")*(N434&lt;&gt;N423)*(O434="Y")*(L434&lt;&gt;"")* (N434&lt;&gt;""))+((P434&lt;&gt;P423)*(Q434="Y")*(R434&lt;&gt;R423)*(S434="Y")*(P434&lt;&gt;"")* (R434&lt;&gt;""))),0)</f>
        <v/>
      </c>
      <c r="V434" s="37">
        <f>IFERROR(SUMPRODUCT(((D434=D423)*(E434="Y")*(F434&lt;&gt;F423)*(G434="Y")*(D434&lt;&gt;"")* (F434&lt;&gt;""))+((H434=H423)*(I434="Y")*(J434&lt;&gt;J423)*(K434="Y")*(H434&lt;&gt;"")* (J434&lt;&gt;""))+((L434=L423)*(M434="Y")*(N434&lt;&gt;N423)*(O434="Y")*(L434&lt;&gt;"")* (N434&lt;&gt;""))+((P434=P423)*(Q434="Y")*(R434&lt;&gt;R423)*(S434="Y")*(P434&lt;&gt;"")* (R434&lt;&gt;""))),0)</f>
        <v/>
      </c>
      <c r="W434" s="37">
        <f>IFERROR(SUMPRODUCT(((E434="N")*(D434&lt;&gt;"")* (F434&lt;&gt;""))+((I434="N")*(H434&lt;&gt;"")* (J434&lt;&gt;""))+((M434="N")*(L434&lt;&gt;"")* (N434&lt;&gt;""))+((Q434="N")*(P434&lt;&gt;"")* (R434&lt;&gt;""))),0)</f>
        <v/>
      </c>
      <c r="X434" s="50">
        <f>IFERROR(U434/4,0)</f>
        <v/>
      </c>
    </row>
    <row r="435" ht="18" customHeight="1">
      <c r="B435" s="46">
        <f>'📥 ข้อมูลนักเรียน'!B15</f>
        <v/>
      </c>
      <c r="C435" s="51">
        <f>'📥 ข้อมูลนักเรียน'!C15</f>
        <v/>
      </c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37">
        <f>IFERROR(SUMPRODUCT(((D435=D423)*(E435="Y")*(F435=F423)*(G435="Y")*(D435&lt;&gt;"")* (F435&lt;&gt;""))+((H435=H423)*(I435="Y")*(J435=J423)*(K435="Y")*(H435&lt;&gt;"")* (J435&lt;&gt;""))+((L435=L423)*(M435="Y")*(N435=N423)*(O435="Y")*(L435&lt;&gt;"")* (N435&lt;&gt;""))+((P435=P423)*(Q435="Y")*(R435=R423)*(S435="Y")*(P435&lt;&gt;"")* (R435&lt;&gt;""))),0)</f>
        <v/>
      </c>
      <c r="U435" s="49">
        <f>IFERROR(SUMPRODUCT(((D435&lt;&gt;D423)*(E435="Y")*(F435&lt;&gt;F423)*(G435="Y")*(D435&lt;&gt;"")* (F435&lt;&gt;""))+((H435&lt;&gt;H423)*(I435="Y")*(J435&lt;&gt;J423)*(K435="Y")*(H435&lt;&gt;"")* (J435&lt;&gt;""))+((L435&lt;&gt;L423)*(M435="Y")*(N435&lt;&gt;N423)*(O435="Y")*(L435&lt;&gt;"")* (N435&lt;&gt;""))+((P435&lt;&gt;P423)*(Q435="Y")*(R435&lt;&gt;R423)*(S435="Y")*(P435&lt;&gt;"")* (R435&lt;&gt;""))),0)</f>
        <v/>
      </c>
      <c r="V435" s="37">
        <f>IFERROR(SUMPRODUCT(((D435=D423)*(E435="Y")*(F435&lt;&gt;F423)*(G435="Y")*(D435&lt;&gt;"")* (F435&lt;&gt;""))+((H435=H423)*(I435="Y")*(J435&lt;&gt;J423)*(K435="Y")*(H435&lt;&gt;"")* (J435&lt;&gt;""))+((L435=L423)*(M435="Y")*(N435&lt;&gt;N423)*(O435="Y")*(L435&lt;&gt;"")* (N435&lt;&gt;""))+((P435=P423)*(Q435="Y")*(R435&lt;&gt;R423)*(S435="Y")*(P435&lt;&gt;"")* (R435&lt;&gt;""))),0)</f>
        <v/>
      </c>
      <c r="W435" s="37">
        <f>IFERROR(SUMPRODUCT(((E435="N")*(D435&lt;&gt;"")* (F435&lt;&gt;""))+((I435="N")*(H435&lt;&gt;"")* (J435&lt;&gt;""))+((M435="N")*(L435&lt;&gt;"")* (N435&lt;&gt;""))+((Q435="N")*(P435&lt;&gt;"")* (R435&lt;&gt;""))),0)</f>
        <v/>
      </c>
      <c r="X435" s="50">
        <f>IFERROR(U435/4,0)</f>
        <v/>
      </c>
    </row>
    <row r="436" ht="18" customHeight="1">
      <c r="B436" s="46">
        <f>'📥 ข้อมูลนักเรียน'!B16</f>
        <v/>
      </c>
      <c r="C436" s="47">
        <f>'📥 ข้อมูลนักเรียน'!C16</f>
        <v/>
      </c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37">
        <f>IFERROR(SUMPRODUCT(((D436=D423)*(E436="Y")*(F436=F423)*(G436="Y")*(D436&lt;&gt;"")* (F436&lt;&gt;""))+((H436=H423)*(I436="Y")*(J436=J423)*(K436="Y")*(H436&lt;&gt;"")* (J436&lt;&gt;""))+((L436=L423)*(M436="Y")*(N436=N423)*(O436="Y")*(L436&lt;&gt;"")* (N436&lt;&gt;""))+((P436=P423)*(Q436="Y")*(R436=R423)*(S436="Y")*(P436&lt;&gt;"")* (R436&lt;&gt;""))),0)</f>
        <v/>
      </c>
      <c r="U436" s="49">
        <f>IFERROR(SUMPRODUCT(((D436&lt;&gt;D423)*(E436="Y")*(F436&lt;&gt;F423)*(G436="Y")*(D436&lt;&gt;"")* (F436&lt;&gt;""))+((H436&lt;&gt;H423)*(I436="Y")*(J436&lt;&gt;J423)*(K436="Y")*(H436&lt;&gt;"")* (J436&lt;&gt;""))+((L436&lt;&gt;L423)*(M436="Y")*(N436&lt;&gt;N423)*(O436="Y")*(L436&lt;&gt;"")* (N436&lt;&gt;""))+((P436&lt;&gt;P423)*(Q436="Y")*(R436&lt;&gt;R423)*(S436="Y")*(P436&lt;&gt;"")* (R436&lt;&gt;""))),0)</f>
        <v/>
      </c>
      <c r="V436" s="37">
        <f>IFERROR(SUMPRODUCT(((D436=D423)*(E436="Y")*(F436&lt;&gt;F423)*(G436="Y")*(D436&lt;&gt;"")* (F436&lt;&gt;""))+((H436=H423)*(I436="Y")*(J436&lt;&gt;J423)*(K436="Y")*(H436&lt;&gt;"")* (J436&lt;&gt;""))+((L436=L423)*(M436="Y")*(N436&lt;&gt;N423)*(O436="Y")*(L436&lt;&gt;"")* (N436&lt;&gt;""))+((P436=P423)*(Q436="Y")*(R436&lt;&gt;R423)*(S436="Y")*(P436&lt;&gt;"")* (R436&lt;&gt;""))),0)</f>
        <v/>
      </c>
      <c r="W436" s="37">
        <f>IFERROR(SUMPRODUCT(((E436="N")*(D436&lt;&gt;"")* (F436&lt;&gt;""))+((I436="N")*(H436&lt;&gt;"")* (J436&lt;&gt;""))+((M436="N")*(L436&lt;&gt;"")* (N436&lt;&gt;""))+((Q436="N")*(P436&lt;&gt;"")* (R436&lt;&gt;""))),0)</f>
        <v/>
      </c>
      <c r="X436" s="50">
        <f>IFERROR(U436/4,0)</f>
        <v/>
      </c>
    </row>
    <row r="437" ht="18" customHeight="1">
      <c r="B437" s="46">
        <f>'📥 ข้อมูลนักเรียน'!B17</f>
        <v/>
      </c>
      <c r="C437" s="51">
        <f>'📥 ข้อมูลนักเรียน'!C17</f>
        <v/>
      </c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37">
        <f>IFERROR(SUMPRODUCT(((D437=D423)*(E437="Y")*(F437=F423)*(G437="Y")*(D437&lt;&gt;"")* (F437&lt;&gt;""))+((H437=H423)*(I437="Y")*(J437=J423)*(K437="Y")*(H437&lt;&gt;"")* (J437&lt;&gt;""))+((L437=L423)*(M437="Y")*(N437=N423)*(O437="Y")*(L437&lt;&gt;"")* (N437&lt;&gt;""))+((P437=P423)*(Q437="Y")*(R437=R423)*(S437="Y")*(P437&lt;&gt;"")* (R437&lt;&gt;""))),0)</f>
        <v/>
      </c>
      <c r="U437" s="49">
        <f>IFERROR(SUMPRODUCT(((D437&lt;&gt;D423)*(E437="Y")*(F437&lt;&gt;F423)*(G437="Y")*(D437&lt;&gt;"")* (F437&lt;&gt;""))+((H437&lt;&gt;H423)*(I437="Y")*(J437&lt;&gt;J423)*(K437="Y")*(H437&lt;&gt;"")* (J437&lt;&gt;""))+((L437&lt;&gt;L423)*(M437="Y")*(N437&lt;&gt;N423)*(O437="Y")*(L437&lt;&gt;"")* (N437&lt;&gt;""))+((P437&lt;&gt;P423)*(Q437="Y")*(R437&lt;&gt;R423)*(S437="Y")*(P437&lt;&gt;"")* (R437&lt;&gt;""))),0)</f>
        <v/>
      </c>
      <c r="V437" s="37">
        <f>IFERROR(SUMPRODUCT(((D437=D423)*(E437="Y")*(F437&lt;&gt;F423)*(G437="Y")*(D437&lt;&gt;"")* (F437&lt;&gt;""))+((H437=H423)*(I437="Y")*(J437&lt;&gt;J423)*(K437="Y")*(H437&lt;&gt;"")* (J437&lt;&gt;""))+((L437=L423)*(M437="Y")*(N437&lt;&gt;N423)*(O437="Y")*(L437&lt;&gt;"")* (N437&lt;&gt;""))+((P437=P423)*(Q437="Y")*(R437&lt;&gt;R423)*(S437="Y")*(P437&lt;&gt;"")* (R437&lt;&gt;""))),0)</f>
        <v/>
      </c>
      <c r="W437" s="37">
        <f>IFERROR(SUMPRODUCT(((E437="N")*(D437&lt;&gt;"")* (F437&lt;&gt;""))+((I437="N")*(H437&lt;&gt;"")* (J437&lt;&gt;""))+((M437="N")*(L437&lt;&gt;"")* (N437&lt;&gt;""))+((Q437="N")*(P437&lt;&gt;"")* (R437&lt;&gt;""))),0)</f>
        <v/>
      </c>
      <c r="X437" s="50">
        <f>IFERROR(U437/4,0)</f>
        <v/>
      </c>
    </row>
    <row r="438" ht="18" customHeight="1">
      <c r="B438" s="46">
        <f>'📥 ข้อมูลนักเรียน'!B18</f>
        <v/>
      </c>
      <c r="C438" s="47">
        <f>'📥 ข้อมูลนักเรียน'!C18</f>
        <v/>
      </c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37">
        <f>IFERROR(SUMPRODUCT(((D438=D423)*(E438="Y")*(F438=F423)*(G438="Y")*(D438&lt;&gt;"")*(F438&lt;&gt;""))+((H438=H423)*(I438="Y")*(J438=J423)*(K438="Y")*(H438&lt;&gt;"")*(J438&lt;&gt;""))+((L438=L423)*(M438="Y")*(N438=N423)*(O438="Y")*(L438&lt;&gt;"")*(N438&lt;&gt;""))+((P438=P423)*(Q438="Y")*(R438=R423)*(S438="Y")*(P438&lt;&gt;"")*(R438&lt;&gt;""))),0)</f>
        <v/>
      </c>
      <c r="U438" s="49">
        <f>IFERROR(SUMPRODUCT(((D438&lt;&gt;D423)*(E438="Y")*(F438&lt;&gt;F423)*(G438="Y")*(D438&lt;&gt;"")*(F438&lt;&gt;""))+((H438&lt;&gt;H423)*(I438="Y")*(J438&lt;&gt;J423)*(K438="Y")*(H438&lt;&gt;"")*(J438&lt;&gt;""))+((L438&lt;&gt;L423)*(M438="Y")*(N438&lt;&gt;N423)*(O438="Y")*(L438&lt;&gt;"")*(N438&lt;&gt;""))+((P438&lt;&gt;P423)*(Q438="Y")*(R438&lt;&gt;R423)*(S438="Y")*(P438&lt;&gt;"")*(R438&lt;&gt;""))),0)</f>
        <v/>
      </c>
      <c r="V438" s="37">
        <f>IFERROR(SUMPRODUCT(((D438=D423)*(E438="Y")*(F438&lt;&gt;F423)*(G438="Y")*(D438&lt;&gt;"")*(F438&lt;&gt;""))+((H438=H423)*(I438="Y")*(J438&lt;&gt;J423)*(K438="Y")*(H438&lt;&gt;"")*(J438&lt;&gt;""))+((L438=L423)*(M438="Y")*(N438&lt;&gt;N423)*(O438="Y")*(L438&lt;&gt;"")*(N438&lt;&gt;""))+((P438=P423)*(Q438="Y")*(R438&lt;&gt;R423)*(S438="Y")*(P438&lt;&gt;"")*(R438&lt;&gt;""))),0)</f>
        <v/>
      </c>
      <c r="W438" s="37">
        <f>IFERROR(SUMPRODUCT(((E438="N")*(D438&lt;&gt;"")*(F438&lt;&gt;""))+((I438="N")*(H438&lt;&gt;"")*(J438&lt;&gt;""))+((M438="N")*(L438&lt;&gt;"")*(N438&lt;&gt;""))+((Q438="N")*(P438&lt;&gt;"")*(R438&lt;&gt;""))),0)</f>
        <v/>
      </c>
      <c r="X438" s="50">
        <f>IFERROR(U438/4,0)</f>
        <v/>
      </c>
    </row>
    <row r="439" ht="18" customHeight="1">
      <c r="B439" s="46">
        <f>'📥 ข้อมูลนักเรียน'!B19</f>
        <v/>
      </c>
      <c r="C439" s="51">
        <f>'📥 ข้อมูลนักเรียน'!C19</f>
        <v/>
      </c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37">
        <f>IFERROR(SUMPRODUCT(((D439=D423)*(E439="Y")*(F439=F423)*(G439="Y")*(D439&lt;&gt;"")*(F439&lt;&gt;""))+((H439=H423)*(I439="Y")*(J439=J423)*(K439="Y")*(H439&lt;&gt;"")*(J439&lt;&gt;""))+((L439=L423)*(M439="Y")*(N439=N423)*(O439="Y")*(L439&lt;&gt;"")*(N439&lt;&gt;""))+((P439=P423)*(Q439="Y")*(R439=R423)*(S439="Y")*(P439&lt;&gt;"")*(R439&lt;&gt;""))),0)</f>
        <v/>
      </c>
      <c r="U439" s="49">
        <f>IFERROR(SUMPRODUCT(((D439&lt;&gt;D423)*(E439="Y")*(F439&lt;&gt;F423)*(G439="Y")*(D439&lt;&gt;"")*(F439&lt;&gt;""))+((H439&lt;&gt;H423)*(I439="Y")*(J439&lt;&gt;J423)*(K439="Y")*(H439&lt;&gt;"")*(J439&lt;&gt;""))+((L439&lt;&gt;L423)*(M439="Y")*(N439&lt;&gt;N423)*(O439="Y")*(L439&lt;&gt;"")*(N439&lt;&gt;""))+((P439&lt;&gt;P423)*(Q439="Y")*(R439&lt;&gt;R423)*(S439="Y")*(P439&lt;&gt;"")*(R439&lt;&gt;""))),0)</f>
        <v/>
      </c>
      <c r="V439" s="37">
        <f>IFERROR(SUMPRODUCT(((D439=D423)*(E439="Y")*(F439&lt;&gt;F423)*(G439="Y")*(D439&lt;&gt;"")*(F439&lt;&gt;""))+((H439=H423)*(I439="Y")*(J439&lt;&gt;J423)*(K439="Y")*(H439&lt;&gt;"")*(J439&lt;&gt;""))+((L439=L423)*(M439="Y")*(N439&lt;&gt;N423)*(O439="Y")*(L439&lt;&gt;"")*(N439&lt;&gt;""))+((P439=P423)*(Q439="Y")*(R439&lt;&gt;R423)*(S439="Y")*(P439&lt;&gt;"")*(R439&lt;&gt;""))),0)</f>
        <v/>
      </c>
      <c r="W439" s="37">
        <f>IFERROR(SUMPRODUCT(((E439="N")*(D439&lt;&gt;"")*(F439&lt;&gt;""))+((I439="N")*(H439&lt;&gt;"")*(J439&lt;&gt;""))+((M439="N")*(L439&lt;&gt;"")*(N439&lt;&gt;""))+((Q439="N")*(P439&lt;&gt;"")*(R439&lt;&gt;""))),0)</f>
        <v/>
      </c>
      <c r="X439" s="50">
        <f>IFERROR(U439/4,0)</f>
        <v/>
      </c>
    </row>
    <row r="440" ht="18" customHeight="1">
      <c r="B440" s="46">
        <f>'📥 ข้อมูลนักเรียน'!B20</f>
        <v/>
      </c>
      <c r="C440" s="47">
        <f>'📥 ข้อมูลนักเรียน'!C20</f>
        <v/>
      </c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37">
        <f>IFERROR(SUMPRODUCT(((D440=D423)*(E440="Y")*(F440=F423)*(G440="Y")*(D440&lt;&gt;"")*(F440&lt;&gt;""))+((H440=H423)*(I440="Y")*(J440=J423)*(K440="Y")*(H440&lt;&gt;"")*(J440&lt;&gt;""))+((L440=L423)*(M440="Y")*(N440=N423)*(O440="Y")*(L440&lt;&gt;"")*(N440&lt;&gt;""))+((P440=P423)*(Q440="Y")*(R440=R423)*(S440="Y")*(P440&lt;&gt;"")*(R440&lt;&gt;""))),0)</f>
        <v/>
      </c>
      <c r="U440" s="49">
        <f>IFERROR(SUMPRODUCT(((D440&lt;&gt;D423)*(E440="Y")*(F440&lt;&gt;F423)*(G440="Y")*(D440&lt;&gt;"")*(F440&lt;&gt;""))+((H440&lt;&gt;H423)*(I440="Y")*(J440&lt;&gt;J423)*(K440="Y")*(H440&lt;&gt;"")*(J440&lt;&gt;""))+((L440&lt;&gt;L423)*(M440="Y")*(N440&lt;&gt;N423)*(O440="Y")*(L440&lt;&gt;"")*(N440&lt;&gt;""))+((P440&lt;&gt;P423)*(Q440="Y")*(R440&lt;&gt;R423)*(S440="Y")*(P440&lt;&gt;"")*(R440&lt;&gt;""))),0)</f>
        <v/>
      </c>
      <c r="V440" s="37">
        <f>IFERROR(SUMPRODUCT(((D440=D423)*(E440="Y")*(F440&lt;&gt;F423)*(G440="Y")*(D440&lt;&gt;"")*(F440&lt;&gt;""))+((H440=H423)*(I440="Y")*(J440&lt;&gt;J423)*(K440="Y")*(H440&lt;&gt;"")*(J440&lt;&gt;""))+((L440=L423)*(M440="Y")*(N440&lt;&gt;N423)*(O440="Y")*(L440&lt;&gt;"")*(N440&lt;&gt;""))+((P440=P423)*(Q440="Y")*(R440&lt;&gt;R423)*(S440="Y")*(P440&lt;&gt;"")*(R440&lt;&gt;""))),0)</f>
        <v/>
      </c>
      <c r="W440" s="37">
        <f>IFERROR(SUMPRODUCT(((E440="N")*(D440&lt;&gt;"")*(F440&lt;&gt;""))+((I440="N")*(H440&lt;&gt;"")*(J440&lt;&gt;""))+((M440="N")*(L440&lt;&gt;"")*(N440&lt;&gt;""))+((Q440="N")*(P440&lt;&gt;"")*(R440&lt;&gt;""))),0)</f>
        <v/>
      </c>
      <c r="X440" s="50">
        <f>IFERROR(U440/4,0)</f>
        <v/>
      </c>
    </row>
    <row r="441" ht="18" customHeight="1">
      <c r="B441" s="46">
        <f>'📥 ข้อมูลนักเรียน'!B21</f>
        <v/>
      </c>
      <c r="C441" s="51">
        <f>'📥 ข้อมูลนักเรียน'!C21</f>
        <v/>
      </c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37">
        <f>IFERROR(SUMPRODUCT(((D441=D423)*(E441="Y")*(F441=F423)*(G441="Y")*(D441&lt;&gt;"")*(F441&lt;&gt;""))+((H441=H423)*(I441="Y")*(J441=J423)*(K441="Y")*(H441&lt;&gt;"")*(J441&lt;&gt;""))+((L441=L423)*(M441="Y")*(N441=N423)*(O441="Y")*(L441&lt;&gt;"")*(N441&lt;&gt;""))+((P441=P423)*(Q441="Y")*(R441=R423)*(S441="Y")*(P441&lt;&gt;"")*(R441&lt;&gt;""))),0)</f>
        <v/>
      </c>
      <c r="U441" s="49">
        <f>IFERROR(SUMPRODUCT(((D441&lt;&gt;D423)*(E441="Y")*(F441&lt;&gt;F423)*(G441="Y")*(D441&lt;&gt;"")*(F441&lt;&gt;""))+((H441&lt;&gt;H423)*(I441="Y")*(J441&lt;&gt;J423)*(K441="Y")*(H441&lt;&gt;"")*(J441&lt;&gt;""))+((L441&lt;&gt;L423)*(M441="Y")*(N441&lt;&gt;N423)*(O441="Y")*(L441&lt;&gt;"")*(N441&lt;&gt;""))+((P441&lt;&gt;P423)*(Q441="Y")*(R441&lt;&gt;R423)*(S441="Y")*(P441&lt;&gt;"")*(R441&lt;&gt;""))),0)</f>
        <v/>
      </c>
      <c r="V441" s="37">
        <f>IFERROR(SUMPRODUCT(((D441=D423)*(E441="Y")*(F441&lt;&gt;F423)*(G441="Y")*(D441&lt;&gt;"")*(F441&lt;&gt;""))+((H441=H423)*(I441="Y")*(J441&lt;&gt;J423)*(K441="Y")*(H441&lt;&gt;"")*(J441&lt;&gt;""))+((L441=L423)*(M441="Y")*(N441&lt;&gt;N423)*(O441="Y")*(L441&lt;&gt;"")*(N441&lt;&gt;""))+((P441=P423)*(Q441="Y")*(R441&lt;&gt;R423)*(S441="Y")*(P441&lt;&gt;"")*(R441&lt;&gt;""))),0)</f>
        <v/>
      </c>
      <c r="W441" s="37">
        <f>IFERROR(SUMPRODUCT(((E441="N")*(D441&lt;&gt;"")*(F441&lt;&gt;""))+((I441="N")*(H441&lt;&gt;"")*(J441&lt;&gt;""))+((M441="N")*(L441&lt;&gt;"")*(N441&lt;&gt;""))+((Q441="N")*(P441&lt;&gt;"")*(R441&lt;&gt;""))),0)</f>
        <v/>
      </c>
      <c r="X441" s="50">
        <f>IFERROR(U441/4,0)</f>
        <v/>
      </c>
    </row>
    <row r="442" ht="18" customHeight="1">
      <c r="B442" s="46">
        <f>'📥 ข้อมูลนักเรียน'!B22</f>
        <v/>
      </c>
      <c r="C442" s="47">
        <f>'📥 ข้อมูลนักเรียน'!C22</f>
        <v/>
      </c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37">
        <f>IFERROR(SUMPRODUCT(((D442=D423)*(E442="Y")*(F442=F423)*(G442="Y")*(D442&lt;&gt;"")*(F442&lt;&gt;""))+((H442=H423)*(I442="Y")*(J442=J423)*(K442="Y")*(H442&lt;&gt;"")*(J442&lt;&gt;""))+((L442=L423)*(M442="Y")*(N442=N423)*(O442="Y")*(L442&lt;&gt;"")*(N442&lt;&gt;""))+((P442=P423)*(Q442="Y")*(R442=R423)*(S442="Y")*(P442&lt;&gt;"")*(R442&lt;&gt;""))),0)</f>
        <v/>
      </c>
      <c r="U442" s="49">
        <f>IFERROR(SUMPRODUCT(((D442&lt;&gt;D423)*(E442="Y")*(F442&lt;&gt;F423)*(G442="Y")*(D442&lt;&gt;"")*(F442&lt;&gt;""))+((H442&lt;&gt;H423)*(I442="Y")*(J442&lt;&gt;J423)*(K442="Y")*(H442&lt;&gt;"")*(J442&lt;&gt;""))+((L442&lt;&gt;L423)*(M442="Y")*(N442&lt;&gt;N423)*(O442="Y")*(L442&lt;&gt;"")*(N442&lt;&gt;""))+((P442&lt;&gt;P423)*(Q442="Y")*(R442&lt;&gt;R423)*(S442="Y")*(P442&lt;&gt;"")*(R442&lt;&gt;""))),0)</f>
        <v/>
      </c>
      <c r="V442" s="37">
        <f>IFERROR(SUMPRODUCT(((D442=D423)*(E442="Y")*(F442&lt;&gt;F423)*(G442="Y")*(D442&lt;&gt;"")*(F442&lt;&gt;""))+((H442=H423)*(I442="Y")*(J442&lt;&gt;J423)*(K442="Y")*(H442&lt;&gt;"")*(J442&lt;&gt;""))+((L442=L423)*(M442="Y")*(N442&lt;&gt;N423)*(O442="Y")*(L442&lt;&gt;"")*(N442&lt;&gt;""))+((P442=P423)*(Q442="Y")*(R442&lt;&gt;R423)*(S442="Y")*(P442&lt;&gt;"")*(R442&lt;&gt;""))),0)</f>
        <v/>
      </c>
      <c r="W442" s="37">
        <f>IFERROR(SUMPRODUCT(((E442="N")*(D442&lt;&gt;"")*(F442&lt;&gt;""))+((I442="N")*(H442&lt;&gt;"")*(J442&lt;&gt;""))+((M442="N")*(L442&lt;&gt;"")*(N442&lt;&gt;""))+((Q442="N")*(P442&lt;&gt;"")*(R442&lt;&gt;""))),0)</f>
        <v/>
      </c>
      <c r="X442" s="50">
        <f>IFERROR(U442/4,0)</f>
        <v/>
      </c>
    </row>
    <row r="443" ht="18" customHeight="1">
      <c r="B443" s="46">
        <f>'📥 ข้อมูลนักเรียน'!B23</f>
        <v/>
      </c>
      <c r="C443" s="51">
        <f>'📥 ข้อมูลนักเรียน'!C23</f>
        <v/>
      </c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37">
        <f>IFERROR(SUMPRODUCT(((D443=D423)*(E443="Y")*(F443=F423)*(G443="Y")*(D443&lt;&gt;"")*(F443&lt;&gt;""))+((H443=H423)*(I443="Y")*(J443=J423)*(K443="Y")*(H443&lt;&gt;"")*(J443&lt;&gt;""))+((L443=L423)*(M443="Y")*(N443=N423)*(O443="Y")*(L443&lt;&gt;"")*(N443&lt;&gt;""))+((P443=P423)*(Q443="Y")*(R443=R423)*(S443="Y")*(P443&lt;&gt;"")*(R443&lt;&gt;""))),0)</f>
        <v/>
      </c>
      <c r="U443" s="49">
        <f>IFERROR(SUMPRODUCT(((D443&lt;&gt;D423)*(E443="Y")*(F443&lt;&gt;F423)*(G443="Y")*(D443&lt;&gt;"")*(F443&lt;&gt;""))+((H443&lt;&gt;H423)*(I443="Y")*(J443&lt;&gt;J423)*(K443="Y")*(H443&lt;&gt;"")*(J443&lt;&gt;""))+((L443&lt;&gt;L423)*(M443="Y")*(N443&lt;&gt;N423)*(O443="Y")*(L443&lt;&gt;"")*(N443&lt;&gt;""))+((P443&lt;&gt;P423)*(Q443="Y")*(R443&lt;&gt;R423)*(S443="Y")*(P443&lt;&gt;"")*(R443&lt;&gt;""))),0)</f>
        <v/>
      </c>
      <c r="V443" s="37">
        <f>IFERROR(SUMPRODUCT(((D443=D423)*(E443="Y")*(F443&lt;&gt;F423)*(G443="Y")*(D443&lt;&gt;"")*(F443&lt;&gt;""))+((H443=H423)*(I443="Y")*(J443&lt;&gt;J423)*(K443="Y")*(H443&lt;&gt;"")*(J443&lt;&gt;""))+((L443=L423)*(M443="Y")*(N443&lt;&gt;N423)*(O443="Y")*(L443&lt;&gt;"")*(N443&lt;&gt;""))+((P443=P423)*(Q443="Y")*(R443&lt;&gt;R423)*(S443="Y")*(P443&lt;&gt;"")*(R443&lt;&gt;""))),0)</f>
        <v/>
      </c>
      <c r="W443" s="37">
        <f>IFERROR(SUMPRODUCT(((E443="N")*(D443&lt;&gt;"")*(F443&lt;&gt;""))+((I443="N")*(H443&lt;&gt;"")*(J443&lt;&gt;""))+((M443="N")*(L443&lt;&gt;"")*(N443&lt;&gt;""))+((Q443="N")*(P443&lt;&gt;"")*(R443&lt;&gt;""))),0)</f>
        <v/>
      </c>
      <c r="X443" s="50">
        <f>IFERROR(U443/4,0)</f>
        <v/>
      </c>
    </row>
    <row r="444" ht="18" customHeight="1">
      <c r="B444" s="46">
        <f>'📥 ข้อมูลนักเรียน'!B24</f>
        <v/>
      </c>
      <c r="C444" s="47">
        <f>'📥 ข้อมูลนักเรียน'!C24</f>
        <v/>
      </c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37">
        <f>IFERROR(SUMPRODUCT(((D444=D423)*(E444="Y")*(F444=F423)*(G444="Y")*(D444&lt;&gt;"")*(F444&lt;&gt;""))+((H444=H423)*(I444="Y")*(J444=J423)*(K444="Y")*(H444&lt;&gt;"")*(J444&lt;&gt;""))+((L444=L423)*(M444="Y")*(N444=N423)*(O444="Y")*(L444&lt;&gt;"")*(N444&lt;&gt;""))+((P444=P423)*(Q444="Y")*(R444=R423)*(S444="Y")*(P444&lt;&gt;"")*(R444&lt;&gt;""))),0)</f>
        <v/>
      </c>
      <c r="U444" s="49">
        <f>IFERROR(SUMPRODUCT(((D444&lt;&gt;D423)*(E444="Y")*(F444&lt;&gt;F423)*(G444="Y")*(D444&lt;&gt;"")*(F444&lt;&gt;""))+((H444&lt;&gt;H423)*(I444="Y")*(J444&lt;&gt;J423)*(K444="Y")*(H444&lt;&gt;"")*(J444&lt;&gt;""))+((L444&lt;&gt;L423)*(M444="Y")*(N444&lt;&gt;N423)*(O444="Y")*(L444&lt;&gt;"")*(N444&lt;&gt;""))+((P444&lt;&gt;P423)*(Q444="Y")*(R444&lt;&gt;R423)*(S444="Y")*(P444&lt;&gt;"")*(R444&lt;&gt;""))),0)</f>
        <v/>
      </c>
      <c r="V444" s="37">
        <f>IFERROR(SUMPRODUCT(((D444=D423)*(E444="Y")*(F444&lt;&gt;F423)*(G444="Y")*(D444&lt;&gt;"")*(F444&lt;&gt;""))+((H444=H423)*(I444="Y")*(J444&lt;&gt;J423)*(K444="Y")*(H444&lt;&gt;"")*(J444&lt;&gt;""))+((L444=L423)*(M444="Y")*(N444&lt;&gt;N423)*(O444="Y")*(L444&lt;&gt;"")*(N444&lt;&gt;""))+((P444=P423)*(Q444="Y")*(R444&lt;&gt;R423)*(S444="Y")*(P444&lt;&gt;"")*(R444&lt;&gt;""))),0)</f>
        <v/>
      </c>
      <c r="W444" s="37">
        <f>IFERROR(SUMPRODUCT(((E444="N")*(D444&lt;&gt;"")*(F444&lt;&gt;""))+((I444="N")*(H444&lt;&gt;"")*(J444&lt;&gt;""))+((M444="N")*(L444&lt;&gt;"")*(N444&lt;&gt;""))+((Q444="N")*(P444&lt;&gt;"")*(R444&lt;&gt;""))),0)</f>
        <v/>
      </c>
      <c r="X444" s="50">
        <f>IFERROR(U444/4,0)</f>
        <v/>
      </c>
    </row>
    <row r="445" ht="18" customHeight="1">
      <c r="B445" s="46">
        <f>'📥 ข้อมูลนักเรียน'!B25</f>
        <v/>
      </c>
      <c r="C445" s="51">
        <f>'📥 ข้อมูลนักเรียน'!C25</f>
        <v/>
      </c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37">
        <f>IFERROR(SUMPRODUCT(((D445=D423)*(E445="Y")*(F445=F423)*(G445="Y")*(D445&lt;&gt;"")*(F445&lt;&gt;""))+((H445=H423)*(I445="Y")*(J445=J423)*(K445="Y")*(H445&lt;&gt;"")*(J445&lt;&gt;""))+((L445=L423)*(M445="Y")*(N445=N423)*(O445="Y")*(L445&lt;&gt;"")*(N445&lt;&gt;""))+((P445=P423)*(Q445="Y")*(R445=R423)*(S445="Y")*(P445&lt;&gt;"")*(R445&lt;&gt;""))),0)</f>
        <v/>
      </c>
      <c r="U445" s="49">
        <f>IFERROR(SUMPRODUCT(((D445&lt;&gt;D423)*(E445="Y")*(F445&lt;&gt;F423)*(G445="Y")*(D445&lt;&gt;"")*(F445&lt;&gt;""))+((H445&lt;&gt;H423)*(I445="Y")*(J445&lt;&gt;J423)*(K445="Y")*(H445&lt;&gt;"")*(J445&lt;&gt;""))+((L445&lt;&gt;L423)*(M445="Y")*(N445&lt;&gt;N423)*(O445="Y")*(L445&lt;&gt;"")*(N445&lt;&gt;""))+((P445&lt;&gt;P423)*(Q445="Y")*(R445&lt;&gt;R423)*(S445="Y")*(P445&lt;&gt;"")*(R445&lt;&gt;""))),0)</f>
        <v/>
      </c>
      <c r="V445" s="37">
        <f>IFERROR(SUMPRODUCT(((D445=D423)*(E445="Y")*(F445&lt;&gt;F423)*(G445="Y")*(D445&lt;&gt;"")*(F445&lt;&gt;""))+((H445=H423)*(I445="Y")*(J445&lt;&gt;J423)*(K445="Y")*(H445&lt;&gt;"")*(J445&lt;&gt;""))+((L445=L423)*(M445="Y")*(N445&lt;&gt;N423)*(O445="Y")*(L445&lt;&gt;"")*(N445&lt;&gt;""))+((P445=P423)*(Q445="Y")*(R445&lt;&gt;R423)*(S445="Y")*(P445&lt;&gt;"")*(R445&lt;&gt;""))),0)</f>
        <v/>
      </c>
      <c r="W445" s="37">
        <f>IFERROR(SUMPRODUCT(((E445="N")*(D445&lt;&gt;"")*(F445&lt;&gt;""))+((I445="N")*(H445&lt;&gt;"")*(J445&lt;&gt;""))+((M445="N")*(L445&lt;&gt;"")*(N445&lt;&gt;""))+((Q445="N")*(P445&lt;&gt;"")*(R445&lt;&gt;""))),0)</f>
        <v/>
      </c>
      <c r="X445" s="50">
        <f>IFERROR(U445/4,0)</f>
        <v/>
      </c>
    </row>
    <row r="446" ht="18" customHeight="1">
      <c r="B446" s="46">
        <f>'📥 ข้อมูลนักเรียน'!B26</f>
        <v/>
      </c>
      <c r="C446" s="47">
        <f>'📥 ข้อมูลนักเรียน'!C26</f>
        <v/>
      </c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37">
        <f>IFERROR(SUMPRODUCT(((D446=D423)*(E446="Y")*(F446=F423)*(G446="Y")*(D446&lt;&gt;"")*(F446&lt;&gt;""))+((H446=H423)*(I446="Y")*(J446=J423)*(K446="Y")*(H446&lt;&gt;"")*(J446&lt;&gt;""))+((L446=L423)*(M446="Y")*(N446=N423)*(O446="Y")*(L446&lt;&gt;"")*(N446&lt;&gt;""))+((P446=P423)*(Q446="Y")*(R446=R423)*(S446="Y")*(P446&lt;&gt;"")*(R446&lt;&gt;""))),0)</f>
        <v/>
      </c>
      <c r="U446" s="49">
        <f>IFERROR(SUMPRODUCT(((D446&lt;&gt;D423)*(E446="Y")*(F446&lt;&gt;F423)*(G446="Y")*(D446&lt;&gt;"")*(F446&lt;&gt;""))+((H446&lt;&gt;H423)*(I446="Y")*(J446&lt;&gt;J423)*(K446="Y")*(H446&lt;&gt;"")*(J446&lt;&gt;""))+((L446&lt;&gt;L423)*(M446="Y")*(N446&lt;&gt;N423)*(O446="Y")*(L446&lt;&gt;"")*(N446&lt;&gt;""))+((P446&lt;&gt;P423)*(Q446="Y")*(R446&lt;&gt;R423)*(S446="Y")*(P446&lt;&gt;"")*(R446&lt;&gt;""))),0)</f>
        <v/>
      </c>
      <c r="V446" s="37">
        <f>IFERROR(SUMPRODUCT(((D446=D423)*(E446="Y")*(F446&lt;&gt;F423)*(G446="Y")*(D446&lt;&gt;"")*(F446&lt;&gt;""))+((H446=H423)*(I446="Y")*(J446&lt;&gt;J423)*(K446="Y")*(H446&lt;&gt;"")*(J446&lt;&gt;""))+((L446=L423)*(M446="Y")*(N446&lt;&gt;N423)*(O446="Y")*(L446&lt;&gt;"")*(N446&lt;&gt;""))+((P446=P423)*(Q446="Y")*(R446&lt;&gt;R423)*(S446="Y")*(P446&lt;&gt;"")*(R446&lt;&gt;""))),0)</f>
        <v/>
      </c>
      <c r="W446" s="37">
        <f>IFERROR(SUMPRODUCT(((E446="N")*(D446&lt;&gt;"")*(F446&lt;&gt;""))+((I446="N")*(H446&lt;&gt;"")*(J446&lt;&gt;""))+((M446="N")*(L446&lt;&gt;"")*(N446&lt;&gt;""))+((Q446="N")*(P446&lt;&gt;"")*(R446&lt;&gt;""))),0)</f>
        <v/>
      </c>
      <c r="X446" s="50">
        <f>IFERROR(U446/4,0)</f>
        <v/>
      </c>
    </row>
    <row r="447" ht="18" customHeight="1">
      <c r="B447" s="46">
        <f>'📥 ข้อมูลนักเรียน'!B27</f>
        <v/>
      </c>
      <c r="C447" s="51">
        <f>'📥 ข้อมูลนักเรียน'!C27</f>
        <v/>
      </c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37">
        <f>IFERROR(SUMPRODUCT(((D447=D423)*(E447="Y")*(F447=F423)*(G447="Y")*(D447&lt;&gt;"")*(F447&lt;&gt;""))+((H447=H423)*(I447="Y")*(J447=J423)*(K447="Y")*(H447&lt;&gt;"")*(J447&lt;&gt;""))+((L447=L423)*(M447="Y")*(N447=N423)*(O447="Y")*(L447&lt;&gt;"")*(N447&lt;&gt;""))+((P447=P423)*(Q447="Y")*(R447=R423)*(S447="Y")*(P447&lt;&gt;"")*(R447&lt;&gt;""))),0)</f>
        <v/>
      </c>
      <c r="U447" s="49">
        <f>IFERROR(SUMPRODUCT(((D447&lt;&gt;D423)*(E447="Y")*(F447&lt;&gt;F423)*(G447="Y")*(D447&lt;&gt;"")*(F447&lt;&gt;""))+((H447&lt;&gt;H423)*(I447="Y")*(J447&lt;&gt;J423)*(K447="Y")*(H447&lt;&gt;"")*(J447&lt;&gt;""))+((L447&lt;&gt;L423)*(M447="Y")*(N447&lt;&gt;N423)*(O447="Y")*(L447&lt;&gt;"")*(N447&lt;&gt;""))+((P447&lt;&gt;P423)*(Q447="Y")*(R447&lt;&gt;R423)*(S447="Y")*(P447&lt;&gt;"")*(R447&lt;&gt;""))),0)</f>
        <v/>
      </c>
      <c r="V447" s="37">
        <f>IFERROR(SUMPRODUCT(((D447=D423)*(E447="Y")*(F447&lt;&gt;F423)*(G447="Y")*(D447&lt;&gt;"")*(F447&lt;&gt;""))+((H447=H423)*(I447="Y")*(J447&lt;&gt;J423)*(K447="Y")*(H447&lt;&gt;"")*(J447&lt;&gt;""))+((L447=L423)*(M447="Y")*(N447&lt;&gt;N423)*(O447="Y")*(L447&lt;&gt;"")*(N447&lt;&gt;""))+((P447=P423)*(Q447="Y")*(R447&lt;&gt;R423)*(S447="Y")*(P447&lt;&gt;"")*(R447&lt;&gt;""))),0)</f>
        <v/>
      </c>
      <c r="W447" s="37">
        <f>IFERROR(SUMPRODUCT(((E447="N")*(D447&lt;&gt;"")*(F447&lt;&gt;""))+((I447="N")*(H447&lt;&gt;"")*(J447&lt;&gt;""))+((M447="N")*(L447&lt;&gt;"")*(N447&lt;&gt;""))+((Q447="N")*(P447&lt;&gt;"")*(R447&lt;&gt;""))),0)</f>
        <v/>
      </c>
      <c r="X447" s="50">
        <f>IFERROR(U447/4,0)</f>
        <v/>
      </c>
    </row>
    <row r="448" ht="18" customHeight="1">
      <c r="B448" s="46">
        <f>'📥 ข้อมูลนักเรียน'!B28</f>
        <v/>
      </c>
      <c r="C448" s="47">
        <f>'📥 ข้อมูลนักเรียน'!C28</f>
        <v/>
      </c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37">
        <f>IFERROR(SUMPRODUCT(((D448=D423)*(E448="Y")*(F448=F423)*(G448="Y")*(D448&lt;&gt;"")*(F448&lt;&gt;""))+((H448=H423)*(I448="Y")*(J448=J423)*(K448="Y")*(H448&lt;&gt;"")*(J448&lt;&gt;""))+((L448=L423)*(M448="Y")*(N448=N423)*(O448="Y")*(L448&lt;&gt;"")*(N448&lt;&gt;""))+((P448=P423)*(Q448="Y")*(R448=R423)*(S448="Y")*(P448&lt;&gt;"")*(R448&lt;&gt;""))),0)</f>
        <v/>
      </c>
      <c r="U448" s="49">
        <f>IFERROR(SUMPRODUCT(((D448&lt;&gt;D423)*(E448="Y")*(F448&lt;&gt;F423)*(G448="Y")*(D448&lt;&gt;"")*(F448&lt;&gt;""))+((H448&lt;&gt;H423)*(I448="Y")*(J448&lt;&gt;J423)*(K448="Y")*(H448&lt;&gt;"")*(J448&lt;&gt;""))+((L448&lt;&gt;L423)*(M448="Y")*(N448&lt;&gt;N423)*(O448="Y")*(L448&lt;&gt;"")*(N448&lt;&gt;""))+((P448&lt;&gt;P423)*(Q448="Y")*(R448&lt;&gt;R423)*(S448="Y")*(P448&lt;&gt;"")*(R448&lt;&gt;""))),0)</f>
        <v/>
      </c>
      <c r="V448" s="37">
        <f>IFERROR(SUMPRODUCT(((D448=D423)*(E448="Y")*(F448&lt;&gt;F423)*(G448="Y")*(D448&lt;&gt;"")*(F448&lt;&gt;""))+((H448=H423)*(I448="Y")*(J448&lt;&gt;J423)*(K448="Y")*(H448&lt;&gt;"")*(J448&lt;&gt;""))+((L448=L423)*(M448="Y")*(N448&lt;&gt;N423)*(O448="Y")*(L448&lt;&gt;"")*(N448&lt;&gt;""))+((P448=P423)*(Q448="Y")*(R448&lt;&gt;R423)*(S448="Y")*(P448&lt;&gt;"")*(R448&lt;&gt;""))),0)</f>
        <v/>
      </c>
      <c r="W448" s="37">
        <f>IFERROR(SUMPRODUCT(((E448="N")*(D448&lt;&gt;"")*(F448&lt;&gt;""))+((I448="N")*(H448&lt;&gt;"")*(J448&lt;&gt;""))+((M448="N")*(L448&lt;&gt;"")*(N448&lt;&gt;""))+((Q448="N")*(P448&lt;&gt;"")*(R448&lt;&gt;""))),0)</f>
        <v/>
      </c>
      <c r="X448" s="50">
        <f>IFERROR(U448/4,0)</f>
        <v/>
      </c>
    </row>
    <row r="449" ht="18" customHeight="1">
      <c r="B449" s="46">
        <f>'📥 ข้อมูลนักเรียน'!B29</f>
        <v/>
      </c>
      <c r="C449" s="51">
        <f>'📥 ข้อมูลนักเรียน'!C29</f>
        <v/>
      </c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37">
        <f>IFERROR(SUMPRODUCT(((D449=D423)*(E449="Y")*(F449=F423)*(G449="Y")*(D449&lt;&gt;"")*(F449&lt;&gt;""))+((H449=H423)*(I449="Y")*(J449=J423)*(K449="Y")*(H449&lt;&gt;"")*(J449&lt;&gt;""))+((L449=L423)*(M449="Y")*(N449=N423)*(O449="Y")*(L449&lt;&gt;"")*(N449&lt;&gt;""))+((P449=P423)*(Q449="Y")*(R449=R423)*(S449="Y")*(P449&lt;&gt;"")*(R449&lt;&gt;""))),0)</f>
        <v/>
      </c>
      <c r="U449" s="49">
        <f>IFERROR(SUMPRODUCT(((D449&lt;&gt;D423)*(E449="Y")*(F449&lt;&gt;F423)*(G449="Y")*(D449&lt;&gt;"")*(F449&lt;&gt;""))+((H449&lt;&gt;H423)*(I449="Y")*(J449&lt;&gt;J423)*(K449="Y")*(H449&lt;&gt;"")*(J449&lt;&gt;""))+((L449&lt;&gt;L423)*(M449="Y")*(N449&lt;&gt;N423)*(O449="Y")*(L449&lt;&gt;"")*(N449&lt;&gt;""))+((P449&lt;&gt;P423)*(Q449="Y")*(R449&lt;&gt;R423)*(S449="Y")*(P449&lt;&gt;"")*(R449&lt;&gt;""))),0)</f>
        <v/>
      </c>
      <c r="V449" s="37">
        <f>IFERROR(SUMPRODUCT(((D449=D423)*(E449="Y")*(F449&lt;&gt;F423)*(G449="Y")*(D449&lt;&gt;"")*(F449&lt;&gt;""))+((H449=H423)*(I449="Y")*(J449&lt;&gt;J423)*(K449="Y")*(H449&lt;&gt;"")*(J449&lt;&gt;""))+((L449=L423)*(M449="Y")*(N449&lt;&gt;N423)*(O449="Y")*(L449&lt;&gt;"")*(N449&lt;&gt;""))+((P449=P423)*(Q449="Y")*(R449&lt;&gt;R423)*(S449="Y")*(P449&lt;&gt;"")*(R449&lt;&gt;""))),0)</f>
        <v/>
      </c>
      <c r="W449" s="37">
        <f>IFERROR(SUMPRODUCT(((E449="N")*(D449&lt;&gt;"")*(F449&lt;&gt;""))+((I449="N")*(H449&lt;&gt;"")*(J449&lt;&gt;""))+((M449="N")*(L449&lt;&gt;"")*(N449&lt;&gt;""))+((Q449="N")*(P449&lt;&gt;"")*(R449&lt;&gt;""))),0)</f>
        <v/>
      </c>
      <c r="X449" s="50">
        <f>IFERROR(U449/4,0)</f>
        <v/>
      </c>
    </row>
    <row r="450" ht="18" customHeight="1">
      <c r="B450" s="46">
        <f>'📥 ข้อมูลนักเรียน'!B30</f>
        <v/>
      </c>
      <c r="C450" s="47">
        <f>'📥 ข้อมูลนักเรียน'!C30</f>
        <v/>
      </c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37">
        <f>IFERROR(SUMPRODUCT(((D450=D423)*(E450="Y")*(F450=F423)*(G450="Y")*(D450&lt;&gt;"")*(F450&lt;&gt;""))+((H450=H423)*(I450="Y")*(J450=J423)*(K450="Y")*(H450&lt;&gt;"")*(J450&lt;&gt;""))+((L450=L423)*(M450="Y")*(N450=N423)*(O450="Y")*(L450&lt;&gt;"")*(N450&lt;&gt;""))+((P450=P423)*(Q450="Y")*(R450=R423)*(S450="Y")*(P450&lt;&gt;"")*(R450&lt;&gt;""))),0)</f>
        <v/>
      </c>
      <c r="U450" s="49">
        <f>IFERROR(SUMPRODUCT(((D450&lt;&gt;D423)*(E450="Y")*(F450&lt;&gt;F423)*(G450="Y")*(D450&lt;&gt;"")*(F450&lt;&gt;""))+((H450&lt;&gt;H423)*(I450="Y")*(J450&lt;&gt;J423)*(K450="Y")*(H450&lt;&gt;"")*(J450&lt;&gt;""))+((L450&lt;&gt;L423)*(M450="Y")*(N450&lt;&gt;N423)*(O450="Y")*(L450&lt;&gt;"")*(N450&lt;&gt;""))+((P450&lt;&gt;P423)*(Q450="Y")*(R450&lt;&gt;R423)*(S450="Y")*(P450&lt;&gt;"")*(R450&lt;&gt;""))),0)</f>
        <v/>
      </c>
      <c r="V450" s="37">
        <f>IFERROR(SUMPRODUCT(((D450=D423)*(E450="Y")*(F450&lt;&gt;F423)*(G450="Y")*(D450&lt;&gt;"")*(F450&lt;&gt;""))+((H450=H423)*(I450="Y")*(J450&lt;&gt;J423)*(K450="Y")*(H450&lt;&gt;"")*(J450&lt;&gt;""))+((L450=L423)*(M450="Y")*(N450&lt;&gt;N423)*(O450="Y")*(L450&lt;&gt;"")*(N450&lt;&gt;""))+((P450=P423)*(Q450="Y")*(R450&lt;&gt;R423)*(S450="Y")*(P450&lt;&gt;"")*(R450&lt;&gt;""))),0)</f>
        <v/>
      </c>
      <c r="W450" s="37">
        <f>IFERROR(SUMPRODUCT(((E450="N")*(D450&lt;&gt;"")*(F450&lt;&gt;""))+((I450="N")*(H450&lt;&gt;"")*(J450&lt;&gt;""))+((M450="N")*(L450&lt;&gt;"")*(N450&lt;&gt;""))+((Q450="N")*(P450&lt;&gt;"")*(R450&lt;&gt;""))),0)</f>
        <v/>
      </c>
      <c r="X450" s="50">
        <f>IFERROR(U450/4,0)</f>
        <v/>
      </c>
    </row>
    <row r="451" ht="18" customHeight="1">
      <c r="B451" s="46">
        <f>'📥 ข้อมูลนักเรียน'!B31</f>
        <v/>
      </c>
      <c r="C451" s="51">
        <f>'📥 ข้อมูลนักเรียน'!C31</f>
        <v/>
      </c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37">
        <f>IFERROR(SUMPRODUCT(((D451=D423)*(E451="Y")*(F451=F423)*(G451="Y")*(D451&lt;&gt;"")*(F451&lt;&gt;""))+((H451=H423)*(I451="Y")*(J451=J423)*(K451="Y")*(H451&lt;&gt;"")*(J451&lt;&gt;""))+((L451=L423)*(M451="Y")*(N451=N423)*(O451="Y")*(L451&lt;&gt;"")*(N451&lt;&gt;""))+((P451=P423)*(Q451="Y")*(R451=R423)*(S451="Y")*(P451&lt;&gt;"")*(R451&lt;&gt;""))),0)</f>
        <v/>
      </c>
      <c r="U451" s="49">
        <f>IFERROR(SUMPRODUCT(((D451&lt;&gt;D423)*(E451="Y")*(F451&lt;&gt;F423)*(G451="Y")*(D451&lt;&gt;"")*(F451&lt;&gt;""))+((H451&lt;&gt;H423)*(I451="Y")*(J451&lt;&gt;J423)*(K451="Y")*(H451&lt;&gt;"")*(J451&lt;&gt;""))+((L451&lt;&gt;L423)*(M451="Y")*(N451&lt;&gt;N423)*(O451="Y")*(L451&lt;&gt;"")*(N451&lt;&gt;""))+((P451&lt;&gt;P423)*(Q451="Y")*(R451&lt;&gt;R423)*(S451="Y")*(P451&lt;&gt;"")*(R451&lt;&gt;""))),0)</f>
        <v/>
      </c>
      <c r="V451" s="37">
        <f>IFERROR(SUMPRODUCT(((D451=D423)*(E451="Y")*(F451&lt;&gt;F423)*(G451="Y")*(D451&lt;&gt;"")*(F451&lt;&gt;""))+((H451=H423)*(I451="Y")*(J451&lt;&gt;J423)*(K451="Y")*(H451&lt;&gt;"")*(J451&lt;&gt;""))+((L451=L423)*(M451="Y")*(N451&lt;&gt;N423)*(O451="Y")*(L451&lt;&gt;"")*(N451&lt;&gt;""))+((P451=P423)*(Q451="Y")*(R451&lt;&gt;R423)*(S451="Y")*(P451&lt;&gt;"")*(R451&lt;&gt;""))),0)</f>
        <v/>
      </c>
      <c r="W451" s="37">
        <f>IFERROR(SUMPRODUCT(((E451="N")*(D451&lt;&gt;"")*(F451&lt;&gt;""))+((I451="N")*(H451&lt;&gt;"")*(J451&lt;&gt;""))+((M451="N")*(L451&lt;&gt;"")*(N451&lt;&gt;""))+((Q451="N")*(P451&lt;&gt;"")*(R451&lt;&gt;""))),0)</f>
        <v/>
      </c>
      <c r="X451" s="50">
        <f>IFERROR(U451/4,0)</f>
        <v/>
      </c>
    </row>
    <row r="452" ht="18" customHeight="1">
      <c r="B452" s="46">
        <f>'📥 ข้อมูลนักเรียน'!B32</f>
        <v/>
      </c>
      <c r="C452" s="47">
        <f>'📥 ข้อมูลนักเรียน'!C32</f>
        <v/>
      </c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37">
        <f>IFERROR(SUMPRODUCT(((D452=D423)*(E452="Y")*(F452=F423)*(G452="Y")*(D452&lt;&gt;"")*(F452&lt;&gt;""))+((H452=H423)*(I452="Y")*(J452=J423)*(K452="Y")*(H452&lt;&gt;"")*(J452&lt;&gt;""))+((L452=L423)*(M452="Y")*(N452=N423)*(O452="Y")*(L452&lt;&gt;"")*(N452&lt;&gt;""))+((P452=P423)*(Q452="Y")*(R452=R423)*(S452="Y")*(P452&lt;&gt;"")*(R452&lt;&gt;""))),0)</f>
        <v/>
      </c>
      <c r="U452" s="49">
        <f>IFERROR(SUMPRODUCT(((D452&lt;&gt;D423)*(E452="Y")*(F452&lt;&gt;F423)*(G452="Y")*(D452&lt;&gt;"")*(F452&lt;&gt;""))+((H452&lt;&gt;H423)*(I452="Y")*(J452&lt;&gt;J423)*(K452="Y")*(H452&lt;&gt;"")*(J452&lt;&gt;""))+((L452&lt;&gt;L423)*(M452="Y")*(N452&lt;&gt;N423)*(O452="Y")*(L452&lt;&gt;"")*(N452&lt;&gt;""))+((P452&lt;&gt;P423)*(Q452="Y")*(R452&lt;&gt;R423)*(S452="Y")*(P452&lt;&gt;"")*(R452&lt;&gt;""))),0)</f>
        <v/>
      </c>
      <c r="V452" s="37">
        <f>IFERROR(SUMPRODUCT(((D452=D423)*(E452="Y")*(F452&lt;&gt;F423)*(G452="Y")*(D452&lt;&gt;"")*(F452&lt;&gt;""))+((H452=H423)*(I452="Y")*(J452&lt;&gt;J423)*(K452="Y")*(H452&lt;&gt;"")*(J452&lt;&gt;""))+((L452=L423)*(M452="Y")*(N452&lt;&gt;N423)*(O452="Y")*(L452&lt;&gt;"")*(N452&lt;&gt;""))+((P452=P423)*(Q452="Y")*(R452&lt;&gt;R423)*(S452="Y")*(P452&lt;&gt;"")*(R452&lt;&gt;""))),0)</f>
        <v/>
      </c>
      <c r="W452" s="37">
        <f>IFERROR(SUMPRODUCT(((E452="N")*(D452&lt;&gt;"")*(F452&lt;&gt;""))+((I452="N")*(H452&lt;&gt;"")*(J452&lt;&gt;""))+((M452="N")*(L452&lt;&gt;"")*(N452&lt;&gt;""))+((Q452="N")*(P452&lt;&gt;"")*(R452&lt;&gt;""))),0)</f>
        <v/>
      </c>
      <c r="X452" s="50">
        <f>IFERROR(U452/4,0)</f>
        <v/>
      </c>
    </row>
    <row r="453" ht="18" customHeight="1">
      <c r="B453" s="46">
        <f>'📥 ข้อมูลนักเรียน'!B33</f>
        <v/>
      </c>
      <c r="C453" s="51">
        <f>'📥 ข้อมูลนักเรียน'!C33</f>
        <v/>
      </c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37">
        <f>IFERROR(SUMPRODUCT(((D453=D423)*(E453="Y")*(F453=F423)*(G453="Y")*(D453&lt;&gt;"")*(F453&lt;&gt;""))+((H453=H423)*(I453="Y")*(J453=J423)*(K453="Y")*(H453&lt;&gt;"")*(J453&lt;&gt;""))+((L453=L423)*(M453="Y")*(N453=N423)*(O453="Y")*(L453&lt;&gt;"")*(N453&lt;&gt;""))+((P453=P423)*(Q453="Y")*(R453=R423)*(S453="Y")*(P453&lt;&gt;"")*(R453&lt;&gt;""))),0)</f>
        <v/>
      </c>
      <c r="U453" s="49">
        <f>IFERROR(SUMPRODUCT(((D453&lt;&gt;D423)*(E453="Y")*(F453&lt;&gt;F423)*(G453="Y")*(D453&lt;&gt;"")*(F453&lt;&gt;""))+((H453&lt;&gt;H423)*(I453="Y")*(J453&lt;&gt;J423)*(K453="Y")*(H453&lt;&gt;"")*(J453&lt;&gt;""))+((L453&lt;&gt;L423)*(M453="Y")*(N453&lt;&gt;N423)*(O453="Y")*(L453&lt;&gt;"")*(N453&lt;&gt;""))+((P453&lt;&gt;P423)*(Q453="Y")*(R453&lt;&gt;R423)*(S453="Y")*(P453&lt;&gt;"")*(R453&lt;&gt;""))),0)</f>
        <v/>
      </c>
      <c r="V453" s="37">
        <f>IFERROR(SUMPRODUCT(((D453=D423)*(E453="Y")*(F453&lt;&gt;F423)*(G453="Y")*(D453&lt;&gt;"")*(F453&lt;&gt;""))+((H453=H423)*(I453="Y")*(J453&lt;&gt;J423)*(K453="Y")*(H453&lt;&gt;"")*(J453&lt;&gt;""))+((L453=L423)*(M453="Y")*(N453&lt;&gt;N423)*(O453="Y")*(L453&lt;&gt;"")*(N453&lt;&gt;""))+((P453=P423)*(Q453="Y")*(R453&lt;&gt;R423)*(S453="Y")*(P453&lt;&gt;"")*(R453&lt;&gt;""))),0)</f>
        <v/>
      </c>
      <c r="W453" s="37">
        <f>IFERROR(SUMPRODUCT(((E453="N")*(D453&lt;&gt;"")*(F453&lt;&gt;""))+((I453="N")*(H453&lt;&gt;"")*(J453&lt;&gt;""))+((M453="N")*(L453&lt;&gt;"")*(N453&lt;&gt;""))+((Q453="N")*(P453&lt;&gt;"")*(R453&lt;&gt;""))),0)</f>
        <v/>
      </c>
      <c r="X453" s="50">
        <f>IFERROR(U453/4,0)</f>
        <v/>
      </c>
    </row>
    <row r="454" ht="18" customHeight="1">
      <c r="B454" s="46">
        <f>'📥 ข้อมูลนักเรียน'!B34</f>
        <v/>
      </c>
      <c r="C454" s="47">
        <f>'📥 ข้อมูลนักเรียน'!C34</f>
        <v/>
      </c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37">
        <f>IFERROR(SUMPRODUCT(((D454=D423)*(E454="Y")*(F454=F423)*(G454="Y")*(D454&lt;&gt;"")*(F454&lt;&gt;""))+((H454=H423)*(I454="Y")*(J454=J423)*(K454="Y")*(H454&lt;&gt;"")*(J454&lt;&gt;""))+((L454=L423)*(M454="Y")*(N454=N423)*(O454="Y")*(L454&lt;&gt;"")*(N454&lt;&gt;""))+((P454=P423)*(Q454="Y")*(R454=R423)*(S454="Y")*(P454&lt;&gt;"")*(R454&lt;&gt;""))),0)</f>
        <v/>
      </c>
      <c r="U454" s="49">
        <f>IFERROR(SUMPRODUCT(((D454&lt;&gt;D423)*(E454="Y")*(F454&lt;&gt;F423)*(G454="Y")*(D454&lt;&gt;"")*(F454&lt;&gt;""))+((H454&lt;&gt;H423)*(I454="Y")*(J454&lt;&gt;J423)*(K454="Y")*(H454&lt;&gt;"")*(J454&lt;&gt;""))+((L454&lt;&gt;L423)*(M454="Y")*(N454&lt;&gt;N423)*(O454="Y")*(L454&lt;&gt;"")*(N454&lt;&gt;""))+((P454&lt;&gt;P423)*(Q454="Y")*(R454&lt;&gt;R423)*(S454="Y")*(P454&lt;&gt;"")*(R454&lt;&gt;""))),0)</f>
        <v/>
      </c>
      <c r="V454" s="37">
        <f>IFERROR(SUMPRODUCT(((D454=D423)*(E454="Y")*(F454&lt;&gt;F423)*(G454="Y")*(D454&lt;&gt;"")*(F454&lt;&gt;""))+((H454=H423)*(I454="Y")*(J454&lt;&gt;J423)*(K454="Y")*(H454&lt;&gt;"")*(J454&lt;&gt;""))+((L454=L423)*(M454="Y")*(N454&lt;&gt;N423)*(O454="Y")*(L454&lt;&gt;"")*(N454&lt;&gt;""))+((P454=P423)*(Q454="Y")*(R454&lt;&gt;R423)*(S454="Y")*(P454&lt;&gt;"")*(R454&lt;&gt;""))),0)</f>
        <v/>
      </c>
      <c r="W454" s="37">
        <f>IFERROR(SUMPRODUCT(((E454="N")*(D454&lt;&gt;"")*(F454&lt;&gt;""))+((I454="N")*(H454&lt;&gt;"")*(J454&lt;&gt;""))+((M454="N")*(L454&lt;&gt;"")*(N454&lt;&gt;""))+((Q454="N")*(P454&lt;&gt;"")*(R454&lt;&gt;""))),0)</f>
        <v/>
      </c>
      <c r="X454" s="50">
        <f>IFERROR(U454/4,0)</f>
        <v/>
      </c>
    </row>
    <row r="455" ht="18" customHeight="1">
      <c r="B455" s="46">
        <f>'📥 ข้อมูลนักเรียน'!B35</f>
        <v/>
      </c>
      <c r="C455" s="51">
        <f>'📥 ข้อมูลนักเรียน'!C35</f>
        <v/>
      </c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37">
        <f>IFERROR(SUMPRODUCT(((D455=D423)*(E455="Y")*(F455=F423)*(G455="Y")*(D455&lt;&gt;"")*(F455&lt;&gt;""))+((H455=H423)*(I455="Y")*(J455=J423)*(K455="Y")*(H455&lt;&gt;"")*(J455&lt;&gt;""))+((L455=L423)*(M455="Y")*(N455=N423)*(O455="Y")*(L455&lt;&gt;"")*(N455&lt;&gt;""))+((P455=P423)*(Q455="Y")*(R455=R423)*(S455="Y")*(P455&lt;&gt;"")*(R455&lt;&gt;""))),0)</f>
        <v/>
      </c>
      <c r="U455" s="49">
        <f>IFERROR(SUMPRODUCT(((D455&lt;&gt;D423)*(E455="Y")*(F455&lt;&gt;F423)*(G455="Y")*(D455&lt;&gt;"")*(F455&lt;&gt;""))+((H455&lt;&gt;H423)*(I455="Y")*(J455&lt;&gt;J423)*(K455="Y")*(H455&lt;&gt;"")*(J455&lt;&gt;""))+((L455&lt;&gt;L423)*(M455="Y")*(N455&lt;&gt;N423)*(O455="Y")*(L455&lt;&gt;"")*(N455&lt;&gt;""))+((P455&lt;&gt;P423)*(Q455="Y")*(R455&lt;&gt;R423)*(S455="Y")*(P455&lt;&gt;"")*(R455&lt;&gt;""))),0)</f>
        <v/>
      </c>
      <c r="V455" s="37">
        <f>IFERROR(SUMPRODUCT(((D455=D423)*(E455="Y")*(F455&lt;&gt;F423)*(G455="Y")*(D455&lt;&gt;"")*(F455&lt;&gt;""))+((H455=H423)*(I455="Y")*(J455&lt;&gt;J423)*(K455="Y")*(H455&lt;&gt;"")*(J455&lt;&gt;""))+((L455=L423)*(M455="Y")*(N455&lt;&gt;N423)*(O455="Y")*(L455&lt;&gt;"")*(N455&lt;&gt;""))+((P455=P423)*(Q455="Y")*(R455&lt;&gt;R423)*(S455="Y")*(P455&lt;&gt;"")*(R455&lt;&gt;""))),0)</f>
        <v/>
      </c>
      <c r="W455" s="37">
        <f>IFERROR(SUMPRODUCT(((E455="N")*(D455&lt;&gt;"")*(F455&lt;&gt;""))+((I455="N")*(H455&lt;&gt;"")*(J455&lt;&gt;""))+((M455="N")*(L455&lt;&gt;"")*(N455&lt;&gt;""))+((Q455="N")*(P455&lt;&gt;"")*(R455&lt;&gt;""))),0)</f>
        <v/>
      </c>
      <c r="X455" s="50">
        <f>IFERROR(U455/4,0)</f>
        <v/>
      </c>
    </row>
    <row r="456" ht="18" customHeight="1">
      <c r="B456" s="46">
        <f>'📥 ข้อมูลนักเรียน'!B36</f>
        <v/>
      </c>
      <c r="C456" s="47">
        <f>'📥 ข้อมูลนักเรียน'!C36</f>
        <v/>
      </c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37">
        <f>IFERROR(SUMPRODUCT(((D456=D423)*(E456="Y")*(F456=F423)*(G456="Y")*(D456&lt;&gt;"")*(F456&lt;&gt;""))+((H456=H423)*(I456="Y")*(J456=J423)*(K456="Y")*(H456&lt;&gt;"")*(J456&lt;&gt;""))+((L456=L423)*(M456="Y")*(N456=N423)*(O456="Y")*(L456&lt;&gt;"")*(N456&lt;&gt;""))+((P456=P423)*(Q456="Y")*(R456=R423)*(S456="Y")*(P456&lt;&gt;"")*(R456&lt;&gt;""))),0)</f>
        <v/>
      </c>
      <c r="U456" s="49">
        <f>IFERROR(SUMPRODUCT(((D456&lt;&gt;D423)*(E456="Y")*(F456&lt;&gt;F423)*(G456="Y")*(D456&lt;&gt;"")*(F456&lt;&gt;""))+((H456&lt;&gt;H423)*(I456="Y")*(J456&lt;&gt;J423)*(K456="Y")*(H456&lt;&gt;"")*(J456&lt;&gt;""))+((L456&lt;&gt;L423)*(M456="Y")*(N456&lt;&gt;N423)*(O456="Y")*(L456&lt;&gt;"")*(N456&lt;&gt;""))+((P456&lt;&gt;P423)*(Q456="Y")*(R456&lt;&gt;R423)*(S456="Y")*(P456&lt;&gt;"")*(R456&lt;&gt;""))),0)</f>
        <v/>
      </c>
      <c r="V456" s="37">
        <f>IFERROR(SUMPRODUCT(((D456=D423)*(E456="Y")*(F456&lt;&gt;F423)*(G456="Y")*(D456&lt;&gt;"")*(F456&lt;&gt;""))+((H456=H423)*(I456="Y")*(J456&lt;&gt;J423)*(K456="Y")*(H456&lt;&gt;"")*(J456&lt;&gt;""))+((L456=L423)*(M456="Y")*(N456&lt;&gt;N423)*(O456="Y")*(L456&lt;&gt;"")*(N456&lt;&gt;""))+((P456=P423)*(Q456="Y")*(R456&lt;&gt;R423)*(S456="Y")*(P456&lt;&gt;"")*(R456&lt;&gt;""))),0)</f>
        <v/>
      </c>
      <c r="W456" s="37">
        <f>IFERROR(SUMPRODUCT(((E456="N")*(D456&lt;&gt;"")*(F456&lt;&gt;""))+((I456="N")*(H456&lt;&gt;"")*(J456&lt;&gt;""))+((M456="N")*(L456&lt;&gt;"")*(N456&lt;&gt;""))+((Q456="N")*(P456&lt;&gt;"")*(R456&lt;&gt;""))),0)</f>
        <v/>
      </c>
      <c r="X456" s="50">
        <f>IFERROR(U456/4,0)</f>
        <v/>
      </c>
    </row>
    <row r="457" ht="18" customHeight="1">
      <c r="B457" s="46">
        <f>'📥 ข้อมูลนักเรียน'!B37</f>
        <v/>
      </c>
      <c r="C457" s="51">
        <f>'📥 ข้อมูลนักเรียน'!C37</f>
        <v/>
      </c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37">
        <f>IFERROR(SUMPRODUCT(((D457=D423)*(E457="Y")*(F457=F423)*(G457="Y")*(D457&lt;&gt;"")*(F457&lt;&gt;""))+((H457=H423)*(I457="Y")*(J457=J423)*(K457="Y")*(H457&lt;&gt;"")*(J457&lt;&gt;""))+((L457=L423)*(M457="Y")*(N457=N423)*(O457="Y")*(L457&lt;&gt;"")*(N457&lt;&gt;""))+((P457=P423)*(Q457="Y")*(R457=R423)*(S457="Y")*(P457&lt;&gt;"")*(R457&lt;&gt;""))),0)</f>
        <v/>
      </c>
      <c r="U457" s="49">
        <f>IFERROR(SUMPRODUCT(((D457&lt;&gt;D423)*(E457="Y")*(F457&lt;&gt;F423)*(G457="Y")*(D457&lt;&gt;"")*(F457&lt;&gt;""))+((H457&lt;&gt;H423)*(I457="Y")*(J457&lt;&gt;J423)*(K457="Y")*(H457&lt;&gt;"")*(J457&lt;&gt;""))+((L457&lt;&gt;L423)*(M457="Y")*(N457&lt;&gt;N423)*(O457="Y")*(L457&lt;&gt;"")*(N457&lt;&gt;""))+((P457&lt;&gt;P423)*(Q457="Y")*(R457&lt;&gt;R423)*(S457="Y")*(P457&lt;&gt;"")*(R457&lt;&gt;""))),0)</f>
        <v/>
      </c>
      <c r="V457" s="37">
        <f>IFERROR(SUMPRODUCT(((D457=D423)*(E457="Y")*(F457&lt;&gt;F423)*(G457="Y")*(D457&lt;&gt;"")*(F457&lt;&gt;""))+((H457=H423)*(I457="Y")*(J457&lt;&gt;J423)*(K457="Y")*(H457&lt;&gt;"")*(J457&lt;&gt;""))+((L457=L423)*(M457="Y")*(N457&lt;&gt;N423)*(O457="Y")*(L457&lt;&gt;"")*(N457&lt;&gt;""))+((P457=P423)*(Q457="Y")*(R457&lt;&gt;R423)*(S457="Y")*(P457&lt;&gt;"")*(R457&lt;&gt;""))),0)</f>
        <v/>
      </c>
      <c r="W457" s="37">
        <f>IFERROR(SUMPRODUCT(((E457="N")*(D457&lt;&gt;"")*(F457&lt;&gt;""))+((I457="N")*(H457&lt;&gt;"")*(J457&lt;&gt;""))+((M457="N")*(L457&lt;&gt;"")*(N457&lt;&gt;""))+((Q457="N")*(P457&lt;&gt;"")*(R457&lt;&gt;""))),0)</f>
        <v/>
      </c>
      <c r="X457" s="50">
        <f>IFERROR(U457/4,0)</f>
        <v/>
      </c>
    </row>
    <row r="458" ht="18" customHeight="1">
      <c r="B458" s="46">
        <f>'📥 ข้อมูลนักเรียน'!B38</f>
        <v/>
      </c>
      <c r="C458" s="47">
        <f>'📥 ข้อมูลนักเรียน'!C38</f>
        <v/>
      </c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37">
        <f>IFERROR(SUMPRODUCT(((D458=D423)*(E458="Y")*(F458=F423)*(G458="Y")*(D458&lt;&gt;"")*(F458&lt;&gt;""))+((H458=H423)*(I458="Y")*(J458=J423)*(K458="Y")*(H458&lt;&gt;"")*(J458&lt;&gt;""))+((L458=L423)*(M458="Y")*(N458=N423)*(O458="Y")*(L458&lt;&gt;"")*(N458&lt;&gt;""))+((P458=P423)*(Q458="Y")*(R458=R423)*(S458="Y")*(P458&lt;&gt;"")*(R458&lt;&gt;""))),0)</f>
        <v/>
      </c>
      <c r="U458" s="49">
        <f>IFERROR(SUMPRODUCT(((D458&lt;&gt;D423)*(E458="Y")*(F458&lt;&gt;F423)*(G458="Y")*(D458&lt;&gt;"")*(F458&lt;&gt;""))+((H458&lt;&gt;H423)*(I458="Y")*(J458&lt;&gt;J423)*(K458="Y")*(H458&lt;&gt;"")*(J458&lt;&gt;""))+((L458&lt;&gt;L423)*(M458="Y")*(N458&lt;&gt;N423)*(O458="Y")*(L458&lt;&gt;"")*(N458&lt;&gt;""))+((P458&lt;&gt;P423)*(Q458="Y")*(R458&lt;&gt;R423)*(S458="Y")*(P458&lt;&gt;"")*(R458&lt;&gt;""))),0)</f>
        <v/>
      </c>
      <c r="V458" s="37">
        <f>IFERROR(SUMPRODUCT(((D458=D423)*(E458="Y")*(F458&lt;&gt;F423)*(G458="Y")*(D458&lt;&gt;"")*(F458&lt;&gt;""))+((H458=H423)*(I458="Y")*(J458&lt;&gt;J423)*(K458="Y")*(H458&lt;&gt;"")*(J458&lt;&gt;""))+((L458=L423)*(M458="Y")*(N458&lt;&gt;N423)*(O458="Y")*(L458&lt;&gt;"")*(N458&lt;&gt;""))+((P458=P423)*(Q458="Y")*(R458&lt;&gt;R423)*(S458="Y")*(P458&lt;&gt;"")*(R458&lt;&gt;""))),0)</f>
        <v/>
      </c>
      <c r="W458" s="37">
        <f>IFERROR(SUMPRODUCT(((E458="N")*(D458&lt;&gt;"")*(F458&lt;&gt;""))+((I458="N")*(H458&lt;&gt;"")*(J458&lt;&gt;""))+((M458="N")*(L458&lt;&gt;"")*(N458&lt;&gt;""))+((Q458="N")*(P458&lt;&gt;"")*(R458&lt;&gt;""))),0)</f>
        <v/>
      </c>
      <c r="X458" s="50">
        <f>IFERROR(U458/4,0)</f>
        <v/>
      </c>
    </row>
    <row r="459" ht="24" customHeight="1">
      <c r="B459" s="226" t="inlineStr">
        <is>
          <t>สรุป Post แผน 6</t>
        </is>
      </c>
      <c r="C459" s="369" t="n"/>
      <c r="T459" s="52">
        <f>IFERROR(AVERAGE(T424:T458)*4,0)</f>
        <v/>
      </c>
      <c r="U459" s="53">
        <f>IFERROR(AVERAGE(U424:U458)*4,0)</f>
        <v/>
      </c>
      <c r="V459" s="54">
        <f>IFERROR(AVERAGE(V424:V458)*4,0)</f>
        <v/>
      </c>
      <c r="W459" s="55">
        <f>IFERROR(AVERAGE(W424:W458)*4,0)</f>
        <v/>
      </c>
      <c r="X459" s="56">
        <f>IFERROR(AVERAGE(X424:X458),0)</f>
        <v/>
      </c>
    </row>
    <row r="460" ht="7.5" customHeight="1"/>
    <row r="461" ht="21.75" customHeight="1">
      <c r="B461" s="249" t="inlineStr">
        <is>
          <t>▌ แผนที่ 7  |  คาบที่ 13–15  |  Misconception: M_int  |  ข้อที่ 25–28</t>
        </is>
      </c>
      <c r="C461" s="382" t="n"/>
      <c r="D461" s="382" t="n"/>
      <c r="E461" s="382" t="n"/>
      <c r="F461" s="382" t="n"/>
      <c r="G461" s="382" t="n"/>
      <c r="H461" s="382" t="n"/>
      <c r="I461" s="382" t="n"/>
      <c r="J461" s="382" t="n"/>
      <c r="K461" s="382" t="n"/>
      <c r="L461" s="382" t="n"/>
      <c r="M461" s="382" t="n"/>
      <c r="N461" s="382" t="n"/>
      <c r="O461" s="382" t="n"/>
      <c r="P461" s="382" t="n"/>
      <c r="Q461" s="382" t="n"/>
      <c r="R461" s="382" t="n"/>
      <c r="S461" s="382" t="n"/>
      <c r="T461" s="382" t="n"/>
      <c r="U461" s="382" t="n"/>
      <c r="V461" s="382" t="n"/>
      <c r="W461" s="382" t="n"/>
      <c r="X461" s="382" t="n"/>
    </row>
    <row r="462" ht="15.75" customHeight="1">
      <c r="B462" s="250" t="inlineStr">
        <is>
          <t xml:space="preserve">   📍 M_int: Δr=nλ คือจุดบัพ (สับสนกับปฏิบัพ)</t>
        </is>
      </c>
    </row>
    <row r="463" ht="19.5" customHeight="1">
      <c r="B463" s="238" t="inlineStr">
        <is>
          <t>🔵 PRE-test — ก่อนสอน  (แผน 7 ข้อ 25–28)</t>
        </is>
      </c>
    </row>
    <row r="464" ht="27.75" customHeight="1">
      <c r="B464" s="39" t="inlineStr">
        <is>
          <t>ที่</t>
        </is>
      </c>
      <c r="C464" s="39" t="inlineStr">
        <is>
          <t>ชื่อนักเรียน</t>
        </is>
      </c>
      <c r="D464" s="239" t="inlineStr">
        <is>
          <t>ข้อ 25</t>
        </is>
      </c>
      <c r="E464" s="369" t="n"/>
      <c r="F464" s="369" t="n"/>
      <c r="G464" s="369" t="n"/>
      <c r="H464" s="239" t="inlineStr">
        <is>
          <t>ข้อ 26</t>
        </is>
      </c>
      <c r="I464" s="369" t="n"/>
      <c r="J464" s="369" t="n"/>
      <c r="K464" s="369" t="n"/>
      <c r="L464" s="239" t="inlineStr">
        <is>
          <t>ข้อ 27</t>
        </is>
      </c>
      <c r="M464" s="369" t="n"/>
      <c r="N464" s="369" t="n"/>
      <c r="O464" s="369" t="n"/>
      <c r="P464" s="239" t="inlineStr">
        <is>
          <t>ข้อ 28</t>
        </is>
      </c>
      <c r="Q464" s="369" t="n"/>
      <c r="R464" s="369" t="n"/>
      <c r="S464" s="369" t="n"/>
      <c r="T464" s="28" t="inlineStr">
        <is>
          <t>Sound
✅</t>
        </is>
      </c>
      <c r="U464" s="28" t="inlineStr">
        <is>
          <t>Misc
❌</t>
        </is>
      </c>
      <c r="V464" s="28" t="inlineStr">
        <is>
          <t>Guess
🎲</t>
        </is>
      </c>
      <c r="W464" s="28" t="inlineStr">
        <is>
          <t>NoK
❓</t>
        </is>
      </c>
      <c r="X464" s="28" t="inlineStr">
        <is>
          <t>% Misc
(Auto)</t>
        </is>
      </c>
    </row>
    <row r="465" ht="27.75" customHeight="1">
      <c r="B465" s="40" t="n"/>
      <c r="C465" s="41" t="inlineStr">
        <is>
          <t>← กรอกเฉลย T1 และ T3</t>
        </is>
      </c>
      <c r="D465" s="42" t="inlineStr">
        <is>
          <t>T1
(ก-ง)</t>
        </is>
      </c>
      <c r="E465" s="42" t="inlineStr">
        <is>
          <t>T2
(Y/N)</t>
        </is>
      </c>
      <c r="F465" s="42" t="inlineStr">
        <is>
          <t>T3
(ก-ง)</t>
        </is>
      </c>
      <c r="G465" s="42" t="inlineStr">
        <is>
          <t>T4
(Y/N)</t>
        </is>
      </c>
      <c r="H465" s="42" t="inlineStr">
        <is>
          <t>T1
(ก-ง)</t>
        </is>
      </c>
      <c r="I465" s="42" t="inlineStr">
        <is>
          <t>T2
(Y/N)</t>
        </is>
      </c>
      <c r="J465" s="42" t="inlineStr">
        <is>
          <t>T3
(ก-ง)</t>
        </is>
      </c>
      <c r="K465" s="42" t="inlineStr">
        <is>
          <t>T4
(Y/N)</t>
        </is>
      </c>
      <c r="L465" s="42" t="inlineStr">
        <is>
          <t>T1
(ก-ง)</t>
        </is>
      </c>
      <c r="M465" s="42" t="inlineStr">
        <is>
          <t>T2
(Y/N)</t>
        </is>
      </c>
      <c r="N465" s="42" t="inlineStr">
        <is>
          <t>T3
(ก-ง)</t>
        </is>
      </c>
      <c r="O465" s="42" t="inlineStr">
        <is>
          <t>T4
(Y/N)</t>
        </is>
      </c>
      <c r="P465" s="42" t="inlineStr">
        <is>
          <t>T1
(ก-ง)</t>
        </is>
      </c>
      <c r="Q465" s="42" t="inlineStr">
        <is>
          <t>T2
(Y/N)</t>
        </is>
      </c>
      <c r="R465" s="42" t="inlineStr">
        <is>
          <t>T3
(ก-ง)</t>
        </is>
      </c>
      <c r="S465" s="42" t="inlineStr">
        <is>
          <t>T4
(Y/N)</t>
        </is>
      </c>
      <c r="T465" s="43" t="inlineStr">
        <is>
          <t>—</t>
        </is>
      </c>
      <c r="U465" s="43" t="inlineStr">
        <is>
          <t>—</t>
        </is>
      </c>
      <c r="V465" s="43" t="inlineStr">
        <is>
          <t>—</t>
        </is>
      </c>
      <c r="W465" s="43" t="inlineStr">
        <is>
          <t>—</t>
        </is>
      </c>
      <c r="X465" s="43" t="inlineStr">
        <is>
          <t>—</t>
        </is>
      </c>
    </row>
    <row r="466" ht="18" customHeight="1">
      <c r="B466" s="44" t="inlineStr">
        <is>
          <t>KEY</t>
        </is>
      </c>
      <c r="C466" s="45" t="inlineStr">
        <is>
          <t>← กรอกเฉลยที่ถูกต้อง</t>
        </is>
      </c>
      <c r="D466" s="9" t="n"/>
      <c r="E466" s="21" t="inlineStr">
        <is>
          <t>—</t>
        </is>
      </c>
      <c r="F466" s="9" t="n"/>
      <c r="G466" s="21" t="inlineStr">
        <is>
          <t>—</t>
        </is>
      </c>
      <c r="H466" s="9" t="n"/>
      <c r="I466" s="21" t="inlineStr">
        <is>
          <t>—</t>
        </is>
      </c>
      <c r="J466" s="9" t="n"/>
      <c r="K466" s="21" t="inlineStr">
        <is>
          <t>—</t>
        </is>
      </c>
      <c r="L466" s="9" t="n"/>
      <c r="M466" s="21" t="inlineStr">
        <is>
          <t>—</t>
        </is>
      </c>
      <c r="N466" s="9" t="n"/>
      <c r="O466" s="21" t="inlineStr">
        <is>
          <t>—</t>
        </is>
      </c>
      <c r="P466" s="9" t="n"/>
      <c r="Q466" s="21" t="inlineStr">
        <is>
          <t>—</t>
        </is>
      </c>
      <c r="R466" s="9" t="n"/>
      <c r="S466" s="21" t="inlineStr">
        <is>
          <t>—</t>
        </is>
      </c>
      <c r="T466" s="21" t="inlineStr">
        <is>
          <t>—</t>
        </is>
      </c>
      <c r="U466" s="21" t="inlineStr">
        <is>
          <t>—</t>
        </is>
      </c>
      <c r="V466" s="21" t="inlineStr">
        <is>
          <t>—</t>
        </is>
      </c>
      <c r="W466" s="21" t="inlineStr">
        <is>
          <t>—</t>
        </is>
      </c>
      <c r="X466" s="21" t="inlineStr">
        <is>
          <t>—</t>
        </is>
      </c>
    </row>
    <row r="467" ht="18" customHeight="1">
      <c r="B467" s="46">
        <f>'📥 ข้อมูลนักเรียน'!B4</f>
        <v/>
      </c>
      <c r="C467" s="47">
        <f>'📥 ข้อมูลนักเรียน'!C4</f>
        <v/>
      </c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37">
        <f>IFERROR(SUMPRODUCT(((D467=D466)*(E467="Y")*(F467=F466)*(G467="Y")*(D467&lt;&gt;"")* (F467&lt;&gt;""))+((H467=H466)*(I467="Y")*(J467=J466)*(K467="Y")*(H467&lt;&gt;"")* (J467&lt;&gt;""))+((L467=L466)*(M467="Y")*(N467=N466)*(O467="Y")*(L467&lt;&gt;"")* (N467&lt;&gt;""))+((P467=P466)*(Q467="Y")*(R467=R466)*(S467="Y")*(P467&lt;&gt;"")* (R467&lt;&gt;""))),0)</f>
        <v/>
      </c>
      <c r="U467" s="49">
        <f>IFERROR(SUMPRODUCT(((D467&lt;&gt;D466)*(E467="Y")*(F467&lt;&gt;F466)*(G467="Y")*(D467&lt;&gt;"")* (F467&lt;&gt;""))+((H467&lt;&gt;H466)*(I467="Y")*(J467&lt;&gt;J466)*(K467="Y")*(H467&lt;&gt;"")* (J467&lt;&gt;""))+((L467&lt;&gt;L466)*(M467="Y")*(N467&lt;&gt;N466)*(O467="Y")*(L467&lt;&gt;"")* (N467&lt;&gt;""))+((P467&lt;&gt;P466)*(Q467="Y")*(R467&lt;&gt;R466)*(S467="Y")*(P467&lt;&gt;"")* (R467&lt;&gt;""))),0)</f>
        <v/>
      </c>
      <c r="V467" s="37">
        <f>IFERROR(SUMPRODUCT(((D467=D466)*(E467="Y")*(F467&lt;&gt;F466)*(G467="Y")*(D467&lt;&gt;"")* (F467&lt;&gt;""))+((H467=H466)*(I467="Y")*(J467&lt;&gt;J466)*(K467="Y")*(H467&lt;&gt;"")* (J467&lt;&gt;""))+((L467=L466)*(M467="Y")*(N467&lt;&gt;N466)*(O467="Y")*(L467&lt;&gt;"")* (N467&lt;&gt;""))+((P467=P466)*(Q467="Y")*(R467&lt;&gt;R466)*(S467="Y")*(P467&lt;&gt;"")* (R467&lt;&gt;""))),0)</f>
        <v/>
      </c>
      <c r="W467" s="37">
        <f>IFERROR(SUMPRODUCT(((E467="N")*(D467&lt;&gt;"")* (F467&lt;&gt;""))+((I467="N")*(H467&lt;&gt;"")* (J467&lt;&gt;""))+((M467="N")*(L467&lt;&gt;"")* (N467&lt;&gt;""))+((Q467="N")*(P467&lt;&gt;"")* (R467&lt;&gt;""))),0)</f>
        <v/>
      </c>
      <c r="X467" s="50">
        <f>IFERROR(U467/4,0)</f>
        <v/>
      </c>
    </row>
    <row r="468" ht="18" customHeight="1">
      <c r="B468" s="46">
        <f>'📥 ข้อมูลนักเรียน'!B5</f>
        <v/>
      </c>
      <c r="C468" s="51">
        <f>'📥 ข้อมูลนักเรียน'!C5</f>
        <v/>
      </c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37">
        <f>IFERROR(SUMPRODUCT(((D468=D466)*(E468="Y")*(F468=F466)*(G468="Y")*(D468&lt;&gt;"")* (F468&lt;&gt;""))+((H468=H466)*(I468="Y")*(J468=J466)*(K468="Y")*(H468&lt;&gt;"")* (J468&lt;&gt;""))+((L468=L466)*(M468="Y")*(N468=N466)*(O468="Y")*(L468&lt;&gt;"")* (N468&lt;&gt;""))+((P468=P466)*(Q468="Y")*(R468=R466)*(S468="Y")*(P468&lt;&gt;"")* (R468&lt;&gt;""))),0)</f>
        <v/>
      </c>
      <c r="U468" s="49">
        <f>IFERROR(SUMPRODUCT(((D468&lt;&gt;D466)*(E468="Y")*(F468&lt;&gt;F466)*(G468="Y")*(D468&lt;&gt;"")* (F468&lt;&gt;""))+((H468&lt;&gt;H466)*(I468="Y")*(J468&lt;&gt;J466)*(K468="Y")*(H468&lt;&gt;"")* (J468&lt;&gt;""))+((L468&lt;&gt;L466)*(M468="Y")*(N468&lt;&gt;N466)*(O468="Y")*(L468&lt;&gt;"")* (N468&lt;&gt;""))+((P468&lt;&gt;P466)*(Q468="Y")*(R468&lt;&gt;R466)*(S468="Y")*(P468&lt;&gt;"")* (R468&lt;&gt;""))),0)</f>
        <v/>
      </c>
      <c r="V468" s="37">
        <f>IFERROR(SUMPRODUCT(((D468=D466)*(E468="Y")*(F468&lt;&gt;F466)*(G468="Y")*(D468&lt;&gt;"")* (F468&lt;&gt;""))+((H468=H466)*(I468="Y")*(J468&lt;&gt;J466)*(K468="Y")*(H468&lt;&gt;"")* (J468&lt;&gt;""))+((L468=L466)*(M468="Y")*(N468&lt;&gt;N466)*(O468="Y")*(L468&lt;&gt;"")* (N468&lt;&gt;""))+((P468=P466)*(Q468="Y")*(R468&lt;&gt;R466)*(S468="Y")*(P468&lt;&gt;"")* (R468&lt;&gt;""))),0)</f>
        <v/>
      </c>
      <c r="W468" s="37">
        <f>IFERROR(SUMPRODUCT(((E468="N")*(D468&lt;&gt;"")* (F468&lt;&gt;""))+((I468="N")*(H468&lt;&gt;"")* (J468&lt;&gt;""))+((M468="N")*(L468&lt;&gt;"")* (N468&lt;&gt;""))+((Q468="N")*(P468&lt;&gt;"")* (R468&lt;&gt;""))),0)</f>
        <v/>
      </c>
      <c r="X468" s="50">
        <f>IFERROR(U468/4,0)</f>
        <v/>
      </c>
    </row>
    <row r="469" ht="18" customHeight="1">
      <c r="B469" s="46">
        <f>'📥 ข้อมูลนักเรียน'!B6</f>
        <v/>
      </c>
      <c r="C469" s="47">
        <f>'📥 ข้อมูลนักเรียน'!C6</f>
        <v/>
      </c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37">
        <f>IFERROR(SUMPRODUCT(((D469=D466)*(E469="Y")*(F469=F466)*(G469="Y")*(D469&lt;&gt;"")* (F469&lt;&gt;""))+((H469=H466)*(I469="Y")*(J469=J466)*(K469="Y")*(H469&lt;&gt;"")* (J469&lt;&gt;""))+((L469=L466)*(M469="Y")*(N469=N466)*(O469="Y")*(L469&lt;&gt;"")* (N469&lt;&gt;""))+((P469=P466)*(Q469="Y")*(R469=R466)*(S469="Y")*(P469&lt;&gt;"")* (R469&lt;&gt;""))),0)</f>
        <v/>
      </c>
      <c r="U469" s="49">
        <f>IFERROR(SUMPRODUCT(((D469&lt;&gt;D466)*(E469="Y")*(F469&lt;&gt;F466)*(G469="Y")*(D469&lt;&gt;"")* (F469&lt;&gt;""))+((H469&lt;&gt;H466)*(I469="Y")*(J469&lt;&gt;J466)*(K469="Y")*(H469&lt;&gt;"")* (J469&lt;&gt;""))+((L469&lt;&gt;L466)*(M469="Y")*(N469&lt;&gt;N466)*(O469="Y")*(L469&lt;&gt;"")* (N469&lt;&gt;""))+((P469&lt;&gt;P466)*(Q469="Y")*(R469&lt;&gt;R466)*(S469="Y")*(P469&lt;&gt;"")* (R469&lt;&gt;""))),0)</f>
        <v/>
      </c>
      <c r="V469" s="37">
        <f>IFERROR(SUMPRODUCT(((D469=D466)*(E469="Y")*(F469&lt;&gt;F466)*(G469="Y")*(D469&lt;&gt;"")* (F469&lt;&gt;""))+((H469=H466)*(I469="Y")*(J469&lt;&gt;J466)*(K469="Y")*(H469&lt;&gt;"")* (J469&lt;&gt;""))+((L469=L466)*(M469="Y")*(N469&lt;&gt;N466)*(O469="Y")*(L469&lt;&gt;"")* (N469&lt;&gt;""))+((P469=P466)*(Q469="Y")*(R469&lt;&gt;R466)*(S469="Y")*(P469&lt;&gt;"")* (R469&lt;&gt;""))),0)</f>
        <v/>
      </c>
      <c r="W469" s="37">
        <f>IFERROR(SUMPRODUCT(((E469="N")*(D469&lt;&gt;"")* (F469&lt;&gt;""))+((I469="N")*(H469&lt;&gt;"")* (J469&lt;&gt;""))+((M469="N")*(L469&lt;&gt;"")* (N469&lt;&gt;""))+((Q469="N")*(P469&lt;&gt;"")* (R469&lt;&gt;""))),0)</f>
        <v/>
      </c>
      <c r="X469" s="50">
        <f>IFERROR(U469/4,0)</f>
        <v/>
      </c>
    </row>
    <row r="470" ht="18" customHeight="1">
      <c r="B470" s="46">
        <f>'📥 ข้อมูลนักเรียน'!B7</f>
        <v/>
      </c>
      <c r="C470" s="51">
        <f>'📥 ข้อมูลนักเรียน'!C7</f>
        <v/>
      </c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37">
        <f>IFERROR(SUMPRODUCT(((D470=D466)*(E470="Y")*(F470=F466)*(G470="Y")*(D470&lt;&gt;"")* (F470&lt;&gt;""))+((H470=H466)*(I470="Y")*(J470=J466)*(K470="Y")*(H470&lt;&gt;"")* (J470&lt;&gt;""))+((L470=L466)*(M470="Y")*(N470=N466)*(O470="Y")*(L470&lt;&gt;"")* (N470&lt;&gt;""))+((P470=P466)*(Q470="Y")*(R470=R466)*(S470="Y")*(P470&lt;&gt;"")* (R470&lt;&gt;""))),0)</f>
        <v/>
      </c>
      <c r="U470" s="49">
        <f>IFERROR(SUMPRODUCT(((D470&lt;&gt;D466)*(E470="Y")*(F470&lt;&gt;F466)*(G470="Y")*(D470&lt;&gt;"")* (F470&lt;&gt;""))+((H470&lt;&gt;H466)*(I470="Y")*(J470&lt;&gt;J466)*(K470="Y")*(H470&lt;&gt;"")* (J470&lt;&gt;""))+((L470&lt;&gt;L466)*(M470="Y")*(N470&lt;&gt;N466)*(O470="Y")*(L470&lt;&gt;"")* (N470&lt;&gt;""))+((P470&lt;&gt;P466)*(Q470="Y")*(R470&lt;&gt;R466)*(S470="Y")*(P470&lt;&gt;"")* (R470&lt;&gt;""))),0)</f>
        <v/>
      </c>
      <c r="V470" s="37">
        <f>IFERROR(SUMPRODUCT(((D470=D466)*(E470="Y")*(F470&lt;&gt;F466)*(G470="Y")*(D470&lt;&gt;"")* (F470&lt;&gt;""))+((H470=H466)*(I470="Y")*(J470&lt;&gt;J466)*(K470="Y")*(H470&lt;&gt;"")* (J470&lt;&gt;""))+((L470=L466)*(M470="Y")*(N470&lt;&gt;N466)*(O470="Y")*(L470&lt;&gt;"")* (N470&lt;&gt;""))+((P470=P466)*(Q470="Y")*(R470&lt;&gt;R466)*(S470="Y")*(P470&lt;&gt;"")* (R470&lt;&gt;""))),0)</f>
        <v/>
      </c>
      <c r="W470" s="37">
        <f>IFERROR(SUMPRODUCT(((E470="N")*(D470&lt;&gt;"")* (F470&lt;&gt;""))+((I470="N")*(H470&lt;&gt;"")* (J470&lt;&gt;""))+((M470="N")*(L470&lt;&gt;"")* (N470&lt;&gt;""))+((Q470="N")*(P470&lt;&gt;"")* (R470&lt;&gt;""))),0)</f>
        <v/>
      </c>
      <c r="X470" s="50">
        <f>IFERROR(U470/4,0)</f>
        <v/>
      </c>
    </row>
    <row r="471" ht="18" customHeight="1">
      <c r="B471" s="46">
        <f>'📥 ข้อมูลนักเรียน'!B8</f>
        <v/>
      </c>
      <c r="C471" s="47">
        <f>'📥 ข้อมูลนักเรียน'!C8</f>
        <v/>
      </c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37">
        <f>IFERROR(SUMPRODUCT(((D471=D466)*(E471="Y")*(F471=F466)*(G471="Y")*(D471&lt;&gt;"")* (F471&lt;&gt;""))+((H471=H466)*(I471="Y")*(J471=J466)*(K471="Y")*(H471&lt;&gt;"")* (J471&lt;&gt;""))+((L471=L466)*(M471="Y")*(N471=N466)*(O471="Y")*(L471&lt;&gt;"")* (N471&lt;&gt;""))+((P471=P466)*(Q471="Y")*(R471=R466)*(S471="Y")*(P471&lt;&gt;"")* (R471&lt;&gt;""))),0)</f>
        <v/>
      </c>
      <c r="U471" s="49">
        <f>IFERROR(SUMPRODUCT(((D471&lt;&gt;D466)*(E471="Y")*(F471&lt;&gt;F466)*(G471="Y")*(D471&lt;&gt;"")* (F471&lt;&gt;""))+((H471&lt;&gt;H466)*(I471="Y")*(J471&lt;&gt;J466)*(K471="Y")*(H471&lt;&gt;"")* (J471&lt;&gt;""))+((L471&lt;&gt;L466)*(M471="Y")*(N471&lt;&gt;N466)*(O471="Y")*(L471&lt;&gt;"")* (N471&lt;&gt;""))+((P471&lt;&gt;P466)*(Q471="Y")*(R471&lt;&gt;R466)*(S471="Y")*(P471&lt;&gt;"")* (R471&lt;&gt;""))),0)</f>
        <v/>
      </c>
      <c r="V471" s="37">
        <f>IFERROR(SUMPRODUCT(((D471=D466)*(E471="Y")*(F471&lt;&gt;F466)*(G471="Y")*(D471&lt;&gt;"")* (F471&lt;&gt;""))+((H471=H466)*(I471="Y")*(J471&lt;&gt;J466)*(K471="Y")*(H471&lt;&gt;"")* (J471&lt;&gt;""))+((L471=L466)*(M471="Y")*(N471&lt;&gt;N466)*(O471="Y")*(L471&lt;&gt;"")* (N471&lt;&gt;""))+((P471=P466)*(Q471="Y")*(R471&lt;&gt;R466)*(S471="Y")*(P471&lt;&gt;"")* (R471&lt;&gt;""))),0)</f>
        <v/>
      </c>
      <c r="W471" s="37">
        <f>IFERROR(SUMPRODUCT(((E471="N")*(D471&lt;&gt;"")* (F471&lt;&gt;""))+((I471="N")*(H471&lt;&gt;"")* (J471&lt;&gt;""))+((M471="N")*(L471&lt;&gt;"")* (N471&lt;&gt;""))+((Q471="N")*(P471&lt;&gt;"")* (R471&lt;&gt;""))),0)</f>
        <v/>
      </c>
      <c r="X471" s="50">
        <f>IFERROR(U471/4,0)</f>
        <v/>
      </c>
    </row>
    <row r="472" ht="18" customHeight="1">
      <c r="B472" s="46">
        <f>'📥 ข้อมูลนักเรียน'!B9</f>
        <v/>
      </c>
      <c r="C472" s="51">
        <f>'📥 ข้อมูลนักเรียน'!C9</f>
        <v/>
      </c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37">
        <f>IFERROR(SUMPRODUCT(((D472=D466)*(E472="Y")*(F472=F466)*(G472="Y")*(D472&lt;&gt;"")* (F472&lt;&gt;""))+((H472=H466)*(I472="Y")*(J472=J466)*(K472="Y")*(H472&lt;&gt;"")* (J472&lt;&gt;""))+((L472=L466)*(M472="Y")*(N472=N466)*(O472="Y")*(L472&lt;&gt;"")* (N472&lt;&gt;""))+((P472=P466)*(Q472="Y")*(R472=R466)*(S472="Y")*(P472&lt;&gt;"")* (R472&lt;&gt;""))),0)</f>
        <v/>
      </c>
      <c r="U472" s="49">
        <f>IFERROR(SUMPRODUCT(((D472&lt;&gt;D466)*(E472="Y")*(F472&lt;&gt;F466)*(G472="Y")*(D472&lt;&gt;"")* (F472&lt;&gt;""))+((H472&lt;&gt;H466)*(I472="Y")*(J472&lt;&gt;J466)*(K472="Y")*(H472&lt;&gt;"")* (J472&lt;&gt;""))+((L472&lt;&gt;L466)*(M472="Y")*(N472&lt;&gt;N466)*(O472="Y")*(L472&lt;&gt;"")* (N472&lt;&gt;""))+((P472&lt;&gt;P466)*(Q472="Y")*(R472&lt;&gt;R466)*(S472="Y")*(P472&lt;&gt;"")* (R472&lt;&gt;""))),0)</f>
        <v/>
      </c>
      <c r="V472" s="37">
        <f>IFERROR(SUMPRODUCT(((D472=D466)*(E472="Y")*(F472&lt;&gt;F466)*(G472="Y")*(D472&lt;&gt;"")* (F472&lt;&gt;""))+((H472=H466)*(I472="Y")*(J472&lt;&gt;J466)*(K472="Y")*(H472&lt;&gt;"")* (J472&lt;&gt;""))+((L472=L466)*(M472="Y")*(N472&lt;&gt;N466)*(O472="Y")*(L472&lt;&gt;"")* (N472&lt;&gt;""))+((P472=P466)*(Q472="Y")*(R472&lt;&gt;R466)*(S472="Y")*(P472&lt;&gt;"")* (R472&lt;&gt;""))),0)</f>
        <v/>
      </c>
      <c r="W472" s="37">
        <f>IFERROR(SUMPRODUCT(((E472="N")*(D472&lt;&gt;"")* (F472&lt;&gt;""))+((I472="N")*(H472&lt;&gt;"")* (J472&lt;&gt;""))+((M472="N")*(L472&lt;&gt;"")* (N472&lt;&gt;""))+((Q472="N")*(P472&lt;&gt;"")* (R472&lt;&gt;""))),0)</f>
        <v/>
      </c>
      <c r="X472" s="50">
        <f>IFERROR(U472/4,0)</f>
        <v/>
      </c>
    </row>
    <row r="473" ht="18" customHeight="1">
      <c r="B473" s="46">
        <f>'📥 ข้อมูลนักเรียน'!B10</f>
        <v/>
      </c>
      <c r="C473" s="47">
        <f>'📥 ข้อมูลนักเรียน'!C10</f>
        <v/>
      </c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37">
        <f>IFERROR(SUMPRODUCT(((D473=D466)*(E473="Y")*(F473=F466)*(G473="Y")*(D473&lt;&gt;"")* (F473&lt;&gt;""))+((H473=H466)*(I473="Y")*(J473=J466)*(K473="Y")*(H473&lt;&gt;"")* (J473&lt;&gt;""))+((L473=L466)*(M473="Y")*(N473=N466)*(O473="Y")*(L473&lt;&gt;"")* (N473&lt;&gt;""))+((P473=P466)*(Q473="Y")*(R473=R466)*(S473="Y")*(P473&lt;&gt;"")* (R473&lt;&gt;""))),0)</f>
        <v/>
      </c>
      <c r="U473" s="49">
        <f>IFERROR(SUMPRODUCT(((D473&lt;&gt;D466)*(E473="Y")*(F473&lt;&gt;F466)*(G473="Y")*(D473&lt;&gt;"")* (F473&lt;&gt;""))+((H473&lt;&gt;H466)*(I473="Y")*(J473&lt;&gt;J466)*(K473="Y")*(H473&lt;&gt;"")* (J473&lt;&gt;""))+((L473&lt;&gt;L466)*(M473="Y")*(N473&lt;&gt;N466)*(O473="Y")*(L473&lt;&gt;"")* (N473&lt;&gt;""))+((P473&lt;&gt;P466)*(Q473="Y")*(R473&lt;&gt;R466)*(S473="Y")*(P473&lt;&gt;"")* (R473&lt;&gt;""))),0)</f>
        <v/>
      </c>
      <c r="V473" s="37">
        <f>IFERROR(SUMPRODUCT(((D473=D466)*(E473="Y")*(F473&lt;&gt;F466)*(G473="Y")*(D473&lt;&gt;"")* (F473&lt;&gt;""))+((H473=H466)*(I473="Y")*(J473&lt;&gt;J466)*(K473="Y")*(H473&lt;&gt;"")* (J473&lt;&gt;""))+((L473=L466)*(M473="Y")*(N473&lt;&gt;N466)*(O473="Y")*(L473&lt;&gt;"")* (N473&lt;&gt;""))+((P473=P466)*(Q473="Y")*(R473&lt;&gt;R466)*(S473="Y")*(P473&lt;&gt;"")* (R473&lt;&gt;""))),0)</f>
        <v/>
      </c>
      <c r="W473" s="37">
        <f>IFERROR(SUMPRODUCT(((E473="N")*(D473&lt;&gt;"")* (F473&lt;&gt;""))+((I473="N")*(H473&lt;&gt;"")* (J473&lt;&gt;""))+((M473="N")*(L473&lt;&gt;"")* (N473&lt;&gt;""))+((Q473="N")*(P473&lt;&gt;"")* (R473&lt;&gt;""))),0)</f>
        <v/>
      </c>
      <c r="X473" s="50">
        <f>IFERROR(U473/4,0)</f>
        <v/>
      </c>
    </row>
    <row r="474" ht="18" customHeight="1">
      <c r="B474" s="46">
        <f>'📥 ข้อมูลนักเรียน'!B11</f>
        <v/>
      </c>
      <c r="C474" s="51">
        <f>'📥 ข้อมูลนักเรียน'!C11</f>
        <v/>
      </c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37">
        <f>IFERROR(SUMPRODUCT(((D474=D466)*(E474="Y")*(F474=F466)*(G474="Y")*(D474&lt;&gt;"")* (F474&lt;&gt;""))+((H474=H466)*(I474="Y")*(J474=J466)*(K474="Y")*(H474&lt;&gt;"")* (J474&lt;&gt;""))+((L474=L466)*(M474="Y")*(N474=N466)*(O474="Y")*(L474&lt;&gt;"")* (N474&lt;&gt;""))+((P474=P466)*(Q474="Y")*(R474=R466)*(S474="Y")*(P474&lt;&gt;"")* (R474&lt;&gt;""))),0)</f>
        <v/>
      </c>
      <c r="U474" s="49">
        <f>IFERROR(SUMPRODUCT(((D474&lt;&gt;D466)*(E474="Y")*(F474&lt;&gt;F466)*(G474="Y")*(D474&lt;&gt;"")* (F474&lt;&gt;""))+((H474&lt;&gt;H466)*(I474="Y")*(J474&lt;&gt;J466)*(K474="Y")*(H474&lt;&gt;"")* (J474&lt;&gt;""))+((L474&lt;&gt;L466)*(M474="Y")*(N474&lt;&gt;N466)*(O474="Y")*(L474&lt;&gt;"")* (N474&lt;&gt;""))+((P474&lt;&gt;P466)*(Q474="Y")*(R474&lt;&gt;R466)*(S474="Y")*(P474&lt;&gt;"")* (R474&lt;&gt;""))),0)</f>
        <v/>
      </c>
      <c r="V474" s="37">
        <f>IFERROR(SUMPRODUCT(((D474=D466)*(E474="Y")*(F474&lt;&gt;F466)*(G474="Y")*(D474&lt;&gt;"")* (F474&lt;&gt;""))+((H474=H466)*(I474="Y")*(J474&lt;&gt;J466)*(K474="Y")*(H474&lt;&gt;"")* (J474&lt;&gt;""))+((L474=L466)*(M474="Y")*(N474&lt;&gt;N466)*(O474="Y")*(L474&lt;&gt;"")* (N474&lt;&gt;""))+((P474=P466)*(Q474="Y")*(R474&lt;&gt;R466)*(S474="Y")*(P474&lt;&gt;"")* (R474&lt;&gt;""))),0)</f>
        <v/>
      </c>
      <c r="W474" s="37">
        <f>IFERROR(SUMPRODUCT(((E474="N")*(D474&lt;&gt;"")* (F474&lt;&gt;""))+((I474="N")*(H474&lt;&gt;"")* (J474&lt;&gt;""))+((M474="N")*(L474&lt;&gt;"")* (N474&lt;&gt;""))+((Q474="N")*(P474&lt;&gt;"")* (R474&lt;&gt;""))),0)</f>
        <v/>
      </c>
      <c r="X474" s="50">
        <f>IFERROR(U474/4,0)</f>
        <v/>
      </c>
    </row>
    <row r="475" ht="18" customHeight="1">
      <c r="B475" s="46">
        <f>'📥 ข้อมูลนักเรียน'!B12</f>
        <v/>
      </c>
      <c r="C475" s="47">
        <f>'📥 ข้อมูลนักเรียน'!C12</f>
        <v/>
      </c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37">
        <f>IFERROR(SUMPRODUCT(((D475=D466)*(E475="Y")*(F475=F466)*(G475="Y")*(D475&lt;&gt;"")* (F475&lt;&gt;""))+((H475=H466)*(I475="Y")*(J475=J466)*(K475="Y")*(H475&lt;&gt;"")* (J475&lt;&gt;""))+((L475=L466)*(M475="Y")*(N475=N466)*(O475="Y")*(L475&lt;&gt;"")* (N475&lt;&gt;""))+((P475=P466)*(Q475="Y")*(R475=R466)*(S475="Y")*(P475&lt;&gt;"")* (R475&lt;&gt;""))),0)</f>
        <v/>
      </c>
      <c r="U475" s="49">
        <f>IFERROR(SUMPRODUCT(((D475&lt;&gt;D466)*(E475="Y")*(F475&lt;&gt;F466)*(G475="Y")*(D475&lt;&gt;"")* (F475&lt;&gt;""))+((H475&lt;&gt;H466)*(I475="Y")*(J475&lt;&gt;J466)*(K475="Y")*(H475&lt;&gt;"")* (J475&lt;&gt;""))+((L475&lt;&gt;L466)*(M475="Y")*(N475&lt;&gt;N466)*(O475="Y")*(L475&lt;&gt;"")* (N475&lt;&gt;""))+((P475&lt;&gt;P466)*(Q475="Y")*(R475&lt;&gt;R466)*(S475="Y")*(P475&lt;&gt;"")* (R475&lt;&gt;""))),0)</f>
        <v/>
      </c>
      <c r="V475" s="37">
        <f>IFERROR(SUMPRODUCT(((D475=D466)*(E475="Y")*(F475&lt;&gt;F466)*(G475="Y")*(D475&lt;&gt;"")* (F475&lt;&gt;""))+((H475=H466)*(I475="Y")*(J475&lt;&gt;J466)*(K475="Y")*(H475&lt;&gt;"")* (J475&lt;&gt;""))+((L475=L466)*(M475="Y")*(N475&lt;&gt;N466)*(O475="Y")*(L475&lt;&gt;"")* (N475&lt;&gt;""))+((P475=P466)*(Q475="Y")*(R475&lt;&gt;R466)*(S475="Y")*(P475&lt;&gt;"")* (R475&lt;&gt;""))),0)</f>
        <v/>
      </c>
      <c r="W475" s="37">
        <f>IFERROR(SUMPRODUCT(((E475="N")*(D475&lt;&gt;"")* (F475&lt;&gt;""))+((I475="N")*(H475&lt;&gt;"")* (J475&lt;&gt;""))+((M475="N")*(L475&lt;&gt;"")* (N475&lt;&gt;""))+((Q475="N")*(P475&lt;&gt;"")* (R475&lt;&gt;""))),0)</f>
        <v/>
      </c>
      <c r="X475" s="50">
        <f>IFERROR(U475/4,0)</f>
        <v/>
      </c>
    </row>
    <row r="476" ht="18" customHeight="1">
      <c r="B476" s="46">
        <f>'📥 ข้อมูลนักเรียน'!B13</f>
        <v/>
      </c>
      <c r="C476" s="51">
        <f>'📥 ข้อมูลนักเรียน'!C13</f>
        <v/>
      </c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37">
        <f>IFERROR(SUMPRODUCT(((D476=D466)*(E476="Y")*(F476=F466)*(G476="Y")*(D476&lt;&gt;"")* (F476&lt;&gt;""))+((H476=H466)*(I476="Y")*(J476=J466)*(K476="Y")*(H476&lt;&gt;"")* (J476&lt;&gt;""))+((L476=L466)*(M476="Y")*(N476=N466)*(O476="Y")*(L476&lt;&gt;"")* (N476&lt;&gt;""))+((P476=P466)*(Q476="Y")*(R476=R466)*(S476="Y")*(P476&lt;&gt;"")* (R476&lt;&gt;""))),0)</f>
        <v/>
      </c>
      <c r="U476" s="49">
        <f>IFERROR(SUMPRODUCT(((D476&lt;&gt;D466)*(E476="Y")*(F476&lt;&gt;F466)*(G476="Y")*(D476&lt;&gt;"")* (F476&lt;&gt;""))+((H476&lt;&gt;H466)*(I476="Y")*(J476&lt;&gt;J466)*(K476="Y")*(H476&lt;&gt;"")* (J476&lt;&gt;""))+((L476&lt;&gt;L466)*(M476="Y")*(N476&lt;&gt;N466)*(O476="Y")*(L476&lt;&gt;"")* (N476&lt;&gt;""))+((P476&lt;&gt;P466)*(Q476="Y")*(R476&lt;&gt;R466)*(S476="Y")*(P476&lt;&gt;"")* (R476&lt;&gt;""))),0)</f>
        <v/>
      </c>
      <c r="V476" s="37">
        <f>IFERROR(SUMPRODUCT(((D476=D466)*(E476="Y")*(F476&lt;&gt;F466)*(G476="Y")*(D476&lt;&gt;"")* (F476&lt;&gt;""))+((H476=H466)*(I476="Y")*(J476&lt;&gt;J466)*(K476="Y")*(H476&lt;&gt;"")* (J476&lt;&gt;""))+((L476=L466)*(M476="Y")*(N476&lt;&gt;N466)*(O476="Y")*(L476&lt;&gt;"")* (N476&lt;&gt;""))+((P476=P466)*(Q476="Y")*(R476&lt;&gt;R466)*(S476="Y")*(P476&lt;&gt;"")* (R476&lt;&gt;""))),0)</f>
        <v/>
      </c>
      <c r="W476" s="37">
        <f>IFERROR(SUMPRODUCT(((E476="N")*(D476&lt;&gt;"")* (F476&lt;&gt;""))+((I476="N")*(H476&lt;&gt;"")* (J476&lt;&gt;""))+((M476="N")*(L476&lt;&gt;"")* (N476&lt;&gt;""))+((Q476="N")*(P476&lt;&gt;"")* (R476&lt;&gt;""))),0)</f>
        <v/>
      </c>
      <c r="X476" s="50">
        <f>IFERROR(U476/4,0)</f>
        <v/>
      </c>
    </row>
    <row r="477" ht="18" customHeight="1">
      <c r="B477" s="46">
        <f>'📥 ข้อมูลนักเรียน'!B14</f>
        <v/>
      </c>
      <c r="C477" s="47">
        <f>'📥 ข้อมูลนักเรียน'!C14</f>
        <v/>
      </c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37">
        <f>IFERROR(SUMPRODUCT(((D477=D466)*(E477="Y")*(F477=F466)*(G477="Y")*(D477&lt;&gt;"")* (F477&lt;&gt;""))+((H477=H466)*(I477="Y")*(J477=J466)*(K477="Y")*(H477&lt;&gt;"")* (J477&lt;&gt;""))+((L477=L466)*(M477="Y")*(N477=N466)*(O477="Y")*(L477&lt;&gt;"")* (N477&lt;&gt;""))+((P477=P466)*(Q477="Y")*(R477=R466)*(S477="Y")*(P477&lt;&gt;"")* (R477&lt;&gt;""))),0)</f>
        <v/>
      </c>
      <c r="U477" s="49">
        <f>IFERROR(SUMPRODUCT(((D477&lt;&gt;D466)*(E477="Y")*(F477&lt;&gt;F466)*(G477="Y")*(D477&lt;&gt;"")* (F477&lt;&gt;""))+((H477&lt;&gt;H466)*(I477="Y")*(J477&lt;&gt;J466)*(K477="Y")*(H477&lt;&gt;"")* (J477&lt;&gt;""))+((L477&lt;&gt;L466)*(M477="Y")*(N477&lt;&gt;N466)*(O477="Y")*(L477&lt;&gt;"")* (N477&lt;&gt;""))+((P477&lt;&gt;P466)*(Q477="Y")*(R477&lt;&gt;R466)*(S477="Y")*(P477&lt;&gt;"")* (R477&lt;&gt;""))),0)</f>
        <v/>
      </c>
      <c r="V477" s="37">
        <f>IFERROR(SUMPRODUCT(((D477=D466)*(E477="Y")*(F477&lt;&gt;F466)*(G477="Y")*(D477&lt;&gt;"")* (F477&lt;&gt;""))+((H477=H466)*(I477="Y")*(J477&lt;&gt;J466)*(K477="Y")*(H477&lt;&gt;"")* (J477&lt;&gt;""))+((L477=L466)*(M477="Y")*(N477&lt;&gt;N466)*(O477="Y")*(L477&lt;&gt;"")* (N477&lt;&gt;""))+((P477=P466)*(Q477="Y")*(R477&lt;&gt;R466)*(S477="Y")*(P477&lt;&gt;"")* (R477&lt;&gt;""))),0)</f>
        <v/>
      </c>
      <c r="W477" s="37">
        <f>IFERROR(SUMPRODUCT(((E477="N")*(D477&lt;&gt;"")* (F477&lt;&gt;""))+((I477="N")*(H477&lt;&gt;"")* (J477&lt;&gt;""))+((M477="N")*(L477&lt;&gt;"")* (N477&lt;&gt;""))+((Q477="N")*(P477&lt;&gt;"")* (R477&lt;&gt;""))),0)</f>
        <v/>
      </c>
      <c r="X477" s="50">
        <f>IFERROR(U477/4,0)</f>
        <v/>
      </c>
    </row>
    <row r="478" ht="18" customHeight="1">
      <c r="B478" s="46">
        <f>'📥 ข้อมูลนักเรียน'!B15</f>
        <v/>
      </c>
      <c r="C478" s="51">
        <f>'📥 ข้อมูลนักเรียน'!C15</f>
        <v/>
      </c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37">
        <f>IFERROR(SUMPRODUCT(((D478=D466)*(E478="Y")*(F478=F466)*(G478="Y")*(D478&lt;&gt;"")* (F478&lt;&gt;""))+((H478=H466)*(I478="Y")*(J478=J466)*(K478="Y")*(H478&lt;&gt;"")* (J478&lt;&gt;""))+((L478=L466)*(M478="Y")*(N478=N466)*(O478="Y")*(L478&lt;&gt;"")* (N478&lt;&gt;""))+((P478=P466)*(Q478="Y")*(R478=R466)*(S478="Y")*(P478&lt;&gt;"")* (R478&lt;&gt;""))),0)</f>
        <v/>
      </c>
      <c r="U478" s="49">
        <f>IFERROR(SUMPRODUCT(((D478&lt;&gt;D466)*(E478="Y")*(F478&lt;&gt;F466)*(G478="Y")*(D478&lt;&gt;"")* (F478&lt;&gt;""))+((H478&lt;&gt;H466)*(I478="Y")*(J478&lt;&gt;J466)*(K478="Y")*(H478&lt;&gt;"")* (J478&lt;&gt;""))+((L478&lt;&gt;L466)*(M478="Y")*(N478&lt;&gt;N466)*(O478="Y")*(L478&lt;&gt;"")* (N478&lt;&gt;""))+((P478&lt;&gt;P466)*(Q478="Y")*(R478&lt;&gt;R466)*(S478="Y")*(P478&lt;&gt;"")* (R478&lt;&gt;""))),0)</f>
        <v/>
      </c>
      <c r="V478" s="37">
        <f>IFERROR(SUMPRODUCT(((D478=D466)*(E478="Y")*(F478&lt;&gt;F466)*(G478="Y")*(D478&lt;&gt;"")* (F478&lt;&gt;""))+((H478=H466)*(I478="Y")*(J478&lt;&gt;J466)*(K478="Y")*(H478&lt;&gt;"")* (J478&lt;&gt;""))+((L478=L466)*(M478="Y")*(N478&lt;&gt;N466)*(O478="Y")*(L478&lt;&gt;"")* (N478&lt;&gt;""))+((P478=P466)*(Q478="Y")*(R478&lt;&gt;R466)*(S478="Y")*(P478&lt;&gt;"")* (R478&lt;&gt;""))),0)</f>
        <v/>
      </c>
      <c r="W478" s="37">
        <f>IFERROR(SUMPRODUCT(((E478="N")*(D478&lt;&gt;"")* (F478&lt;&gt;""))+((I478="N")*(H478&lt;&gt;"")* (J478&lt;&gt;""))+((M478="N")*(L478&lt;&gt;"")* (N478&lt;&gt;""))+((Q478="N")*(P478&lt;&gt;"")* (R478&lt;&gt;""))),0)</f>
        <v/>
      </c>
      <c r="X478" s="50">
        <f>IFERROR(U478/4,0)</f>
        <v/>
      </c>
    </row>
    <row r="479" ht="18" customHeight="1">
      <c r="B479" s="46">
        <f>'📥 ข้อมูลนักเรียน'!B16</f>
        <v/>
      </c>
      <c r="C479" s="47">
        <f>'📥 ข้อมูลนักเรียน'!C16</f>
        <v/>
      </c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37">
        <f>IFERROR(SUMPRODUCT(((D479=D466)*(E479="Y")*(F479=F466)*(G479="Y")*(D479&lt;&gt;"")* (F479&lt;&gt;""))+((H479=H466)*(I479="Y")*(J479=J466)*(K479="Y")*(H479&lt;&gt;"")* (J479&lt;&gt;""))+((L479=L466)*(M479="Y")*(N479=N466)*(O479="Y")*(L479&lt;&gt;"")* (N479&lt;&gt;""))+((P479=P466)*(Q479="Y")*(R479=R466)*(S479="Y")*(P479&lt;&gt;"")* (R479&lt;&gt;""))),0)</f>
        <v/>
      </c>
      <c r="U479" s="49">
        <f>IFERROR(SUMPRODUCT(((D479&lt;&gt;D466)*(E479="Y")*(F479&lt;&gt;F466)*(G479="Y")*(D479&lt;&gt;"")* (F479&lt;&gt;""))+((H479&lt;&gt;H466)*(I479="Y")*(J479&lt;&gt;J466)*(K479="Y")*(H479&lt;&gt;"")* (J479&lt;&gt;""))+((L479&lt;&gt;L466)*(M479="Y")*(N479&lt;&gt;N466)*(O479="Y")*(L479&lt;&gt;"")* (N479&lt;&gt;""))+((P479&lt;&gt;P466)*(Q479="Y")*(R479&lt;&gt;R466)*(S479="Y")*(P479&lt;&gt;"")* (R479&lt;&gt;""))),0)</f>
        <v/>
      </c>
      <c r="V479" s="37">
        <f>IFERROR(SUMPRODUCT(((D479=D466)*(E479="Y")*(F479&lt;&gt;F466)*(G479="Y")*(D479&lt;&gt;"")* (F479&lt;&gt;""))+((H479=H466)*(I479="Y")*(J479&lt;&gt;J466)*(K479="Y")*(H479&lt;&gt;"")* (J479&lt;&gt;""))+((L479=L466)*(M479="Y")*(N479&lt;&gt;N466)*(O479="Y")*(L479&lt;&gt;"")* (N479&lt;&gt;""))+((P479=P466)*(Q479="Y")*(R479&lt;&gt;R466)*(S479="Y")*(P479&lt;&gt;"")* (R479&lt;&gt;""))),0)</f>
        <v/>
      </c>
      <c r="W479" s="37">
        <f>IFERROR(SUMPRODUCT(((E479="N")*(D479&lt;&gt;"")* (F479&lt;&gt;""))+((I479="N")*(H479&lt;&gt;"")* (J479&lt;&gt;""))+((M479="N")*(L479&lt;&gt;"")* (N479&lt;&gt;""))+((Q479="N")*(P479&lt;&gt;"")* (R479&lt;&gt;""))),0)</f>
        <v/>
      </c>
      <c r="X479" s="50">
        <f>IFERROR(U479/4,0)</f>
        <v/>
      </c>
    </row>
    <row r="480" ht="18" customHeight="1">
      <c r="B480" s="46">
        <f>'📥 ข้อมูลนักเรียน'!B17</f>
        <v/>
      </c>
      <c r="C480" s="51">
        <f>'📥 ข้อมูลนักเรียน'!C17</f>
        <v/>
      </c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37">
        <f>IFERROR(SUMPRODUCT(((D480=D466)*(E480="Y")*(F480=F466)*(G480="Y")*(D480&lt;&gt;"")* (F480&lt;&gt;""))+((H480=H466)*(I480="Y")*(J480=J466)*(K480="Y")*(H480&lt;&gt;"")* (J480&lt;&gt;""))+((L480=L466)*(M480="Y")*(N480=N466)*(O480="Y")*(L480&lt;&gt;"")* (N480&lt;&gt;""))+((P480=P466)*(Q480="Y")*(R480=R466)*(S480="Y")*(P480&lt;&gt;"")* (R480&lt;&gt;""))),0)</f>
        <v/>
      </c>
      <c r="U480" s="49">
        <f>IFERROR(SUMPRODUCT(((D480&lt;&gt;D466)*(E480="Y")*(F480&lt;&gt;F466)*(G480="Y")*(D480&lt;&gt;"")* (F480&lt;&gt;""))+((H480&lt;&gt;H466)*(I480="Y")*(J480&lt;&gt;J466)*(K480="Y")*(H480&lt;&gt;"")* (J480&lt;&gt;""))+((L480&lt;&gt;L466)*(M480="Y")*(N480&lt;&gt;N466)*(O480="Y")*(L480&lt;&gt;"")* (N480&lt;&gt;""))+((P480&lt;&gt;P466)*(Q480="Y")*(R480&lt;&gt;R466)*(S480="Y")*(P480&lt;&gt;"")* (R480&lt;&gt;""))),0)</f>
        <v/>
      </c>
      <c r="V480" s="37">
        <f>IFERROR(SUMPRODUCT(((D480=D466)*(E480="Y")*(F480&lt;&gt;F466)*(G480="Y")*(D480&lt;&gt;"")* (F480&lt;&gt;""))+((H480=H466)*(I480="Y")*(J480&lt;&gt;J466)*(K480="Y")*(H480&lt;&gt;"")* (J480&lt;&gt;""))+((L480=L466)*(M480="Y")*(N480&lt;&gt;N466)*(O480="Y")*(L480&lt;&gt;"")* (N480&lt;&gt;""))+((P480=P466)*(Q480="Y")*(R480&lt;&gt;R466)*(S480="Y")*(P480&lt;&gt;"")* (R480&lt;&gt;""))),0)</f>
        <v/>
      </c>
      <c r="W480" s="37">
        <f>IFERROR(SUMPRODUCT(((E480="N")*(D480&lt;&gt;"")* (F480&lt;&gt;""))+((I480="N")*(H480&lt;&gt;"")* (J480&lt;&gt;""))+((M480="N")*(L480&lt;&gt;"")* (N480&lt;&gt;""))+((Q480="N")*(P480&lt;&gt;"")* (R480&lt;&gt;""))),0)</f>
        <v/>
      </c>
      <c r="X480" s="50">
        <f>IFERROR(U480/4,0)</f>
        <v/>
      </c>
    </row>
    <row r="481" ht="18" customHeight="1">
      <c r="B481" s="46">
        <f>'📥 ข้อมูลนักเรียน'!B18</f>
        <v/>
      </c>
      <c r="C481" s="47">
        <f>'📥 ข้อมูลนักเรียน'!C18</f>
        <v/>
      </c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37">
        <f>IFERROR(SUMPRODUCT(((D481=D466)*(E481="Y")*(F481=F466)*(G481="Y")*(D481&lt;&gt;"")*(F481&lt;&gt;""))+((H481=H466)*(I481="Y")*(J481=J466)*(K481="Y")*(H481&lt;&gt;"")*(J481&lt;&gt;""))+((L481=L466)*(M481="Y")*(N481=N466)*(O481="Y")*(L481&lt;&gt;"")*(N481&lt;&gt;""))+((P481=P466)*(Q481="Y")*(R481=R466)*(S481="Y")*(P481&lt;&gt;"")*(R481&lt;&gt;""))),0)</f>
        <v/>
      </c>
      <c r="U481" s="49">
        <f>IFERROR(SUMPRODUCT(((D481&lt;&gt;D466)*(E481="Y")*(F481&lt;&gt;F466)*(G481="Y")*(D481&lt;&gt;"")*(F481&lt;&gt;""))+((H481&lt;&gt;H466)*(I481="Y")*(J481&lt;&gt;J466)*(K481="Y")*(H481&lt;&gt;"")*(J481&lt;&gt;""))+((L481&lt;&gt;L466)*(M481="Y")*(N481&lt;&gt;N466)*(O481="Y")*(L481&lt;&gt;"")*(N481&lt;&gt;""))+((P481&lt;&gt;P466)*(Q481="Y")*(R481&lt;&gt;R466)*(S481="Y")*(P481&lt;&gt;"")*(R481&lt;&gt;""))),0)</f>
        <v/>
      </c>
      <c r="V481" s="37">
        <f>IFERROR(SUMPRODUCT(((D481=D466)*(E481="Y")*(F481&lt;&gt;F466)*(G481="Y")*(D481&lt;&gt;"")*(F481&lt;&gt;""))+((H481=H466)*(I481="Y")*(J481&lt;&gt;J466)*(K481="Y")*(H481&lt;&gt;"")*(J481&lt;&gt;""))+((L481=L466)*(M481="Y")*(N481&lt;&gt;N466)*(O481="Y")*(L481&lt;&gt;"")*(N481&lt;&gt;""))+((P481=P466)*(Q481="Y")*(R481&lt;&gt;R466)*(S481="Y")*(P481&lt;&gt;"")*(R481&lt;&gt;""))),0)</f>
        <v/>
      </c>
      <c r="W481" s="37">
        <f>IFERROR(SUMPRODUCT(((E481="N")*(D481&lt;&gt;"")*(F481&lt;&gt;""))+((I481="N")*(H481&lt;&gt;"")*(J481&lt;&gt;""))+((M481="N")*(L481&lt;&gt;"")*(N481&lt;&gt;""))+((Q481="N")*(P481&lt;&gt;"")*(R481&lt;&gt;""))),0)</f>
        <v/>
      </c>
      <c r="X481" s="50">
        <f>IFERROR(U481/4,0)</f>
        <v/>
      </c>
    </row>
    <row r="482" ht="18" customHeight="1">
      <c r="B482" s="46">
        <f>'📥 ข้อมูลนักเรียน'!B19</f>
        <v/>
      </c>
      <c r="C482" s="51">
        <f>'📥 ข้อมูลนักเรียน'!C19</f>
        <v/>
      </c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37">
        <f>IFERROR(SUMPRODUCT(((D482=D466)*(E482="Y")*(F482=F466)*(G482="Y")*(D482&lt;&gt;"")*(F482&lt;&gt;""))+((H482=H466)*(I482="Y")*(J482=J466)*(K482="Y")*(H482&lt;&gt;"")*(J482&lt;&gt;""))+((L482=L466)*(M482="Y")*(N482=N466)*(O482="Y")*(L482&lt;&gt;"")*(N482&lt;&gt;""))+((P482=P466)*(Q482="Y")*(R482=R466)*(S482="Y")*(P482&lt;&gt;"")*(R482&lt;&gt;""))),0)</f>
        <v/>
      </c>
      <c r="U482" s="49">
        <f>IFERROR(SUMPRODUCT(((D482&lt;&gt;D466)*(E482="Y")*(F482&lt;&gt;F466)*(G482="Y")*(D482&lt;&gt;"")*(F482&lt;&gt;""))+((H482&lt;&gt;H466)*(I482="Y")*(J482&lt;&gt;J466)*(K482="Y")*(H482&lt;&gt;"")*(J482&lt;&gt;""))+((L482&lt;&gt;L466)*(M482="Y")*(N482&lt;&gt;N466)*(O482="Y")*(L482&lt;&gt;"")*(N482&lt;&gt;""))+((P482&lt;&gt;P466)*(Q482="Y")*(R482&lt;&gt;R466)*(S482="Y")*(P482&lt;&gt;"")*(R482&lt;&gt;""))),0)</f>
        <v/>
      </c>
      <c r="V482" s="37">
        <f>IFERROR(SUMPRODUCT(((D482=D466)*(E482="Y")*(F482&lt;&gt;F466)*(G482="Y")*(D482&lt;&gt;"")*(F482&lt;&gt;""))+((H482=H466)*(I482="Y")*(J482&lt;&gt;J466)*(K482="Y")*(H482&lt;&gt;"")*(J482&lt;&gt;""))+((L482=L466)*(M482="Y")*(N482&lt;&gt;N466)*(O482="Y")*(L482&lt;&gt;"")*(N482&lt;&gt;""))+((P482=P466)*(Q482="Y")*(R482&lt;&gt;R466)*(S482="Y")*(P482&lt;&gt;"")*(R482&lt;&gt;""))),0)</f>
        <v/>
      </c>
      <c r="W482" s="37">
        <f>IFERROR(SUMPRODUCT(((E482="N")*(D482&lt;&gt;"")*(F482&lt;&gt;""))+((I482="N")*(H482&lt;&gt;"")*(J482&lt;&gt;""))+((M482="N")*(L482&lt;&gt;"")*(N482&lt;&gt;""))+((Q482="N")*(P482&lt;&gt;"")*(R482&lt;&gt;""))),0)</f>
        <v/>
      </c>
      <c r="X482" s="50">
        <f>IFERROR(U482/4,0)</f>
        <v/>
      </c>
    </row>
    <row r="483" ht="18" customHeight="1">
      <c r="B483" s="46">
        <f>'📥 ข้อมูลนักเรียน'!B20</f>
        <v/>
      </c>
      <c r="C483" s="47">
        <f>'📥 ข้อมูลนักเรียน'!C20</f>
        <v/>
      </c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37">
        <f>IFERROR(SUMPRODUCT(((D483=D466)*(E483="Y")*(F483=F466)*(G483="Y")*(D483&lt;&gt;"")*(F483&lt;&gt;""))+((H483=H466)*(I483="Y")*(J483=J466)*(K483="Y")*(H483&lt;&gt;"")*(J483&lt;&gt;""))+((L483=L466)*(M483="Y")*(N483=N466)*(O483="Y")*(L483&lt;&gt;"")*(N483&lt;&gt;""))+((P483=P466)*(Q483="Y")*(R483=R466)*(S483="Y")*(P483&lt;&gt;"")*(R483&lt;&gt;""))),0)</f>
        <v/>
      </c>
      <c r="U483" s="49">
        <f>IFERROR(SUMPRODUCT(((D483&lt;&gt;D466)*(E483="Y")*(F483&lt;&gt;F466)*(G483="Y")*(D483&lt;&gt;"")*(F483&lt;&gt;""))+((H483&lt;&gt;H466)*(I483="Y")*(J483&lt;&gt;J466)*(K483="Y")*(H483&lt;&gt;"")*(J483&lt;&gt;""))+((L483&lt;&gt;L466)*(M483="Y")*(N483&lt;&gt;N466)*(O483="Y")*(L483&lt;&gt;"")*(N483&lt;&gt;""))+((P483&lt;&gt;P466)*(Q483="Y")*(R483&lt;&gt;R466)*(S483="Y")*(P483&lt;&gt;"")*(R483&lt;&gt;""))),0)</f>
        <v/>
      </c>
      <c r="V483" s="37">
        <f>IFERROR(SUMPRODUCT(((D483=D466)*(E483="Y")*(F483&lt;&gt;F466)*(G483="Y")*(D483&lt;&gt;"")*(F483&lt;&gt;""))+((H483=H466)*(I483="Y")*(J483&lt;&gt;J466)*(K483="Y")*(H483&lt;&gt;"")*(J483&lt;&gt;""))+((L483=L466)*(M483="Y")*(N483&lt;&gt;N466)*(O483="Y")*(L483&lt;&gt;"")*(N483&lt;&gt;""))+((P483=P466)*(Q483="Y")*(R483&lt;&gt;R466)*(S483="Y")*(P483&lt;&gt;"")*(R483&lt;&gt;""))),0)</f>
        <v/>
      </c>
      <c r="W483" s="37">
        <f>IFERROR(SUMPRODUCT(((E483="N")*(D483&lt;&gt;"")*(F483&lt;&gt;""))+((I483="N")*(H483&lt;&gt;"")*(J483&lt;&gt;""))+((M483="N")*(L483&lt;&gt;"")*(N483&lt;&gt;""))+((Q483="N")*(P483&lt;&gt;"")*(R483&lt;&gt;""))),0)</f>
        <v/>
      </c>
      <c r="X483" s="50">
        <f>IFERROR(U483/4,0)</f>
        <v/>
      </c>
    </row>
    <row r="484" ht="18" customHeight="1">
      <c r="B484" s="46">
        <f>'📥 ข้อมูลนักเรียน'!B21</f>
        <v/>
      </c>
      <c r="C484" s="51">
        <f>'📥 ข้อมูลนักเรียน'!C21</f>
        <v/>
      </c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37">
        <f>IFERROR(SUMPRODUCT(((D484=D466)*(E484="Y")*(F484=F466)*(G484="Y")*(D484&lt;&gt;"")*(F484&lt;&gt;""))+((H484=H466)*(I484="Y")*(J484=J466)*(K484="Y")*(H484&lt;&gt;"")*(J484&lt;&gt;""))+((L484=L466)*(M484="Y")*(N484=N466)*(O484="Y")*(L484&lt;&gt;"")*(N484&lt;&gt;""))+((P484=P466)*(Q484="Y")*(R484=R466)*(S484="Y")*(P484&lt;&gt;"")*(R484&lt;&gt;""))),0)</f>
        <v/>
      </c>
      <c r="U484" s="49">
        <f>IFERROR(SUMPRODUCT(((D484&lt;&gt;D466)*(E484="Y")*(F484&lt;&gt;F466)*(G484="Y")*(D484&lt;&gt;"")*(F484&lt;&gt;""))+((H484&lt;&gt;H466)*(I484="Y")*(J484&lt;&gt;J466)*(K484="Y")*(H484&lt;&gt;"")*(J484&lt;&gt;""))+((L484&lt;&gt;L466)*(M484="Y")*(N484&lt;&gt;N466)*(O484="Y")*(L484&lt;&gt;"")*(N484&lt;&gt;""))+((P484&lt;&gt;P466)*(Q484="Y")*(R484&lt;&gt;R466)*(S484="Y")*(P484&lt;&gt;"")*(R484&lt;&gt;""))),0)</f>
        <v/>
      </c>
      <c r="V484" s="37">
        <f>IFERROR(SUMPRODUCT(((D484=D466)*(E484="Y")*(F484&lt;&gt;F466)*(G484="Y")*(D484&lt;&gt;"")*(F484&lt;&gt;""))+((H484=H466)*(I484="Y")*(J484&lt;&gt;J466)*(K484="Y")*(H484&lt;&gt;"")*(J484&lt;&gt;""))+((L484=L466)*(M484="Y")*(N484&lt;&gt;N466)*(O484="Y")*(L484&lt;&gt;"")*(N484&lt;&gt;""))+((P484=P466)*(Q484="Y")*(R484&lt;&gt;R466)*(S484="Y")*(P484&lt;&gt;"")*(R484&lt;&gt;""))),0)</f>
        <v/>
      </c>
      <c r="W484" s="37">
        <f>IFERROR(SUMPRODUCT(((E484="N")*(D484&lt;&gt;"")*(F484&lt;&gt;""))+((I484="N")*(H484&lt;&gt;"")*(J484&lt;&gt;""))+((M484="N")*(L484&lt;&gt;"")*(N484&lt;&gt;""))+((Q484="N")*(P484&lt;&gt;"")*(R484&lt;&gt;""))),0)</f>
        <v/>
      </c>
      <c r="X484" s="50">
        <f>IFERROR(U484/4,0)</f>
        <v/>
      </c>
    </row>
    <row r="485" ht="18" customHeight="1">
      <c r="B485" s="46">
        <f>'📥 ข้อมูลนักเรียน'!B22</f>
        <v/>
      </c>
      <c r="C485" s="47">
        <f>'📥 ข้อมูลนักเรียน'!C22</f>
        <v/>
      </c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37">
        <f>IFERROR(SUMPRODUCT(((D485=D466)*(E485="Y")*(F485=F466)*(G485="Y")*(D485&lt;&gt;"")*(F485&lt;&gt;""))+((H485=H466)*(I485="Y")*(J485=J466)*(K485="Y")*(H485&lt;&gt;"")*(J485&lt;&gt;""))+((L485=L466)*(M485="Y")*(N485=N466)*(O485="Y")*(L485&lt;&gt;"")*(N485&lt;&gt;""))+((P485=P466)*(Q485="Y")*(R485=R466)*(S485="Y")*(P485&lt;&gt;"")*(R485&lt;&gt;""))),0)</f>
        <v/>
      </c>
      <c r="U485" s="49">
        <f>IFERROR(SUMPRODUCT(((D485&lt;&gt;D466)*(E485="Y")*(F485&lt;&gt;F466)*(G485="Y")*(D485&lt;&gt;"")*(F485&lt;&gt;""))+((H485&lt;&gt;H466)*(I485="Y")*(J485&lt;&gt;J466)*(K485="Y")*(H485&lt;&gt;"")*(J485&lt;&gt;""))+((L485&lt;&gt;L466)*(M485="Y")*(N485&lt;&gt;N466)*(O485="Y")*(L485&lt;&gt;"")*(N485&lt;&gt;""))+((P485&lt;&gt;P466)*(Q485="Y")*(R485&lt;&gt;R466)*(S485="Y")*(P485&lt;&gt;"")*(R485&lt;&gt;""))),0)</f>
        <v/>
      </c>
      <c r="V485" s="37">
        <f>IFERROR(SUMPRODUCT(((D485=D466)*(E485="Y")*(F485&lt;&gt;F466)*(G485="Y")*(D485&lt;&gt;"")*(F485&lt;&gt;""))+((H485=H466)*(I485="Y")*(J485&lt;&gt;J466)*(K485="Y")*(H485&lt;&gt;"")*(J485&lt;&gt;""))+((L485=L466)*(M485="Y")*(N485&lt;&gt;N466)*(O485="Y")*(L485&lt;&gt;"")*(N485&lt;&gt;""))+((P485=P466)*(Q485="Y")*(R485&lt;&gt;R466)*(S485="Y")*(P485&lt;&gt;"")*(R485&lt;&gt;""))),0)</f>
        <v/>
      </c>
      <c r="W485" s="37">
        <f>IFERROR(SUMPRODUCT(((E485="N")*(D485&lt;&gt;"")*(F485&lt;&gt;""))+((I485="N")*(H485&lt;&gt;"")*(J485&lt;&gt;""))+((M485="N")*(L485&lt;&gt;"")*(N485&lt;&gt;""))+((Q485="N")*(P485&lt;&gt;"")*(R485&lt;&gt;""))),0)</f>
        <v/>
      </c>
      <c r="X485" s="50">
        <f>IFERROR(U485/4,0)</f>
        <v/>
      </c>
    </row>
    <row r="486" ht="18" customHeight="1">
      <c r="B486" s="46">
        <f>'📥 ข้อมูลนักเรียน'!B23</f>
        <v/>
      </c>
      <c r="C486" s="51">
        <f>'📥 ข้อมูลนักเรียน'!C23</f>
        <v/>
      </c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37">
        <f>IFERROR(SUMPRODUCT(((D486=D466)*(E486="Y")*(F486=F466)*(G486="Y")*(D486&lt;&gt;"")*(F486&lt;&gt;""))+((H486=H466)*(I486="Y")*(J486=J466)*(K486="Y")*(H486&lt;&gt;"")*(J486&lt;&gt;""))+((L486=L466)*(M486="Y")*(N486=N466)*(O486="Y")*(L486&lt;&gt;"")*(N486&lt;&gt;""))+((P486=P466)*(Q486="Y")*(R486=R466)*(S486="Y")*(P486&lt;&gt;"")*(R486&lt;&gt;""))),0)</f>
        <v/>
      </c>
      <c r="U486" s="49">
        <f>IFERROR(SUMPRODUCT(((D486&lt;&gt;D466)*(E486="Y")*(F486&lt;&gt;F466)*(G486="Y")*(D486&lt;&gt;"")*(F486&lt;&gt;""))+((H486&lt;&gt;H466)*(I486="Y")*(J486&lt;&gt;J466)*(K486="Y")*(H486&lt;&gt;"")*(J486&lt;&gt;""))+((L486&lt;&gt;L466)*(M486="Y")*(N486&lt;&gt;N466)*(O486="Y")*(L486&lt;&gt;"")*(N486&lt;&gt;""))+((P486&lt;&gt;P466)*(Q486="Y")*(R486&lt;&gt;R466)*(S486="Y")*(P486&lt;&gt;"")*(R486&lt;&gt;""))),0)</f>
        <v/>
      </c>
      <c r="V486" s="37">
        <f>IFERROR(SUMPRODUCT(((D486=D466)*(E486="Y")*(F486&lt;&gt;F466)*(G486="Y")*(D486&lt;&gt;"")*(F486&lt;&gt;""))+((H486=H466)*(I486="Y")*(J486&lt;&gt;J466)*(K486="Y")*(H486&lt;&gt;"")*(J486&lt;&gt;""))+((L486=L466)*(M486="Y")*(N486&lt;&gt;N466)*(O486="Y")*(L486&lt;&gt;"")*(N486&lt;&gt;""))+((P486=P466)*(Q486="Y")*(R486&lt;&gt;R466)*(S486="Y")*(P486&lt;&gt;"")*(R486&lt;&gt;""))),0)</f>
        <v/>
      </c>
      <c r="W486" s="37">
        <f>IFERROR(SUMPRODUCT(((E486="N")*(D486&lt;&gt;"")*(F486&lt;&gt;""))+((I486="N")*(H486&lt;&gt;"")*(J486&lt;&gt;""))+((M486="N")*(L486&lt;&gt;"")*(N486&lt;&gt;""))+((Q486="N")*(P486&lt;&gt;"")*(R486&lt;&gt;""))),0)</f>
        <v/>
      </c>
      <c r="X486" s="50">
        <f>IFERROR(U486/4,0)</f>
        <v/>
      </c>
    </row>
    <row r="487" ht="18" customHeight="1">
      <c r="B487" s="46">
        <f>'📥 ข้อมูลนักเรียน'!B24</f>
        <v/>
      </c>
      <c r="C487" s="47">
        <f>'📥 ข้อมูลนักเรียน'!C24</f>
        <v/>
      </c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37">
        <f>IFERROR(SUMPRODUCT(((D487=D466)*(E487="Y")*(F487=F466)*(G487="Y")*(D487&lt;&gt;"")*(F487&lt;&gt;""))+((H487=H466)*(I487="Y")*(J487=J466)*(K487="Y")*(H487&lt;&gt;"")*(J487&lt;&gt;""))+((L487=L466)*(M487="Y")*(N487=N466)*(O487="Y")*(L487&lt;&gt;"")*(N487&lt;&gt;""))+((P487=P466)*(Q487="Y")*(R487=R466)*(S487="Y")*(P487&lt;&gt;"")*(R487&lt;&gt;""))),0)</f>
        <v/>
      </c>
      <c r="U487" s="49">
        <f>IFERROR(SUMPRODUCT(((D487&lt;&gt;D466)*(E487="Y")*(F487&lt;&gt;F466)*(G487="Y")*(D487&lt;&gt;"")*(F487&lt;&gt;""))+((H487&lt;&gt;H466)*(I487="Y")*(J487&lt;&gt;J466)*(K487="Y")*(H487&lt;&gt;"")*(J487&lt;&gt;""))+((L487&lt;&gt;L466)*(M487="Y")*(N487&lt;&gt;N466)*(O487="Y")*(L487&lt;&gt;"")*(N487&lt;&gt;""))+((P487&lt;&gt;P466)*(Q487="Y")*(R487&lt;&gt;R466)*(S487="Y")*(P487&lt;&gt;"")*(R487&lt;&gt;""))),0)</f>
        <v/>
      </c>
      <c r="V487" s="37">
        <f>IFERROR(SUMPRODUCT(((D487=D466)*(E487="Y")*(F487&lt;&gt;F466)*(G487="Y")*(D487&lt;&gt;"")*(F487&lt;&gt;""))+((H487=H466)*(I487="Y")*(J487&lt;&gt;J466)*(K487="Y")*(H487&lt;&gt;"")*(J487&lt;&gt;""))+((L487=L466)*(M487="Y")*(N487&lt;&gt;N466)*(O487="Y")*(L487&lt;&gt;"")*(N487&lt;&gt;""))+((P487=P466)*(Q487="Y")*(R487&lt;&gt;R466)*(S487="Y")*(P487&lt;&gt;"")*(R487&lt;&gt;""))),0)</f>
        <v/>
      </c>
      <c r="W487" s="37">
        <f>IFERROR(SUMPRODUCT(((E487="N")*(D487&lt;&gt;"")*(F487&lt;&gt;""))+((I487="N")*(H487&lt;&gt;"")*(J487&lt;&gt;""))+((M487="N")*(L487&lt;&gt;"")*(N487&lt;&gt;""))+((Q487="N")*(P487&lt;&gt;"")*(R487&lt;&gt;""))),0)</f>
        <v/>
      </c>
      <c r="X487" s="50">
        <f>IFERROR(U487/4,0)</f>
        <v/>
      </c>
    </row>
    <row r="488" ht="18" customHeight="1">
      <c r="B488" s="46">
        <f>'📥 ข้อมูลนักเรียน'!B25</f>
        <v/>
      </c>
      <c r="C488" s="51">
        <f>'📥 ข้อมูลนักเรียน'!C25</f>
        <v/>
      </c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37">
        <f>IFERROR(SUMPRODUCT(((D488=D466)*(E488="Y")*(F488=F466)*(G488="Y")*(D488&lt;&gt;"")*(F488&lt;&gt;""))+((H488=H466)*(I488="Y")*(J488=J466)*(K488="Y")*(H488&lt;&gt;"")*(J488&lt;&gt;""))+((L488=L466)*(M488="Y")*(N488=N466)*(O488="Y")*(L488&lt;&gt;"")*(N488&lt;&gt;""))+((P488=P466)*(Q488="Y")*(R488=R466)*(S488="Y")*(P488&lt;&gt;"")*(R488&lt;&gt;""))),0)</f>
        <v/>
      </c>
      <c r="U488" s="49">
        <f>IFERROR(SUMPRODUCT(((D488&lt;&gt;D466)*(E488="Y")*(F488&lt;&gt;F466)*(G488="Y")*(D488&lt;&gt;"")*(F488&lt;&gt;""))+((H488&lt;&gt;H466)*(I488="Y")*(J488&lt;&gt;J466)*(K488="Y")*(H488&lt;&gt;"")*(J488&lt;&gt;""))+((L488&lt;&gt;L466)*(M488="Y")*(N488&lt;&gt;N466)*(O488="Y")*(L488&lt;&gt;"")*(N488&lt;&gt;""))+((P488&lt;&gt;P466)*(Q488="Y")*(R488&lt;&gt;R466)*(S488="Y")*(P488&lt;&gt;"")*(R488&lt;&gt;""))),0)</f>
        <v/>
      </c>
      <c r="V488" s="37">
        <f>IFERROR(SUMPRODUCT(((D488=D466)*(E488="Y")*(F488&lt;&gt;F466)*(G488="Y")*(D488&lt;&gt;"")*(F488&lt;&gt;""))+((H488=H466)*(I488="Y")*(J488&lt;&gt;J466)*(K488="Y")*(H488&lt;&gt;"")*(J488&lt;&gt;""))+((L488=L466)*(M488="Y")*(N488&lt;&gt;N466)*(O488="Y")*(L488&lt;&gt;"")*(N488&lt;&gt;""))+((P488=P466)*(Q488="Y")*(R488&lt;&gt;R466)*(S488="Y")*(P488&lt;&gt;"")*(R488&lt;&gt;""))),0)</f>
        <v/>
      </c>
      <c r="W488" s="37">
        <f>IFERROR(SUMPRODUCT(((E488="N")*(D488&lt;&gt;"")*(F488&lt;&gt;""))+((I488="N")*(H488&lt;&gt;"")*(J488&lt;&gt;""))+((M488="N")*(L488&lt;&gt;"")*(N488&lt;&gt;""))+((Q488="N")*(P488&lt;&gt;"")*(R488&lt;&gt;""))),0)</f>
        <v/>
      </c>
      <c r="X488" s="50">
        <f>IFERROR(U488/4,0)</f>
        <v/>
      </c>
    </row>
    <row r="489" ht="18" customHeight="1">
      <c r="B489" s="46">
        <f>'📥 ข้อมูลนักเรียน'!B26</f>
        <v/>
      </c>
      <c r="C489" s="47">
        <f>'📥 ข้อมูลนักเรียน'!C26</f>
        <v/>
      </c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37">
        <f>IFERROR(SUMPRODUCT(((D489=D466)*(E489="Y")*(F489=F466)*(G489="Y")*(D489&lt;&gt;"")*(F489&lt;&gt;""))+((H489=H466)*(I489="Y")*(J489=J466)*(K489="Y")*(H489&lt;&gt;"")*(J489&lt;&gt;""))+((L489=L466)*(M489="Y")*(N489=N466)*(O489="Y")*(L489&lt;&gt;"")*(N489&lt;&gt;""))+((P489=P466)*(Q489="Y")*(R489=R466)*(S489="Y")*(P489&lt;&gt;"")*(R489&lt;&gt;""))),0)</f>
        <v/>
      </c>
      <c r="U489" s="49">
        <f>IFERROR(SUMPRODUCT(((D489&lt;&gt;D466)*(E489="Y")*(F489&lt;&gt;F466)*(G489="Y")*(D489&lt;&gt;"")*(F489&lt;&gt;""))+((H489&lt;&gt;H466)*(I489="Y")*(J489&lt;&gt;J466)*(K489="Y")*(H489&lt;&gt;"")*(J489&lt;&gt;""))+((L489&lt;&gt;L466)*(M489="Y")*(N489&lt;&gt;N466)*(O489="Y")*(L489&lt;&gt;"")*(N489&lt;&gt;""))+((P489&lt;&gt;P466)*(Q489="Y")*(R489&lt;&gt;R466)*(S489="Y")*(P489&lt;&gt;"")*(R489&lt;&gt;""))),0)</f>
        <v/>
      </c>
      <c r="V489" s="37">
        <f>IFERROR(SUMPRODUCT(((D489=D466)*(E489="Y")*(F489&lt;&gt;F466)*(G489="Y")*(D489&lt;&gt;"")*(F489&lt;&gt;""))+((H489=H466)*(I489="Y")*(J489&lt;&gt;J466)*(K489="Y")*(H489&lt;&gt;"")*(J489&lt;&gt;""))+((L489=L466)*(M489="Y")*(N489&lt;&gt;N466)*(O489="Y")*(L489&lt;&gt;"")*(N489&lt;&gt;""))+((P489=P466)*(Q489="Y")*(R489&lt;&gt;R466)*(S489="Y")*(P489&lt;&gt;"")*(R489&lt;&gt;""))),0)</f>
        <v/>
      </c>
      <c r="W489" s="37">
        <f>IFERROR(SUMPRODUCT(((E489="N")*(D489&lt;&gt;"")*(F489&lt;&gt;""))+((I489="N")*(H489&lt;&gt;"")*(J489&lt;&gt;""))+((M489="N")*(L489&lt;&gt;"")*(N489&lt;&gt;""))+((Q489="N")*(P489&lt;&gt;"")*(R489&lt;&gt;""))),0)</f>
        <v/>
      </c>
      <c r="X489" s="50">
        <f>IFERROR(U489/4,0)</f>
        <v/>
      </c>
    </row>
    <row r="490" ht="18" customHeight="1">
      <c r="B490" s="46">
        <f>'📥 ข้อมูลนักเรียน'!B27</f>
        <v/>
      </c>
      <c r="C490" s="51">
        <f>'📥 ข้อมูลนักเรียน'!C27</f>
        <v/>
      </c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37">
        <f>IFERROR(SUMPRODUCT(((D490=D466)*(E490="Y")*(F490=F466)*(G490="Y")*(D490&lt;&gt;"")*(F490&lt;&gt;""))+((H490=H466)*(I490="Y")*(J490=J466)*(K490="Y")*(H490&lt;&gt;"")*(J490&lt;&gt;""))+((L490=L466)*(M490="Y")*(N490=N466)*(O490="Y")*(L490&lt;&gt;"")*(N490&lt;&gt;""))+((P490=P466)*(Q490="Y")*(R490=R466)*(S490="Y")*(P490&lt;&gt;"")*(R490&lt;&gt;""))),0)</f>
        <v/>
      </c>
      <c r="U490" s="49">
        <f>IFERROR(SUMPRODUCT(((D490&lt;&gt;D466)*(E490="Y")*(F490&lt;&gt;F466)*(G490="Y")*(D490&lt;&gt;"")*(F490&lt;&gt;""))+((H490&lt;&gt;H466)*(I490="Y")*(J490&lt;&gt;J466)*(K490="Y")*(H490&lt;&gt;"")*(J490&lt;&gt;""))+((L490&lt;&gt;L466)*(M490="Y")*(N490&lt;&gt;N466)*(O490="Y")*(L490&lt;&gt;"")*(N490&lt;&gt;""))+((P490&lt;&gt;P466)*(Q490="Y")*(R490&lt;&gt;R466)*(S490="Y")*(P490&lt;&gt;"")*(R490&lt;&gt;""))),0)</f>
        <v/>
      </c>
      <c r="V490" s="37">
        <f>IFERROR(SUMPRODUCT(((D490=D466)*(E490="Y")*(F490&lt;&gt;F466)*(G490="Y")*(D490&lt;&gt;"")*(F490&lt;&gt;""))+((H490=H466)*(I490="Y")*(J490&lt;&gt;J466)*(K490="Y")*(H490&lt;&gt;"")*(J490&lt;&gt;""))+((L490=L466)*(M490="Y")*(N490&lt;&gt;N466)*(O490="Y")*(L490&lt;&gt;"")*(N490&lt;&gt;""))+((P490=P466)*(Q490="Y")*(R490&lt;&gt;R466)*(S490="Y")*(P490&lt;&gt;"")*(R490&lt;&gt;""))),0)</f>
        <v/>
      </c>
      <c r="W490" s="37">
        <f>IFERROR(SUMPRODUCT(((E490="N")*(D490&lt;&gt;"")*(F490&lt;&gt;""))+((I490="N")*(H490&lt;&gt;"")*(J490&lt;&gt;""))+((M490="N")*(L490&lt;&gt;"")*(N490&lt;&gt;""))+((Q490="N")*(P490&lt;&gt;"")*(R490&lt;&gt;""))),0)</f>
        <v/>
      </c>
      <c r="X490" s="50">
        <f>IFERROR(U490/4,0)</f>
        <v/>
      </c>
    </row>
    <row r="491" ht="18" customHeight="1">
      <c r="B491" s="46">
        <f>'📥 ข้อมูลนักเรียน'!B28</f>
        <v/>
      </c>
      <c r="C491" s="47">
        <f>'📥 ข้อมูลนักเรียน'!C28</f>
        <v/>
      </c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37">
        <f>IFERROR(SUMPRODUCT(((D491=D466)*(E491="Y")*(F491=F466)*(G491="Y")*(D491&lt;&gt;"")*(F491&lt;&gt;""))+((H491=H466)*(I491="Y")*(J491=J466)*(K491="Y")*(H491&lt;&gt;"")*(J491&lt;&gt;""))+((L491=L466)*(M491="Y")*(N491=N466)*(O491="Y")*(L491&lt;&gt;"")*(N491&lt;&gt;""))+((P491=P466)*(Q491="Y")*(R491=R466)*(S491="Y")*(P491&lt;&gt;"")*(R491&lt;&gt;""))),0)</f>
        <v/>
      </c>
      <c r="U491" s="49">
        <f>IFERROR(SUMPRODUCT(((D491&lt;&gt;D466)*(E491="Y")*(F491&lt;&gt;F466)*(G491="Y")*(D491&lt;&gt;"")*(F491&lt;&gt;""))+((H491&lt;&gt;H466)*(I491="Y")*(J491&lt;&gt;J466)*(K491="Y")*(H491&lt;&gt;"")*(J491&lt;&gt;""))+((L491&lt;&gt;L466)*(M491="Y")*(N491&lt;&gt;N466)*(O491="Y")*(L491&lt;&gt;"")*(N491&lt;&gt;""))+((P491&lt;&gt;P466)*(Q491="Y")*(R491&lt;&gt;R466)*(S491="Y")*(P491&lt;&gt;"")*(R491&lt;&gt;""))),0)</f>
        <v/>
      </c>
      <c r="V491" s="37">
        <f>IFERROR(SUMPRODUCT(((D491=D466)*(E491="Y")*(F491&lt;&gt;F466)*(G491="Y")*(D491&lt;&gt;"")*(F491&lt;&gt;""))+((H491=H466)*(I491="Y")*(J491&lt;&gt;J466)*(K491="Y")*(H491&lt;&gt;"")*(J491&lt;&gt;""))+((L491=L466)*(M491="Y")*(N491&lt;&gt;N466)*(O491="Y")*(L491&lt;&gt;"")*(N491&lt;&gt;""))+((P491=P466)*(Q491="Y")*(R491&lt;&gt;R466)*(S491="Y")*(P491&lt;&gt;"")*(R491&lt;&gt;""))),0)</f>
        <v/>
      </c>
      <c r="W491" s="37">
        <f>IFERROR(SUMPRODUCT(((E491="N")*(D491&lt;&gt;"")*(F491&lt;&gt;""))+((I491="N")*(H491&lt;&gt;"")*(J491&lt;&gt;""))+((M491="N")*(L491&lt;&gt;"")*(N491&lt;&gt;""))+((Q491="N")*(P491&lt;&gt;"")*(R491&lt;&gt;""))),0)</f>
        <v/>
      </c>
      <c r="X491" s="50">
        <f>IFERROR(U491/4,0)</f>
        <v/>
      </c>
    </row>
    <row r="492" ht="18" customHeight="1">
      <c r="B492" s="46">
        <f>'📥 ข้อมูลนักเรียน'!B29</f>
        <v/>
      </c>
      <c r="C492" s="51">
        <f>'📥 ข้อมูลนักเรียน'!C29</f>
        <v/>
      </c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37">
        <f>IFERROR(SUMPRODUCT(((D492=D466)*(E492="Y")*(F492=F466)*(G492="Y")*(D492&lt;&gt;"")*(F492&lt;&gt;""))+((H492=H466)*(I492="Y")*(J492=J466)*(K492="Y")*(H492&lt;&gt;"")*(J492&lt;&gt;""))+((L492=L466)*(M492="Y")*(N492=N466)*(O492="Y")*(L492&lt;&gt;"")*(N492&lt;&gt;""))+((P492=P466)*(Q492="Y")*(R492=R466)*(S492="Y")*(P492&lt;&gt;"")*(R492&lt;&gt;""))),0)</f>
        <v/>
      </c>
      <c r="U492" s="49">
        <f>IFERROR(SUMPRODUCT(((D492&lt;&gt;D466)*(E492="Y")*(F492&lt;&gt;F466)*(G492="Y")*(D492&lt;&gt;"")*(F492&lt;&gt;""))+((H492&lt;&gt;H466)*(I492="Y")*(J492&lt;&gt;J466)*(K492="Y")*(H492&lt;&gt;"")*(J492&lt;&gt;""))+((L492&lt;&gt;L466)*(M492="Y")*(N492&lt;&gt;N466)*(O492="Y")*(L492&lt;&gt;"")*(N492&lt;&gt;""))+((P492&lt;&gt;P466)*(Q492="Y")*(R492&lt;&gt;R466)*(S492="Y")*(P492&lt;&gt;"")*(R492&lt;&gt;""))),0)</f>
        <v/>
      </c>
      <c r="V492" s="37">
        <f>IFERROR(SUMPRODUCT(((D492=D466)*(E492="Y")*(F492&lt;&gt;F466)*(G492="Y")*(D492&lt;&gt;"")*(F492&lt;&gt;""))+((H492=H466)*(I492="Y")*(J492&lt;&gt;J466)*(K492="Y")*(H492&lt;&gt;"")*(J492&lt;&gt;""))+((L492=L466)*(M492="Y")*(N492&lt;&gt;N466)*(O492="Y")*(L492&lt;&gt;"")*(N492&lt;&gt;""))+((P492=P466)*(Q492="Y")*(R492&lt;&gt;R466)*(S492="Y")*(P492&lt;&gt;"")*(R492&lt;&gt;""))),0)</f>
        <v/>
      </c>
      <c r="W492" s="37">
        <f>IFERROR(SUMPRODUCT(((E492="N")*(D492&lt;&gt;"")*(F492&lt;&gt;""))+((I492="N")*(H492&lt;&gt;"")*(J492&lt;&gt;""))+((M492="N")*(L492&lt;&gt;"")*(N492&lt;&gt;""))+((Q492="N")*(P492&lt;&gt;"")*(R492&lt;&gt;""))),0)</f>
        <v/>
      </c>
      <c r="X492" s="50">
        <f>IFERROR(U492/4,0)</f>
        <v/>
      </c>
    </row>
    <row r="493" ht="18" customHeight="1">
      <c r="B493" s="46">
        <f>'📥 ข้อมูลนักเรียน'!B30</f>
        <v/>
      </c>
      <c r="C493" s="47">
        <f>'📥 ข้อมูลนักเรียน'!C30</f>
        <v/>
      </c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37">
        <f>IFERROR(SUMPRODUCT(((D493=D466)*(E493="Y")*(F493=F466)*(G493="Y")*(D493&lt;&gt;"")*(F493&lt;&gt;""))+((H493=H466)*(I493="Y")*(J493=J466)*(K493="Y")*(H493&lt;&gt;"")*(J493&lt;&gt;""))+((L493=L466)*(M493="Y")*(N493=N466)*(O493="Y")*(L493&lt;&gt;"")*(N493&lt;&gt;""))+((P493=P466)*(Q493="Y")*(R493=R466)*(S493="Y")*(P493&lt;&gt;"")*(R493&lt;&gt;""))),0)</f>
        <v/>
      </c>
      <c r="U493" s="49">
        <f>IFERROR(SUMPRODUCT(((D493&lt;&gt;D466)*(E493="Y")*(F493&lt;&gt;F466)*(G493="Y")*(D493&lt;&gt;"")*(F493&lt;&gt;""))+((H493&lt;&gt;H466)*(I493="Y")*(J493&lt;&gt;J466)*(K493="Y")*(H493&lt;&gt;"")*(J493&lt;&gt;""))+((L493&lt;&gt;L466)*(M493="Y")*(N493&lt;&gt;N466)*(O493="Y")*(L493&lt;&gt;"")*(N493&lt;&gt;""))+((P493&lt;&gt;P466)*(Q493="Y")*(R493&lt;&gt;R466)*(S493="Y")*(P493&lt;&gt;"")*(R493&lt;&gt;""))),0)</f>
        <v/>
      </c>
      <c r="V493" s="37">
        <f>IFERROR(SUMPRODUCT(((D493=D466)*(E493="Y")*(F493&lt;&gt;F466)*(G493="Y")*(D493&lt;&gt;"")*(F493&lt;&gt;""))+((H493=H466)*(I493="Y")*(J493&lt;&gt;J466)*(K493="Y")*(H493&lt;&gt;"")*(J493&lt;&gt;""))+((L493=L466)*(M493="Y")*(N493&lt;&gt;N466)*(O493="Y")*(L493&lt;&gt;"")*(N493&lt;&gt;""))+((P493=P466)*(Q493="Y")*(R493&lt;&gt;R466)*(S493="Y")*(P493&lt;&gt;"")*(R493&lt;&gt;""))),0)</f>
        <v/>
      </c>
      <c r="W493" s="37">
        <f>IFERROR(SUMPRODUCT(((E493="N")*(D493&lt;&gt;"")*(F493&lt;&gt;""))+((I493="N")*(H493&lt;&gt;"")*(J493&lt;&gt;""))+((M493="N")*(L493&lt;&gt;"")*(N493&lt;&gt;""))+((Q493="N")*(P493&lt;&gt;"")*(R493&lt;&gt;""))),0)</f>
        <v/>
      </c>
      <c r="X493" s="50">
        <f>IFERROR(U493/4,0)</f>
        <v/>
      </c>
    </row>
    <row r="494" ht="18" customHeight="1">
      <c r="B494" s="46">
        <f>'📥 ข้อมูลนักเรียน'!B31</f>
        <v/>
      </c>
      <c r="C494" s="51">
        <f>'📥 ข้อมูลนักเรียน'!C31</f>
        <v/>
      </c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37">
        <f>IFERROR(SUMPRODUCT(((D494=D466)*(E494="Y")*(F494=F466)*(G494="Y")*(D494&lt;&gt;"")*(F494&lt;&gt;""))+((H494=H466)*(I494="Y")*(J494=J466)*(K494="Y")*(H494&lt;&gt;"")*(J494&lt;&gt;""))+((L494=L466)*(M494="Y")*(N494=N466)*(O494="Y")*(L494&lt;&gt;"")*(N494&lt;&gt;""))+((P494=P466)*(Q494="Y")*(R494=R466)*(S494="Y")*(P494&lt;&gt;"")*(R494&lt;&gt;""))),0)</f>
        <v/>
      </c>
      <c r="U494" s="49">
        <f>IFERROR(SUMPRODUCT(((D494&lt;&gt;D466)*(E494="Y")*(F494&lt;&gt;F466)*(G494="Y")*(D494&lt;&gt;"")*(F494&lt;&gt;""))+((H494&lt;&gt;H466)*(I494="Y")*(J494&lt;&gt;J466)*(K494="Y")*(H494&lt;&gt;"")*(J494&lt;&gt;""))+((L494&lt;&gt;L466)*(M494="Y")*(N494&lt;&gt;N466)*(O494="Y")*(L494&lt;&gt;"")*(N494&lt;&gt;""))+((P494&lt;&gt;P466)*(Q494="Y")*(R494&lt;&gt;R466)*(S494="Y")*(P494&lt;&gt;"")*(R494&lt;&gt;""))),0)</f>
        <v/>
      </c>
      <c r="V494" s="37">
        <f>IFERROR(SUMPRODUCT(((D494=D466)*(E494="Y")*(F494&lt;&gt;F466)*(G494="Y")*(D494&lt;&gt;"")*(F494&lt;&gt;""))+((H494=H466)*(I494="Y")*(J494&lt;&gt;J466)*(K494="Y")*(H494&lt;&gt;"")*(J494&lt;&gt;""))+((L494=L466)*(M494="Y")*(N494&lt;&gt;N466)*(O494="Y")*(L494&lt;&gt;"")*(N494&lt;&gt;""))+((P494=P466)*(Q494="Y")*(R494&lt;&gt;R466)*(S494="Y")*(P494&lt;&gt;"")*(R494&lt;&gt;""))),0)</f>
        <v/>
      </c>
      <c r="W494" s="37">
        <f>IFERROR(SUMPRODUCT(((E494="N")*(D494&lt;&gt;"")*(F494&lt;&gt;""))+((I494="N")*(H494&lt;&gt;"")*(J494&lt;&gt;""))+((M494="N")*(L494&lt;&gt;"")*(N494&lt;&gt;""))+((Q494="N")*(P494&lt;&gt;"")*(R494&lt;&gt;""))),0)</f>
        <v/>
      </c>
      <c r="X494" s="50">
        <f>IFERROR(U494/4,0)</f>
        <v/>
      </c>
    </row>
    <row r="495" ht="18" customHeight="1">
      <c r="B495" s="46">
        <f>'📥 ข้อมูลนักเรียน'!B32</f>
        <v/>
      </c>
      <c r="C495" s="47">
        <f>'📥 ข้อมูลนักเรียน'!C32</f>
        <v/>
      </c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37">
        <f>IFERROR(SUMPRODUCT(((D495=D466)*(E495="Y")*(F495=F466)*(G495="Y")*(D495&lt;&gt;"")*(F495&lt;&gt;""))+((H495=H466)*(I495="Y")*(J495=J466)*(K495="Y")*(H495&lt;&gt;"")*(J495&lt;&gt;""))+((L495=L466)*(M495="Y")*(N495=N466)*(O495="Y")*(L495&lt;&gt;"")*(N495&lt;&gt;""))+((P495=P466)*(Q495="Y")*(R495=R466)*(S495="Y")*(P495&lt;&gt;"")*(R495&lt;&gt;""))),0)</f>
        <v/>
      </c>
      <c r="U495" s="49">
        <f>IFERROR(SUMPRODUCT(((D495&lt;&gt;D466)*(E495="Y")*(F495&lt;&gt;F466)*(G495="Y")*(D495&lt;&gt;"")*(F495&lt;&gt;""))+((H495&lt;&gt;H466)*(I495="Y")*(J495&lt;&gt;J466)*(K495="Y")*(H495&lt;&gt;"")*(J495&lt;&gt;""))+((L495&lt;&gt;L466)*(M495="Y")*(N495&lt;&gt;N466)*(O495="Y")*(L495&lt;&gt;"")*(N495&lt;&gt;""))+((P495&lt;&gt;P466)*(Q495="Y")*(R495&lt;&gt;R466)*(S495="Y")*(P495&lt;&gt;"")*(R495&lt;&gt;""))),0)</f>
        <v/>
      </c>
      <c r="V495" s="37">
        <f>IFERROR(SUMPRODUCT(((D495=D466)*(E495="Y")*(F495&lt;&gt;F466)*(G495="Y")*(D495&lt;&gt;"")*(F495&lt;&gt;""))+((H495=H466)*(I495="Y")*(J495&lt;&gt;J466)*(K495="Y")*(H495&lt;&gt;"")*(J495&lt;&gt;""))+((L495=L466)*(M495="Y")*(N495&lt;&gt;N466)*(O495="Y")*(L495&lt;&gt;"")*(N495&lt;&gt;""))+((P495=P466)*(Q495="Y")*(R495&lt;&gt;R466)*(S495="Y")*(P495&lt;&gt;"")*(R495&lt;&gt;""))),0)</f>
        <v/>
      </c>
      <c r="W495" s="37">
        <f>IFERROR(SUMPRODUCT(((E495="N")*(D495&lt;&gt;"")*(F495&lt;&gt;""))+((I495="N")*(H495&lt;&gt;"")*(J495&lt;&gt;""))+((M495="N")*(L495&lt;&gt;"")*(N495&lt;&gt;""))+((Q495="N")*(P495&lt;&gt;"")*(R495&lt;&gt;""))),0)</f>
        <v/>
      </c>
      <c r="X495" s="50">
        <f>IFERROR(U495/4,0)</f>
        <v/>
      </c>
    </row>
    <row r="496" ht="18" customHeight="1">
      <c r="B496" s="46">
        <f>'📥 ข้อมูลนักเรียน'!B33</f>
        <v/>
      </c>
      <c r="C496" s="51">
        <f>'📥 ข้อมูลนักเรียน'!C33</f>
        <v/>
      </c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37">
        <f>IFERROR(SUMPRODUCT(((D496=D466)*(E496="Y")*(F496=F466)*(G496="Y")*(D496&lt;&gt;"")*(F496&lt;&gt;""))+((H496=H466)*(I496="Y")*(J496=J466)*(K496="Y")*(H496&lt;&gt;"")*(J496&lt;&gt;""))+((L496=L466)*(M496="Y")*(N496=N466)*(O496="Y")*(L496&lt;&gt;"")*(N496&lt;&gt;""))+((P496=P466)*(Q496="Y")*(R496=R466)*(S496="Y")*(P496&lt;&gt;"")*(R496&lt;&gt;""))),0)</f>
        <v/>
      </c>
      <c r="U496" s="49">
        <f>IFERROR(SUMPRODUCT(((D496&lt;&gt;D466)*(E496="Y")*(F496&lt;&gt;F466)*(G496="Y")*(D496&lt;&gt;"")*(F496&lt;&gt;""))+((H496&lt;&gt;H466)*(I496="Y")*(J496&lt;&gt;J466)*(K496="Y")*(H496&lt;&gt;"")*(J496&lt;&gt;""))+((L496&lt;&gt;L466)*(M496="Y")*(N496&lt;&gt;N466)*(O496="Y")*(L496&lt;&gt;"")*(N496&lt;&gt;""))+((P496&lt;&gt;P466)*(Q496="Y")*(R496&lt;&gt;R466)*(S496="Y")*(P496&lt;&gt;"")*(R496&lt;&gt;""))),0)</f>
        <v/>
      </c>
      <c r="V496" s="37">
        <f>IFERROR(SUMPRODUCT(((D496=D466)*(E496="Y")*(F496&lt;&gt;F466)*(G496="Y")*(D496&lt;&gt;"")*(F496&lt;&gt;""))+((H496=H466)*(I496="Y")*(J496&lt;&gt;J466)*(K496="Y")*(H496&lt;&gt;"")*(J496&lt;&gt;""))+((L496=L466)*(M496="Y")*(N496&lt;&gt;N466)*(O496="Y")*(L496&lt;&gt;"")*(N496&lt;&gt;""))+((P496=P466)*(Q496="Y")*(R496&lt;&gt;R466)*(S496="Y")*(P496&lt;&gt;"")*(R496&lt;&gt;""))),0)</f>
        <v/>
      </c>
      <c r="W496" s="37">
        <f>IFERROR(SUMPRODUCT(((E496="N")*(D496&lt;&gt;"")*(F496&lt;&gt;""))+((I496="N")*(H496&lt;&gt;"")*(J496&lt;&gt;""))+((M496="N")*(L496&lt;&gt;"")*(N496&lt;&gt;""))+((Q496="N")*(P496&lt;&gt;"")*(R496&lt;&gt;""))),0)</f>
        <v/>
      </c>
      <c r="X496" s="50">
        <f>IFERROR(U496/4,0)</f>
        <v/>
      </c>
    </row>
    <row r="497" ht="18" customHeight="1">
      <c r="B497" s="46">
        <f>'📥 ข้อมูลนักเรียน'!B34</f>
        <v/>
      </c>
      <c r="C497" s="47">
        <f>'📥 ข้อมูลนักเรียน'!C34</f>
        <v/>
      </c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37">
        <f>IFERROR(SUMPRODUCT(((D497=D466)*(E497="Y")*(F497=F466)*(G497="Y")*(D497&lt;&gt;"")*(F497&lt;&gt;""))+((H497=H466)*(I497="Y")*(J497=J466)*(K497="Y")*(H497&lt;&gt;"")*(J497&lt;&gt;""))+((L497=L466)*(M497="Y")*(N497=N466)*(O497="Y")*(L497&lt;&gt;"")*(N497&lt;&gt;""))+((P497=P466)*(Q497="Y")*(R497=R466)*(S497="Y")*(P497&lt;&gt;"")*(R497&lt;&gt;""))),0)</f>
        <v/>
      </c>
      <c r="U497" s="49">
        <f>IFERROR(SUMPRODUCT(((D497&lt;&gt;D466)*(E497="Y")*(F497&lt;&gt;F466)*(G497="Y")*(D497&lt;&gt;"")*(F497&lt;&gt;""))+((H497&lt;&gt;H466)*(I497="Y")*(J497&lt;&gt;J466)*(K497="Y")*(H497&lt;&gt;"")*(J497&lt;&gt;""))+((L497&lt;&gt;L466)*(M497="Y")*(N497&lt;&gt;N466)*(O497="Y")*(L497&lt;&gt;"")*(N497&lt;&gt;""))+((P497&lt;&gt;P466)*(Q497="Y")*(R497&lt;&gt;R466)*(S497="Y")*(P497&lt;&gt;"")*(R497&lt;&gt;""))),0)</f>
        <v/>
      </c>
      <c r="V497" s="37">
        <f>IFERROR(SUMPRODUCT(((D497=D466)*(E497="Y")*(F497&lt;&gt;F466)*(G497="Y")*(D497&lt;&gt;"")*(F497&lt;&gt;""))+((H497=H466)*(I497="Y")*(J497&lt;&gt;J466)*(K497="Y")*(H497&lt;&gt;"")*(J497&lt;&gt;""))+((L497=L466)*(M497="Y")*(N497&lt;&gt;N466)*(O497="Y")*(L497&lt;&gt;"")*(N497&lt;&gt;""))+((P497=P466)*(Q497="Y")*(R497&lt;&gt;R466)*(S497="Y")*(P497&lt;&gt;"")*(R497&lt;&gt;""))),0)</f>
        <v/>
      </c>
      <c r="W497" s="37">
        <f>IFERROR(SUMPRODUCT(((E497="N")*(D497&lt;&gt;"")*(F497&lt;&gt;""))+((I497="N")*(H497&lt;&gt;"")*(J497&lt;&gt;""))+((M497="N")*(L497&lt;&gt;"")*(N497&lt;&gt;""))+((Q497="N")*(P497&lt;&gt;"")*(R497&lt;&gt;""))),0)</f>
        <v/>
      </c>
      <c r="X497" s="50">
        <f>IFERROR(U497/4,0)</f>
        <v/>
      </c>
    </row>
    <row r="498" ht="18" customHeight="1">
      <c r="B498" s="46">
        <f>'📥 ข้อมูลนักเรียน'!B35</f>
        <v/>
      </c>
      <c r="C498" s="51">
        <f>'📥 ข้อมูลนักเรียน'!C35</f>
        <v/>
      </c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37">
        <f>IFERROR(SUMPRODUCT(((D498=D466)*(E498="Y")*(F498=F466)*(G498="Y")*(D498&lt;&gt;"")*(F498&lt;&gt;""))+((H498=H466)*(I498="Y")*(J498=J466)*(K498="Y")*(H498&lt;&gt;"")*(J498&lt;&gt;""))+((L498=L466)*(M498="Y")*(N498=N466)*(O498="Y")*(L498&lt;&gt;"")*(N498&lt;&gt;""))+((P498=P466)*(Q498="Y")*(R498=R466)*(S498="Y")*(P498&lt;&gt;"")*(R498&lt;&gt;""))),0)</f>
        <v/>
      </c>
      <c r="U498" s="49">
        <f>IFERROR(SUMPRODUCT(((D498&lt;&gt;D466)*(E498="Y")*(F498&lt;&gt;F466)*(G498="Y")*(D498&lt;&gt;"")*(F498&lt;&gt;""))+((H498&lt;&gt;H466)*(I498="Y")*(J498&lt;&gt;J466)*(K498="Y")*(H498&lt;&gt;"")*(J498&lt;&gt;""))+((L498&lt;&gt;L466)*(M498="Y")*(N498&lt;&gt;N466)*(O498="Y")*(L498&lt;&gt;"")*(N498&lt;&gt;""))+((P498&lt;&gt;P466)*(Q498="Y")*(R498&lt;&gt;R466)*(S498="Y")*(P498&lt;&gt;"")*(R498&lt;&gt;""))),0)</f>
        <v/>
      </c>
      <c r="V498" s="37">
        <f>IFERROR(SUMPRODUCT(((D498=D466)*(E498="Y")*(F498&lt;&gt;F466)*(G498="Y")*(D498&lt;&gt;"")*(F498&lt;&gt;""))+((H498=H466)*(I498="Y")*(J498&lt;&gt;J466)*(K498="Y")*(H498&lt;&gt;"")*(J498&lt;&gt;""))+((L498=L466)*(M498="Y")*(N498&lt;&gt;N466)*(O498="Y")*(L498&lt;&gt;"")*(N498&lt;&gt;""))+((P498=P466)*(Q498="Y")*(R498&lt;&gt;R466)*(S498="Y")*(P498&lt;&gt;"")*(R498&lt;&gt;""))),0)</f>
        <v/>
      </c>
      <c r="W498" s="37">
        <f>IFERROR(SUMPRODUCT(((E498="N")*(D498&lt;&gt;"")*(F498&lt;&gt;""))+((I498="N")*(H498&lt;&gt;"")*(J498&lt;&gt;""))+((M498="N")*(L498&lt;&gt;"")*(N498&lt;&gt;""))+((Q498="N")*(P498&lt;&gt;"")*(R498&lt;&gt;""))),0)</f>
        <v/>
      </c>
      <c r="X498" s="50">
        <f>IFERROR(U498/4,0)</f>
        <v/>
      </c>
    </row>
    <row r="499" ht="18" customHeight="1">
      <c r="B499" s="46">
        <f>'📥 ข้อมูลนักเรียน'!B36</f>
        <v/>
      </c>
      <c r="C499" s="47">
        <f>'📥 ข้อมูลนักเรียน'!C36</f>
        <v/>
      </c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37">
        <f>IFERROR(SUMPRODUCT(((D499=D466)*(E499="Y")*(F499=F466)*(G499="Y")*(D499&lt;&gt;"")*(F499&lt;&gt;""))+((H499=H466)*(I499="Y")*(J499=J466)*(K499="Y")*(H499&lt;&gt;"")*(J499&lt;&gt;""))+((L499=L466)*(M499="Y")*(N499=N466)*(O499="Y")*(L499&lt;&gt;"")*(N499&lt;&gt;""))+((P499=P466)*(Q499="Y")*(R499=R466)*(S499="Y")*(P499&lt;&gt;"")*(R499&lt;&gt;""))),0)</f>
        <v/>
      </c>
      <c r="U499" s="49">
        <f>IFERROR(SUMPRODUCT(((D499&lt;&gt;D466)*(E499="Y")*(F499&lt;&gt;F466)*(G499="Y")*(D499&lt;&gt;"")*(F499&lt;&gt;""))+((H499&lt;&gt;H466)*(I499="Y")*(J499&lt;&gt;J466)*(K499="Y")*(H499&lt;&gt;"")*(J499&lt;&gt;""))+((L499&lt;&gt;L466)*(M499="Y")*(N499&lt;&gt;N466)*(O499="Y")*(L499&lt;&gt;"")*(N499&lt;&gt;""))+((P499&lt;&gt;P466)*(Q499="Y")*(R499&lt;&gt;R466)*(S499="Y")*(P499&lt;&gt;"")*(R499&lt;&gt;""))),0)</f>
        <v/>
      </c>
      <c r="V499" s="37">
        <f>IFERROR(SUMPRODUCT(((D499=D466)*(E499="Y")*(F499&lt;&gt;F466)*(G499="Y")*(D499&lt;&gt;"")*(F499&lt;&gt;""))+((H499=H466)*(I499="Y")*(J499&lt;&gt;J466)*(K499="Y")*(H499&lt;&gt;"")*(J499&lt;&gt;""))+((L499=L466)*(M499="Y")*(N499&lt;&gt;N466)*(O499="Y")*(L499&lt;&gt;"")*(N499&lt;&gt;""))+((P499=P466)*(Q499="Y")*(R499&lt;&gt;R466)*(S499="Y")*(P499&lt;&gt;"")*(R499&lt;&gt;""))),0)</f>
        <v/>
      </c>
      <c r="W499" s="37">
        <f>IFERROR(SUMPRODUCT(((E499="N")*(D499&lt;&gt;"")*(F499&lt;&gt;""))+((I499="N")*(H499&lt;&gt;"")*(J499&lt;&gt;""))+((M499="N")*(L499&lt;&gt;"")*(N499&lt;&gt;""))+((Q499="N")*(P499&lt;&gt;"")*(R499&lt;&gt;""))),0)</f>
        <v/>
      </c>
      <c r="X499" s="50">
        <f>IFERROR(U499/4,0)</f>
        <v/>
      </c>
    </row>
    <row r="500" ht="18" customHeight="1">
      <c r="B500" s="46">
        <f>'📥 ข้อมูลนักเรียน'!B37</f>
        <v/>
      </c>
      <c r="C500" s="51">
        <f>'📥 ข้อมูลนักเรียน'!C37</f>
        <v/>
      </c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37">
        <f>IFERROR(SUMPRODUCT(((D500=D466)*(E500="Y")*(F500=F466)*(G500="Y")*(D500&lt;&gt;"")*(F500&lt;&gt;""))+((H500=H466)*(I500="Y")*(J500=J466)*(K500="Y")*(H500&lt;&gt;"")*(J500&lt;&gt;""))+((L500=L466)*(M500="Y")*(N500=N466)*(O500="Y")*(L500&lt;&gt;"")*(N500&lt;&gt;""))+((P500=P466)*(Q500="Y")*(R500=R466)*(S500="Y")*(P500&lt;&gt;"")*(R500&lt;&gt;""))),0)</f>
        <v/>
      </c>
      <c r="U500" s="49">
        <f>IFERROR(SUMPRODUCT(((D500&lt;&gt;D466)*(E500="Y")*(F500&lt;&gt;F466)*(G500="Y")*(D500&lt;&gt;"")*(F500&lt;&gt;""))+((H500&lt;&gt;H466)*(I500="Y")*(J500&lt;&gt;J466)*(K500="Y")*(H500&lt;&gt;"")*(J500&lt;&gt;""))+((L500&lt;&gt;L466)*(M500="Y")*(N500&lt;&gt;N466)*(O500="Y")*(L500&lt;&gt;"")*(N500&lt;&gt;""))+((P500&lt;&gt;P466)*(Q500="Y")*(R500&lt;&gt;R466)*(S500="Y")*(P500&lt;&gt;"")*(R500&lt;&gt;""))),0)</f>
        <v/>
      </c>
      <c r="V500" s="37">
        <f>IFERROR(SUMPRODUCT(((D500=D466)*(E500="Y")*(F500&lt;&gt;F466)*(G500="Y")*(D500&lt;&gt;"")*(F500&lt;&gt;""))+((H500=H466)*(I500="Y")*(J500&lt;&gt;J466)*(K500="Y")*(H500&lt;&gt;"")*(J500&lt;&gt;""))+((L500=L466)*(M500="Y")*(N500&lt;&gt;N466)*(O500="Y")*(L500&lt;&gt;"")*(N500&lt;&gt;""))+((P500=P466)*(Q500="Y")*(R500&lt;&gt;R466)*(S500="Y")*(P500&lt;&gt;"")*(R500&lt;&gt;""))),0)</f>
        <v/>
      </c>
      <c r="W500" s="37">
        <f>IFERROR(SUMPRODUCT(((E500="N")*(D500&lt;&gt;"")*(F500&lt;&gt;""))+((I500="N")*(H500&lt;&gt;"")*(J500&lt;&gt;""))+((M500="N")*(L500&lt;&gt;"")*(N500&lt;&gt;""))+((Q500="N")*(P500&lt;&gt;"")*(R500&lt;&gt;""))),0)</f>
        <v/>
      </c>
      <c r="X500" s="50">
        <f>IFERROR(U500/4,0)</f>
        <v/>
      </c>
    </row>
    <row r="501" ht="18" customHeight="1">
      <c r="B501" s="46">
        <f>'📥 ข้อมูลนักเรียน'!B38</f>
        <v/>
      </c>
      <c r="C501" s="47">
        <f>'📥 ข้อมูลนักเรียน'!C38</f>
        <v/>
      </c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37">
        <f>IFERROR(SUMPRODUCT(((D501=D466)*(E501="Y")*(F501=F466)*(G501="Y")*(D501&lt;&gt;"")*(F501&lt;&gt;""))+((H501=H466)*(I501="Y")*(J501=J466)*(K501="Y")*(H501&lt;&gt;"")*(J501&lt;&gt;""))+((L501=L466)*(M501="Y")*(N501=N466)*(O501="Y")*(L501&lt;&gt;"")*(N501&lt;&gt;""))+((P501=P466)*(Q501="Y")*(R501=R466)*(S501="Y")*(P501&lt;&gt;"")*(R501&lt;&gt;""))),0)</f>
        <v/>
      </c>
      <c r="U501" s="49">
        <f>IFERROR(SUMPRODUCT(((D501&lt;&gt;D466)*(E501="Y")*(F501&lt;&gt;F466)*(G501="Y")*(D501&lt;&gt;"")*(F501&lt;&gt;""))+((H501&lt;&gt;H466)*(I501="Y")*(J501&lt;&gt;J466)*(K501="Y")*(H501&lt;&gt;"")*(J501&lt;&gt;""))+((L501&lt;&gt;L466)*(M501="Y")*(N501&lt;&gt;N466)*(O501="Y")*(L501&lt;&gt;"")*(N501&lt;&gt;""))+((P501&lt;&gt;P466)*(Q501="Y")*(R501&lt;&gt;R466)*(S501="Y")*(P501&lt;&gt;"")*(R501&lt;&gt;""))),0)</f>
        <v/>
      </c>
      <c r="V501" s="37">
        <f>IFERROR(SUMPRODUCT(((D501=D466)*(E501="Y")*(F501&lt;&gt;F466)*(G501="Y")*(D501&lt;&gt;"")*(F501&lt;&gt;""))+((H501=H466)*(I501="Y")*(J501&lt;&gt;J466)*(K501="Y")*(H501&lt;&gt;"")*(J501&lt;&gt;""))+((L501=L466)*(M501="Y")*(N501&lt;&gt;N466)*(O501="Y")*(L501&lt;&gt;"")*(N501&lt;&gt;""))+((P501=P466)*(Q501="Y")*(R501&lt;&gt;R466)*(S501="Y")*(P501&lt;&gt;"")*(R501&lt;&gt;""))),0)</f>
        <v/>
      </c>
      <c r="W501" s="37">
        <f>IFERROR(SUMPRODUCT(((E501="N")*(D501&lt;&gt;"")*(F501&lt;&gt;""))+((I501="N")*(H501&lt;&gt;"")*(J501&lt;&gt;""))+((M501="N")*(L501&lt;&gt;"")*(N501&lt;&gt;""))+((Q501="N")*(P501&lt;&gt;"")*(R501&lt;&gt;""))),0)</f>
        <v/>
      </c>
      <c r="X501" s="50">
        <f>IFERROR(U501/4,0)</f>
        <v/>
      </c>
    </row>
    <row r="502" ht="24" customHeight="1">
      <c r="B502" s="240" t="inlineStr">
        <is>
          <t>สรุป Pre แผน 7</t>
        </is>
      </c>
      <c r="C502" s="369" t="n"/>
      <c r="T502" s="52">
        <f>IFERROR(AVERAGE(T467:T501)*4,0)</f>
        <v/>
      </c>
      <c r="U502" s="53">
        <f>IFERROR(AVERAGE(U467:U501)*4,0)</f>
        <v/>
      </c>
      <c r="V502" s="54">
        <f>IFERROR(AVERAGE(V467:V501)*4,0)</f>
        <v/>
      </c>
      <c r="W502" s="55">
        <f>IFERROR(AVERAGE(W467:W501)*4,0)</f>
        <v/>
      </c>
      <c r="X502" s="56">
        <f>IFERROR(AVERAGE(X467:X501),0)</f>
        <v/>
      </c>
    </row>
    <row r="503" ht="19.5" customHeight="1">
      <c r="B503" s="241" t="inlineStr">
        <is>
          <t>🟢 POST-test — หลังสอน  (แผน 7 ข้อ 25–28)</t>
        </is>
      </c>
    </row>
    <row r="504" ht="27.75" customHeight="1">
      <c r="B504" s="27" t="inlineStr">
        <is>
          <t>ที่</t>
        </is>
      </c>
      <c r="C504" s="27" t="inlineStr">
        <is>
          <t>ชื่อนักเรียน</t>
        </is>
      </c>
      <c r="D504" s="242" t="inlineStr">
        <is>
          <t>ข้อ 25</t>
        </is>
      </c>
      <c r="E504" s="369" t="n"/>
      <c r="F504" s="369" t="n"/>
      <c r="G504" s="369" t="n"/>
      <c r="H504" s="242" t="inlineStr">
        <is>
          <t>ข้อ 26</t>
        </is>
      </c>
      <c r="I504" s="369" t="n"/>
      <c r="J504" s="369" t="n"/>
      <c r="K504" s="369" t="n"/>
      <c r="L504" s="242" t="inlineStr">
        <is>
          <t>ข้อ 27</t>
        </is>
      </c>
      <c r="M504" s="369" t="n"/>
      <c r="N504" s="369" t="n"/>
      <c r="O504" s="369" t="n"/>
      <c r="P504" s="242" t="inlineStr">
        <is>
          <t>ข้อ 28</t>
        </is>
      </c>
      <c r="Q504" s="369" t="n"/>
      <c r="R504" s="369" t="n"/>
      <c r="S504" s="369" t="n"/>
      <c r="T504" s="57" t="inlineStr">
        <is>
          <t>Sound
✅</t>
        </is>
      </c>
      <c r="U504" s="57" t="inlineStr">
        <is>
          <t>Misc
❌</t>
        </is>
      </c>
      <c r="V504" s="57" t="inlineStr">
        <is>
          <t>Guess
🎲</t>
        </is>
      </c>
      <c r="W504" s="57" t="inlineStr">
        <is>
          <t>NoK
❓</t>
        </is>
      </c>
      <c r="X504" s="57" t="inlineStr">
        <is>
          <t>% Misc
(Auto)</t>
        </is>
      </c>
    </row>
    <row r="505" ht="27.75" customHeight="1">
      <c r="B505" s="58" t="n"/>
      <c r="C505" s="59" t="inlineStr">
        <is>
          <t>← กรอกเฉลย T1 และ T3</t>
        </is>
      </c>
      <c r="D505" s="60" t="inlineStr">
        <is>
          <t>T1
(ก-ง)</t>
        </is>
      </c>
      <c r="E505" s="60" t="inlineStr">
        <is>
          <t>T2
(Y/N)</t>
        </is>
      </c>
      <c r="F505" s="60" t="inlineStr">
        <is>
          <t>T3
(ก-ง)</t>
        </is>
      </c>
      <c r="G505" s="60" t="inlineStr">
        <is>
          <t>T4
(Y/N)</t>
        </is>
      </c>
      <c r="H505" s="60" t="inlineStr">
        <is>
          <t>T1
(ก-ง)</t>
        </is>
      </c>
      <c r="I505" s="60" t="inlineStr">
        <is>
          <t>T2
(Y/N)</t>
        </is>
      </c>
      <c r="J505" s="60" t="inlineStr">
        <is>
          <t>T3
(ก-ง)</t>
        </is>
      </c>
      <c r="K505" s="60" t="inlineStr">
        <is>
          <t>T4
(Y/N)</t>
        </is>
      </c>
      <c r="L505" s="60" t="inlineStr">
        <is>
          <t>T1
(ก-ง)</t>
        </is>
      </c>
      <c r="M505" s="60" t="inlineStr">
        <is>
          <t>T2
(Y/N)</t>
        </is>
      </c>
      <c r="N505" s="60" t="inlineStr">
        <is>
          <t>T3
(ก-ง)</t>
        </is>
      </c>
      <c r="O505" s="60" t="inlineStr">
        <is>
          <t>T4
(Y/N)</t>
        </is>
      </c>
      <c r="P505" s="60" t="inlineStr">
        <is>
          <t>T1
(ก-ง)</t>
        </is>
      </c>
      <c r="Q505" s="60" t="inlineStr">
        <is>
          <t>T2
(Y/N)</t>
        </is>
      </c>
      <c r="R505" s="60" t="inlineStr">
        <is>
          <t>T3
(ก-ง)</t>
        </is>
      </c>
      <c r="S505" s="60" t="inlineStr">
        <is>
          <t>T4
(Y/N)</t>
        </is>
      </c>
      <c r="T505" s="61" t="inlineStr">
        <is>
          <t>—</t>
        </is>
      </c>
      <c r="U505" s="61" t="inlineStr">
        <is>
          <t>—</t>
        </is>
      </c>
      <c r="V505" s="61" t="inlineStr">
        <is>
          <t>—</t>
        </is>
      </c>
      <c r="W505" s="61" t="inlineStr">
        <is>
          <t>—</t>
        </is>
      </c>
      <c r="X505" s="61" t="inlineStr">
        <is>
          <t>—</t>
        </is>
      </c>
    </row>
    <row r="506" ht="18" customHeight="1">
      <c r="B506" s="44" t="inlineStr">
        <is>
          <t>KEY</t>
        </is>
      </c>
      <c r="C506" s="45" t="inlineStr">
        <is>
          <t>← กรอกเฉลยที่ถูกต้อง</t>
        </is>
      </c>
      <c r="D506" s="9" t="n"/>
      <c r="E506" s="21" t="inlineStr">
        <is>
          <t>—</t>
        </is>
      </c>
      <c r="F506" s="9" t="n"/>
      <c r="G506" s="21" t="inlineStr">
        <is>
          <t>—</t>
        </is>
      </c>
      <c r="H506" s="9" t="n"/>
      <c r="I506" s="21" t="inlineStr">
        <is>
          <t>—</t>
        </is>
      </c>
      <c r="J506" s="9" t="n"/>
      <c r="K506" s="21" t="inlineStr">
        <is>
          <t>—</t>
        </is>
      </c>
      <c r="L506" s="9" t="n"/>
      <c r="M506" s="21" t="inlineStr">
        <is>
          <t>—</t>
        </is>
      </c>
      <c r="N506" s="9" t="n"/>
      <c r="O506" s="21" t="inlineStr">
        <is>
          <t>—</t>
        </is>
      </c>
      <c r="P506" s="9" t="n"/>
      <c r="Q506" s="21" t="inlineStr">
        <is>
          <t>—</t>
        </is>
      </c>
      <c r="R506" s="9" t="n"/>
      <c r="S506" s="21" t="inlineStr">
        <is>
          <t>—</t>
        </is>
      </c>
      <c r="T506" s="21" t="inlineStr">
        <is>
          <t>—</t>
        </is>
      </c>
      <c r="U506" s="21" t="inlineStr">
        <is>
          <t>—</t>
        </is>
      </c>
      <c r="V506" s="21" t="inlineStr">
        <is>
          <t>—</t>
        </is>
      </c>
      <c r="W506" s="21" t="inlineStr">
        <is>
          <t>—</t>
        </is>
      </c>
      <c r="X506" s="21" t="inlineStr">
        <is>
          <t>—</t>
        </is>
      </c>
    </row>
    <row r="507" ht="18" customHeight="1">
      <c r="B507" s="46">
        <f>'📥 ข้อมูลนักเรียน'!B4</f>
        <v/>
      </c>
      <c r="C507" s="47">
        <f>'📥 ข้อมูลนักเรียน'!C4</f>
        <v/>
      </c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37">
        <f>IFERROR(SUMPRODUCT(((D507=D506)*(E507="Y")*(F507=F506)*(G507="Y")*(D507&lt;&gt;"")* (F507&lt;&gt;""))+((H507=H506)*(I507="Y")*(J507=J506)*(K507="Y")*(H507&lt;&gt;"")* (J507&lt;&gt;""))+((L507=L506)*(M507="Y")*(N507=N506)*(O507="Y")*(L507&lt;&gt;"")* (N507&lt;&gt;""))+((P507=P506)*(Q507="Y")*(R507=R506)*(S507="Y")*(P507&lt;&gt;"")* (R507&lt;&gt;""))),0)</f>
        <v/>
      </c>
      <c r="U507" s="49">
        <f>IFERROR(SUMPRODUCT(((D507&lt;&gt;D506)*(E507="Y")*(F507&lt;&gt;F506)*(G507="Y")*(D507&lt;&gt;"")* (F507&lt;&gt;""))+((H507&lt;&gt;H506)*(I507="Y")*(J507&lt;&gt;J506)*(K507="Y")*(H507&lt;&gt;"")* (J507&lt;&gt;""))+((L507&lt;&gt;L506)*(M507="Y")*(N507&lt;&gt;N506)*(O507="Y")*(L507&lt;&gt;"")* (N507&lt;&gt;""))+((P507&lt;&gt;P506)*(Q507="Y")*(R507&lt;&gt;R506)*(S507="Y")*(P507&lt;&gt;"")* (R507&lt;&gt;""))),0)</f>
        <v/>
      </c>
      <c r="V507" s="37">
        <f>IFERROR(SUMPRODUCT(((D507=D506)*(E507="Y")*(F507&lt;&gt;F506)*(G507="Y")*(D507&lt;&gt;"")* (F507&lt;&gt;""))+((H507=H506)*(I507="Y")*(J507&lt;&gt;J506)*(K507="Y")*(H507&lt;&gt;"")* (J507&lt;&gt;""))+((L507=L506)*(M507="Y")*(N507&lt;&gt;N506)*(O507="Y")*(L507&lt;&gt;"")* (N507&lt;&gt;""))+((P507=P506)*(Q507="Y")*(R507&lt;&gt;R506)*(S507="Y")*(P507&lt;&gt;"")* (R507&lt;&gt;""))),0)</f>
        <v/>
      </c>
      <c r="W507" s="37">
        <f>IFERROR(SUMPRODUCT(((E507="N")*(D507&lt;&gt;"")* (F507&lt;&gt;""))+((I507="N")*(H507&lt;&gt;"")* (J507&lt;&gt;""))+((M507="N")*(L507&lt;&gt;"")* (N507&lt;&gt;""))+((Q507="N")*(P507&lt;&gt;"")* (R507&lt;&gt;""))),0)</f>
        <v/>
      </c>
      <c r="X507" s="50">
        <f>IFERROR(U507/4,0)</f>
        <v/>
      </c>
    </row>
    <row r="508" ht="18" customHeight="1">
      <c r="B508" s="46">
        <f>'📥 ข้อมูลนักเรียน'!B5</f>
        <v/>
      </c>
      <c r="C508" s="51">
        <f>'📥 ข้อมูลนักเรียน'!C5</f>
        <v/>
      </c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37">
        <f>IFERROR(SUMPRODUCT(((D508=D506)*(E508="Y")*(F508=F506)*(G508="Y")*(D508&lt;&gt;"")* (F508&lt;&gt;""))+((H508=H506)*(I508="Y")*(J508=J506)*(K508="Y")*(H508&lt;&gt;"")* (J508&lt;&gt;""))+((L508=L506)*(M508="Y")*(N508=N506)*(O508="Y")*(L508&lt;&gt;"")* (N508&lt;&gt;""))+((P508=P506)*(Q508="Y")*(R508=R506)*(S508="Y")*(P508&lt;&gt;"")* (R508&lt;&gt;""))),0)</f>
        <v/>
      </c>
      <c r="U508" s="49">
        <f>IFERROR(SUMPRODUCT(((D508&lt;&gt;D506)*(E508="Y")*(F508&lt;&gt;F506)*(G508="Y")*(D508&lt;&gt;"")* (F508&lt;&gt;""))+((H508&lt;&gt;H506)*(I508="Y")*(J508&lt;&gt;J506)*(K508="Y")*(H508&lt;&gt;"")* (J508&lt;&gt;""))+((L508&lt;&gt;L506)*(M508="Y")*(N508&lt;&gt;N506)*(O508="Y")*(L508&lt;&gt;"")* (N508&lt;&gt;""))+((P508&lt;&gt;P506)*(Q508="Y")*(R508&lt;&gt;R506)*(S508="Y")*(P508&lt;&gt;"")* (R508&lt;&gt;""))),0)</f>
        <v/>
      </c>
      <c r="V508" s="37">
        <f>IFERROR(SUMPRODUCT(((D508=D506)*(E508="Y")*(F508&lt;&gt;F506)*(G508="Y")*(D508&lt;&gt;"")* (F508&lt;&gt;""))+((H508=H506)*(I508="Y")*(J508&lt;&gt;J506)*(K508="Y")*(H508&lt;&gt;"")* (J508&lt;&gt;""))+((L508=L506)*(M508="Y")*(N508&lt;&gt;N506)*(O508="Y")*(L508&lt;&gt;"")* (N508&lt;&gt;""))+((P508=P506)*(Q508="Y")*(R508&lt;&gt;R506)*(S508="Y")*(P508&lt;&gt;"")* (R508&lt;&gt;""))),0)</f>
        <v/>
      </c>
      <c r="W508" s="37">
        <f>IFERROR(SUMPRODUCT(((E508="N")*(D508&lt;&gt;"")* (F508&lt;&gt;""))+((I508="N")*(H508&lt;&gt;"")* (J508&lt;&gt;""))+((M508="N")*(L508&lt;&gt;"")* (N508&lt;&gt;""))+((Q508="N")*(P508&lt;&gt;"")* (R508&lt;&gt;""))),0)</f>
        <v/>
      </c>
      <c r="X508" s="50">
        <f>IFERROR(U508/4,0)</f>
        <v/>
      </c>
    </row>
    <row r="509" ht="18" customHeight="1">
      <c r="B509" s="46">
        <f>'📥 ข้อมูลนักเรียน'!B6</f>
        <v/>
      </c>
      <c r="C509" s="47">
        <f>'📥 ข้อมูลนักเรียน'!C6</f>
        <v/>
      </c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37">
        <f>IFERROR(SUMPRODUCT(((D509=D506)*(E509="Y")*(F509=F506)*(G509="Y")*(D509&lt;&gt;"")* (F509&lt;&gt;""))+((H509=H506)*(I509="Y")*(J509=J506)*(K509="Y")*(H509&lt;&gt;"")* (J509&lt;&gt;""))+((L509=L506)*(M509="Y")*(N509=N506)*(O509="Y")*(L509&lt;&gt;"")* (N509&lt;&gt;""))+((P509=P506)*(Q509="Y")*(R509=R506)*(S509="Y")*(P509&lt;&gt;"")* (R509&lt;&gt;""))),0)</f>
        <v/>
      </c>
      <c r="U509" s="49">
        <f>IFERROR(SUMPRODUCT(((D509&lt;&gt;D506)*(E509="Y")*(F509&lt;&gt;F506)*(G509="Y")*(D509&lt;&gt;"")* (F509&lt;&gt;""))+((H509&lt;&gt;H506)*(I509="Y")*(J509&lt;&gt;J506)*(K509="Y")*(H509&lt;&gt;"")* (J509&lt;&gt;""))+((L509&lt;&gt;L506)*(M509="Y")*(N509&lt;&gt;N506)*(O509="Y")*(L509&lt;&gt;"")* (N509&lt;&gt;""))+((P509&lt;&gt;P506)*(Q509="Y")*(R509&lt;&gt;R506)*(S509="Y")*(P509&lt;&gt;"")* (R509&lt;&gt;""))),0)</f>
        <v/>
      </c>
      <c r="V509" s="37">
        <f>IFERROR(SUMPRODUCT(((D509=D506)*(E509="Y")*(F509&lt;&gt;F506)*(G509="Y")*(D509&lt;&gt;"")* (F509&lt;&gt;""))+((H509=H506)*(I509="Y")*(J509&lt;&gt;J506)*(K509="Y")*(H509&lt;&gt;"")* (J509&lt;&gt;""))+((L509=L506)*(M509="Y")*(N509&lt;&gt;N506)*(O509="Y")*(L509&lt;&gt;"")* (N509&lt;&gt;""))+((P509=P506)*(Q509="Y")*(R509&lt;&gt;R506)*(S509="Y")*(P509&lt;&gt;"")* (R509&lt;&gt;""))),0)</f>
        <v/>
      </c>
      <c r="W509" s="37">
        <f>IFERROR(SUMPRODUCT(((E509="N")*(D509&lt;&gt;"")* (F509&lt;&gt;""))+((I509="N")*(H509&lt;&gt;"")* (J509&lt;&gt;""))+((M509="N")*(L509&lt;&gt;"")* (N509&lt;&gt;""))+((Q509="N")*(P509&lt;&gt;"")* (R509&lt;&gt;""))),0)</f>
        <v/>
      </c>
      <c r="X509" s="50">
        <f>IFERROR(U509/4,0)</f>
        <v/>
      </c>
    </row>
    <row r="510" ht="18" customHeight="1">
      <c r="B510" s="46">
        <f>'📥 ข้อมูลนักเรียน'!B7</f>
        <v/>
      </c>
      <c r="C510" s="51">
        <f>'📥 ข้อมูลนักเรียน'!C7</f>
        <v/>
      </c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37">
        <f>IFERROR(SUMPRODUCT(((D510=D506)*(E510="Y")*(F510=F506)*(G510="Y")*(D510&lt;&gt;"")* (F510&lt;&gt;""))+((H510=H506)*(I510="Y")*(J510=J506)*(K510="Y")*(H510&lt;&gt;"")* (J510&lt;&gt;""))+((L510=L506)*(M510="Y")*(N510=N506)*(O510="Y")*(L510&lt;&gt;"")* (N510&lt;&gt;""))+((P510=P506)*(Q510="Y")*(R510=R506)*(S510="Y")*(P510&lt;&gt;"")* (R510&lt;&gt;""))),0)</f>
        <v/>
      </c>
      <c r="U510" s="49">
        <f>IFERROR(SUMPRODUCT(((D510&lt;&gt;D506)*(E510="Y")*(F510&lt;&gt;F506)*(G510="Y")*(D510&lt;&gt;"")* (F510&lt;&gt;""))+((H510&lt;&gt;H506)*(I510="Y")*(J510&lt;&gt;J506)*(K510="Y")*(H510&lt;&gt;"")* (J510&lt;&gt;""))+((L510&lt;&gt;L506)*(M510="Y")*(N510&lt;&gt;N506)*(O510="Y")*(L510&lt;&gt;"")* (N510&lt;&gt;""))+((P510&lt;&gt;P506)*(Q510="Y")*(R510&lt;&gt;R506)*(S510="Y")*(P510&lt;&gt;"")* (R510&lt;&gt;""))),0)</f>
        <v/>
      </c>
      <c r="V510" s="37">
        <f>IFERROR(SUMPRODUCT(((D510=D506)*(E510="Y")*(F510&lt;&gt;F506)*(G510="Y")*(D510&lt;&gt;"")* (F510&lt;&gt;""))+((H510=H506)*(I510="Y")*(J510&lt;&gt;J506)*(K510="Y")*(H510&lt;&gt;"")* (J510&lt;&gt;""))+((L510=L506)*(M510="Y")*(N510&lt;&gt;N506)*(O510="Y")*(L510&lt;&gt;"")* (N510&lt;&gt;""))+((P510=P506)*(Q510="Y")*(R510&lt;&gt;R506)*(S510="Y")*(P510&lt;&gt;"")* (R510&lt;&gt;""))),0)</f>
        <v/>
      </c>
      <c r="W510" s="37">
        <f>IFERROR(SUMPRODUCT(((E510="N")*(D510&lt;&gt;"")* (F510&lt;&gt;""))+((I510="N")*(H510&lt;&gt;"")* (J510&lt;&gt;""))+((M510="N")*(L510&lt;&gt;"")* (N510&lt;&gt;""))+((Q510="N")*(P510&lt;&gt;"")* (R510&lt;&gt;""))),0)</f>
        <v/>
      </c>
      <c r="X510" s="50">
        <f>IFERROR(U510/4,0)</f>
        <v/>
      </c>
    </row>
    <row r="511" ht="18" customHeight="1">
      <c r="B511" s="46">
        <f>'📥 ข้อมูลนักเรียน'!B8</f>
        <v/>
      </c>
      <c r="C511" s="47">
        <f>'📥 ข้อมูลนักเรียน'!C8</f>
        <v/>
      </c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37">
        <f>IFERROR(SUMPRODUCT(((D511=D506)*(E511="Y")*(F511=F506)*(G511="Y")*(D511&lt;&gt;"")* (F511&lt;&gt;""))+((H511=H506)*(I511="Y")*(J511=J506)*(K511="Y")*(H511&lt;&gt;"")* (J511&lt;&gt;""))+((L511=L506)*(M511="Y")*(N511=N506)*(O511="Y")*(L511&lt;&gt;"")* (N511&lt;&gt;""))+((P511=P506)*(Q511="Y")*(R511=R506)*(S511="Y")*(P511&lt;&gt;"")* (R511&lt;&gt;""))),0)</f>
        <v/>
      </c>
      <c r="U511" s="49">
        <f>IFERROR(SUMPRODUCT(((D511&lt;&gt;D506)*(E511="Y")*(F511&lt;&gt;F506)*(G511="Y")*(D511&lt;&gt;"")* (F511&lt;&gt;""))+((H511&lt;&gt;H506)*(I511="Y")*(J511&lt;&gt;J506)*(K511="Y")*(H511&lt;&gt;"")* (J511&lt;&gt;""))+((L511&lt;&gt;L506)*(M511="Y")*(N511&lt;&gt;N506)*(O511="Y")*(L511&lt;&gt;"")* (N511&lt;&gt;""))+((P511&lt;&gt;P506)*(Q511="Y")*(R511&lt;&gt;R506)*(S511="Y")*(P511&lt;&gt;"")* (R511&lt;&gt;""))),0)</f>
        <v/>
      </c>
      <c r="V511" s="37">
        <f>IFERROR(SUMPRODUCT(((D511=D506)*(E511="Y")*(F511&lt;&gt;F506)*(G511="Y")*(D511&lt;&gt;"")* (F511&lt;&gt;""))+((H511=H506)*(I511="Y")*(J511&lt;&gt;J506)*(K511="Y")*(H511&lt;&gt;"")* (J511&lt;&gt;""))+((L511=L506)*(M511="Y")*(N511&lt;&gt;N506)*(O511="Y")*(L511&lt;&gt;"")* (N511&lt;&gt;""))+((P511=P506)*(Q511="Y")*(R511&lt;&gt;R506)*(S511="Y")*(P511&lt;&gt;"")* (R511&lt;&gt;""))),0)</f>
        <v/>
      </c>
      <c r="W511" s="37">
        <f>IFERROR(SUMPRODUCT(((E511="N")*(D511&lt;&gt;"")* (F511&lt;&gt;""))+((I511="N")*(H511&lt;&gt;"")* (J511&lt;&gt;""))+((M511="N")*(L511&lt;&gt;"")* (N511&lt;&gt;""))+((Q511="N")*(P511&lt;&gt;"")* (R511&lt;&gt;""))),0)</f>
        <v/>
      </c>
      <c r="X511" s="50">
        <f>IFERROR(U511/4,0)</f>
        <v/>
      </c>
    </row>
    <row r="512" ht="18" customHeight="1">
      <c r="B512" s="46">
        <f>'📥 ข้อมูลนักเรียน'!B9</f>
        <v/>
      </c>
      <c r="C512" s="51">
        <f>'📥 ข้อมูลนักเรียน'!C9</f>
        <v/>
      </c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37">
        <f>IFERROR(SUMPRODUCT(((D512=D506)*(E512="Y")*(F512=F506)*(G512="Y")*(D512&lt;&gt;"")* (F512&lt;&gt;""))+((H512=H506)*(I512="Y")*(J512=J506)*(K512="Y")*(H512&lt;&gt;"")* (J512&lt;&gt;""))+((L512=L506)*(M512="Y")*(N512=N506)*(O512="Y")*(L512&lt;&gt;"")* (N512&lt;&gt;""))+((P512=P506)*(Q512="Y")*(R512=R506)*(S512="Y")*(P512&lt;&gt;"")* (R512&lt;&gt;""))),0)</f>
        <v/>
      </c>
      <c r="U512" s="49">
        <f>IFERROR(SUMPRODUCT(((D512&lt;&gt;D506)*(E512="Y")*(F512&lt;&gt;F506)*(G512="Y")*(D512&lt;&gt;"")* (F512&lt;&gt;""))+((H512&lt;&gt;H506)*(I512="Y")*(J512&lt;&gt;J506)*(K512="Y")*(H512&lt;&gt;"")* (J512&lt;&gt;""))+((L512&lt;&gt;L506)*(M512="Y")*(N512&lt;&gt;N506)*(O512="Y")*(L512&lt;&gt;"")* (N512&lt;&gt;""))+((P512&lt;&gt;P506)*(Q512="Y")*(R512&lt;&gt;R506)*(S512="Y")*(P512&lt;&gt;"")* (R512&lt;&gt;""))),0)</f>
        <v/>
      </c>
      <c r="V512" s="37">
        <f>IFERROR(SUMPRODUCT(((D512=D506)*(E512="Y")*(F512&lt;&gt;F506)*(G512="Y")*(D512&lt;&gt;"")* (F512&lt;&gt;""))+((H512=H506)*(I512="Y")*(J512&lt;&gt;J506)*(K512="Y")*(H512&lt;&gt;"")* (J512&lt;&gt;""))+((L512=L506)*(M512="Y")*(N512&lt;&gt;N506)*(O512="Y")*(L512&lt;&gt;"")* (N512&lt;&gt;""))+((P512=P506)*(Q512="Y")*(R512&lt;&gt;R506)*(S512="Y")*(P512&lt;&gt;"")* (R512&lt;&gt;""))),0)</f>
        <v/>
      </c>
      <c r="W512" s="37">
        <f>IFERROR(SUMPRODUCT(((E512="N")*(D512&lt;&gt;"")* (F512&lt;&gt;""))+((I512="N")*(H512&lt;&gt;"")* (J512&lt;&gt;""))+((M512="N")*(L512&lt;&gt;"")* (N512&lt;&gt;""))+((Q512="N")*(P512&lt;&gt;"")* (R512&lt;&gt;""))),0)</f>
        <v/>
      </c>
      <c r="X512" s="50">
        <f>IFERROR(U512/4,0)</f>
        <v/>
      </c>
    </row>
    <row r="513" ht="18" customHeight="1">
      <c r="B513" s="46">
        <f>'📥 ข้อมูลนักเรียน'!B10</f>
        <v/>
      </c>
      <c r="C513" s="47">
        <f>'📥 ข้อมูลนักเรียน'!C10</f>
        <v/>
      </c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37">
        <f>IFERROR(SUMPRODUCT(((D513=D506)*(E513="Y")*(F513=F506)*(G513="Y")*(D513&lt;&gt;"")* (F513&lt;&gt;""))+((H513=H506)*(I513="Y")*(J513=J506)*(K513="Y")*(H513&lt;&gt;"")* (J513&lt;&gt;""))+((L513=L506)*(M513="Y")*(N513=N506)*(O513="Y")*(L513&lt;&gt;"")* (N513&lt;&gt;""))+((P513=P506)*(Q513="Y")*(R513=R506)*(S513="Y")*(P513&lt;&gt;"")* (R513&lt;&gt;""))),0)</f>
        <v/>
      </c>
      <c r="U513" s="49">
        <f>IFERROR(SUMPRODUCT(((D513&lt;&gt;D506)*(E513="Y")*(F513&lt;&gt;F506)*(G513="Y")*(D513&lt;&gt;"")* (F513&lt;&gt;""))+((H513&lt;&gt;H506)*(I513="Y")*(J513&lt;&gt;J506)*(K513="Y")*(H513&lt;&gt;"")* (J513&lt;&gt;""))+((L513&lt;&gt;L506)*(M513="Y")*(N513&lt;&gt;N506)*(O513="Y")*(L513&lt;&gt;"")* (N513&lt;&gt;""))+((P513&lt;&gt;P506)*(Q513="Y")*(R513&lt;&gt;R506)*(S513="Y")*(P513&lt;&gt;"")* (R513&lt;&gt;""))),0)</f>
        <v/>
      </c>
      <c r="V513" s="37">
        <f>IFERROR(SUMPRODUCT(((D513=D506)*(E513="Y")*(F513&lt;&gt;F506)*(G513="Y")*(D513&lt;&gt;"")* (F513&lt;&gt;""))+((H513=H506)*(I513="Y")*(J513&lt;&gt;J506)*(K513="Y")*(H513&lt;&gt;"")* (J513&lt;&gt;""))+((L513=L506)*(M513="Y")*(N513&lt;&gt;N506)*(O513="Y")*(L513&lt;&gt;"")* (N513&lt;&gt;""))+((P513=P506)*(Q513="Y")*(R513&lt;&gt;R506)*(S513="Y")*(P513&lt;&gt;"")* (R513&lt;&gt;""))),0)</f>
        <v/>
      </c>
      <c r="W513" s="37">
        <f>IFERROR(SUMPRODUCT(((E513="N")*(D513&lt;&gt;"")* (F513&lt;&gt;""))+((I513="N")*(H513&lt;&gt;"")* (J513&lt;&gt;""))+((M513="N")*(L513&lt;&gt;"")* (N513&lt;&gt;""))+((Q513="N")*(P513&lt;&gt;"")* (R513&lt;&gt;""))),0)</f>
        <v/>
      </c>
      <c r="X513" s="50">
        <f>IFERROR(U513/4,0)</f>
        <v/>
      </c>
    </row>
    <row r="514" ht="18" customHeight="1">
      <c r="B514" s="46">
        <f>'📥 ข้อมูลนักเรียน'!B11</f>
        <v/>
      </c>
      <c r="C514" s="51">
        <f>'📥 ข้อมูลนักเรียน'!C11</f>
        <v/>
      </c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37">
        <f>IFERROR(SUMPRODUCT(((D514=D506)*(E514="Y")*(F514=F506)*(G514="Y")*(D514&lt;&gt;"")* (F514&lt;&gt;""))+((H514=H506)*(I514="Y")*(J514=J506)*(K514="Y")*(H514&lt;&gt;"")* (J514&lt;&gt;""))+((L514=L506)*(M514="Y")*(N514=N506)*(O514="Y")*(L514&lt;&gt;"")* (N514&lt;&gt;""))+((P514=P506)*(Q514="Y")*(R514=R506)*(S514="Y")*(P514&lt;&gt;"")* (R514&lt;&gt;""))),0)</f>
        <v/>
      </c>
      <c r="U514" s="49">
        <f>IFERROR(SUMPRODUCT(((D514&lt;&gt;D506)*(E514="Y")*(F514&lt;&gt;F506)*(G514="Y")*(D514&lt;&gt;"")* (F514&lt;&gt;""))+((H514&lt;&gt;H506)*(I514="Y")*(J514&lt;&gt;J506)*(K514="Y")*(H514&lt;&gt;"")* (J514&lt;&gt;""))+((L514&lt;&gt;L506)*(M514="Y")*(N514&lt;&gt;N506)*(O514="Y")*(L514&lt;&gt;"")* (N514&lt;&gt;""))+((P514&lt;&gt;P506)*(Q514="Y")*(R514&lt;&gt;R506)*(S514="Y")*(P514&lt;&gt;"")* (R514&lt;&gt;""))),0)</f>
        <v/>
      </c>
      <c r="V514" s="37">
        <f>IFERROR(SUMPRODUCT(((D514=D506)*(E514="Y")*(F514&lt;&gt;F506)*(G514="Y")*(D514&lt;&gt;"")* (F514&lt;&gt;""))+((H514=H506)*(I514="Y")*(J514&lt;&gt;J506)*(K514="Y")*(H514&lt;&gt;"")* (J514&lt;&gt;""))+((L514=L506)*(M514="Y")*(N514&lt;&gt;N506)*(O514="Y")*(L514&lt;&gt;"")* (N514&lt;&gt;""))+((P514=P506)*(Q514="Y")*(R514&lt;&gt;R506)*(S514="Y")*(P514&lt;&gt;"")* (R514&lt;&gt;""))),0)</f>
        <v/>
      </c>
      <c r="W514" s="37">
        <f>IFERROR(SUMPRODUCT(((E514="N")*(D514&lt;&gt;"")* (F514&lt;&gt;""))+((I514="N")*(H514&lt;&gt;"")* (J514&lt;&gt;""))+((M514="N")*(L514&lt;&gt;"")* (N514&lt;&gt;""))+((Q514="N")*(P514&lt;&gt;"")* (R514&lt;&gt;""))),0)</f>
        <v/>
      </c>
      <c r="X514" s="50">
        <f>IFERROR(U514/4,0)</f>
        <v/>
      </c>
    </row>
    <row r="515" ht="18" customHeight="1">
      <c r="B515" s="46">
        <f>'📥 ข้อมูลนักเรียน'!B12</f>
        <v/>
      </c>
      <c r="C515" s="47">
        <f>'📥 ข้อมูลนักเรียน'!C12</f>
        <v/>
      </c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37">
        <f>IFERROR(SUMPRODUCT(((D515=D506)*(E515="Y")*(F515=F506)*(G515="Y")*(D515&lt;&gt;"")* (F515&lt;&gt;""))+((H515=H506)*(I515="Y")*(J515=J506)*(K515="Y")*(H515&lt;&gt;"")* (J515&lt;&gt;""))+((L515=L506)*(M515="Y")*(N515=N506)*(O515="Y")*(L515&lt;&gt;"")* (N515&lt;&gt;""))+((P515=P506)*(Q515="Y")*(R515=R506)*(S515="Y")*(P515&lt;&gt;"")* (R515&lt;&gt;""))),0)</f>
        <v/>
      </c>
      <c r="U515" s="49">
        <f>IFERROR(SUMPRODUCT(((D515&lt;&gt;D506)*(E515="Y")*(F515&lt;&gt;F506)*(G515="Y")*(D515&lt;&gt;"")* (F515&lt;&gt;""))+((H515&lt;&gt;H506)*(I515="Y")*(J515&lt;&gt;J506)*(K515="Y")*(H515&lt;&gt;"")* (J515&lt;&gt;""))+((L515&lt;&gt;L506)*(M515="Y")*(N515&lt;&gt;N506)*(O515="Y")*(L515&lt;&gt;"")* (N515&lt;&gt;""))+((P515&lt;&gt;P506)*(Q515="Y")*(R515&lt;&gt;R506)*(S515="Y")*(P515&lt;&gt;"")* (R515&lt;&gt;""))),0)</f>
        <v/>
      </c>
      <c r="V515" s="37">
        <f>IFERROR(SUMPRODUCT(((D515=D506)*(E515="Y")*(F515&lt;&gt;F506)*(G515="Y")*(D515&lt;&gt;"")* (F515&lt;&gt;""))+((H515=H506)*(I515="Y")*(J515&lt;&gt;J506)*(K515="Y")*(H515&lt;&gt;"")* (J515&lt;&gt;""))+((L515=L506)*(M515="Y")*(N515&lt;&gt;N506)*(O515="Y")*(L515&lt;&gt;"")* (N515&lt;&gt;""))+((P515=P506)*(Q515="Y")*(R515&lt;&gt;R506)*(S515="Y")*(P515&lt;&gt;"")* (R515&lt;&gt;""))),0)</f>
        <v/>
      </c>
      <c r="W515" s="37">
        <f>IFERROR(SUMPRODUCT(((E515="N")*(D515&lt;&gt;"")* (F515&lt;&gt;""))+((I515="N")*(H515&lt;&gt;"")* (J515&lt;&gt;""))+((M515="N")*(L515&lt;&gt;"")* (N515&lt;&gt;""))+((Q515="N")*(P515&lt;&gt;"")* (R515&lt;&gt;""))),0)</f>
        <v/>
      </c>
      <c r="X515" s="50">
        <f>IFERROR(U515/4,0)</f>
        <v/>
      </c>
    </row>
    <row r="516" ht="18" customHeight="1">
      <c r="B516" s="46">
        <f>'📥 ข้อมูลนักเรียน'!B13</f>
        <v/>
      </c>
      <c r="C516" s="51">
        <f>'📥 ข้อมูลนักเรียน'!C13</f>
        <v/>
      </c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37">
        <f>IFERROR(SUMPRODUCT(((D516=D506)*(E516="Y")*(F516=F506)*(G516="Y")*(D516&lt;&gt;"")* (F516&lt;&gt;""))+((H516=H506)*(I516="Y")*(J516=J506)*(K516="Y")*(H516&lt;&gt;"")* (J516&lt;&gt;""))+((L516=L506)*(M516="Y")*(N516=N506)*(O516="Y")*(L516&lt;&gt;"")* (N516&lt;&gt;""))+((P516=P506)*(Q516="Y")*(R516=R506)*(S516="Y")*(P516&lt;&gt;"")* (R516&lt;&gt;""))),0)</f>
        <v/>
      </c>
      <c r="U516" s="49">
        <f>IFERROR(SUMPRODUCT(((D516&lt;&gt;D506)*(E516="Y")*(F516&lt;&gt;F506)*(G516="Y")*(D516&lt;&gt;"")* (F516&lt;&gt;""))+((H516&lt;&gt;H506)*(I516="Y")*(J516&lt;&gt;J506)*(K516="Y")*(H516&lt;&gt;"")* (J516&lt;&gt;""))+((L516&lt;&gt;L506)*(M516="Y")*(N516&lt;&gt;N506)*(O516="Y")*(L516&lt;&gt;"")* (N516&lt;&gt;""))+((P516&lt;&gt;P506)*(Q516="Y")*(R516&lt;&gt;R506)*(S516="Y")*(P516&lt;&gt;"")* (R516&lt;&gt;""))),0)</f>
        <v/>
      </c>
      <c r="V516" s="37">
        <f>IFERROR(SUMPRODUCT(((D516=D506)*(E516="Y")*(F516&lt;&gt;F506)*(G516="Y")*(D516&lt;&gt;"")* (F516&lt;&gt;""))+((H516=H506)*(I516="Y")*(J516&lt;&gt;J506)*(K516="Y")*(H516&lt;&gt;"")* (J516&lt;&gt;""))+((L516=L506)*(M516="Y")*(N516&lt;&gt;N506)*(O516="Y")*(L516&lt;&gt;"")* (N516&lt;&gt;""))+((P516=P506)*(Q516="Y")*(R516&lt;&gt;R506)*(S516="Y")*(P516&lt;&gt;"")* (R516&lt;&gt;""))),0)</f>
        <v/>
      </c>
      <c r="W516" s="37">
        <f>IFERROR(SUMPRODUCT(((E516="N")*(D516&lt;&gt;"")* (F516&lt;&gt;""))+((I516="N")*(H516&lt;&gt;"")* (J516&lt;&gt;""))+((M516="N")*(L516&lt;&gt;"")* (N516&lt;&gt;""))+((Q516="N")*(P516&lt;&gt;"")* (R516&lt;&gt;""))),0)</f>
        <v/>
      </c>
      <c r="X516" s="50">
        <f>IFERROR(U516/4,0)</f>
        <v/>
      </c>
    </row>
    <row r="517" ht="18" customHeight="1">
      <c r="B517" s="46">
        <f>'📥 ข้อมูลนักเรียน'!B14</f>
        <v/>
      </c>
      <c r="C517" s="47">
        <f>'📥 ข้อมูลนักเรียน'!C14</f>
        <v/>
      </c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37">
        <f>IFERROR(SUMPRODUCT(((D517=D506)*(E517="Y")*(F517=F506)*(G517="Y")*(D517&lt;&gt;"")* (F517&lt;&gt;""))+((H517=H506)*(I517="Y")*(J517=J506)*(K517="Y")*(H517&lt;&gt;"")* (J517&lt;&gt;""))+((L517=L506)*(M517="Y")*(N517=N506)*(O517="Y")*(L517&lt;&gt;"")* (N517&lt;&gt;""))+((P517=P506)*(Q517="Y")*(R517=R506)*(S517="Y")*(P517&lt;&gt;"")* (R517&lt;&gt;""))),0)</f>
        <v/>
      </c>
      <c r="U517" s="49">
        <f>IFERROR(SUMPRODUCT(((D517&lt;&gt;D506)*(E517="Y")*(F517&lt;&gt;F506)*(G517="Y")*(D517&lt;&gt;"")* (F517&lt;&gt;""))+((H517&lt;&gt;H506)*(I517="Y")*(J517&lt;&gt;J506)*(K517="Y")*(H517&lt;&gt;"")* (J517&lt;&gt;""))+((L517&lt;&gt;L506)*(M517="Y")*(N517&lt;&gt;N506)*(O517="Y")*(L517&lt;&gt;"")* (N517&lt;&gt;""))+((P517&lt;&gt;P506)*(Q517="Y")*(R517&lt;&gt;R506)*(S517="Y")*(P517&lt;&gt;"")* (R517&lt;&gt;""))),0)</f>
        <v/>
      </c>
      <c r="V517" s="37">
        <f>IFERROR(SUMPRODUCT(((D517=D506)*(E517="Y")*(F517&lt;&gt;F506)*(G517="Y")*(D517&lt;&gt;"")* (F517&lt;&gt;""))+((H517=H506)*(I517="Y")*(J517&lt;&gt;J506)*(K517="Y")*(H517&lt;&gt;"")* (J517&lt;&gt;""))+((L517=L506)*(M517="Y")*(N517&lt;&gt;N506)*(O517="Y")*(L517&lt;&gt;"")* (N517&lt;&gt;""))+((P517=P506)*(Q517="Y")*(R517&lt;&gt;R506)*(S517="Y")*(P517&lt;&gt;"")* (R517&lt;&gt;""))),0)</f>
        <v/>
      </c>
      <c r="W517" s="37">
        <f>IFERROR(SUMPRODUCT(((E517="N")*(D517&lt;&gt;"")* (F517&lt;&gt;""))+((I517="N")*(H517&lt;&gt;"")* (J517&lt;&gt;""))+((M517="N")*(L517&lt;&gt;"")* (N517&lt;&gt;""))+((Q517="N")*(P517&lt;&gt;"")* (R517&lt;&gt;""))),0)</f>
        <v/>
      </c>
      <c r="X517" s="50">
        <f>IFERROR(U517/4,0)</f>
        <v/>
      </c>
    </row>
    <row r="518" ht="18" customHeight="1">
      <c r="B518" s="46">
        <f>'📥 ข้อมูลนักเรียน'!B15</f>
        <v/>
      </c>
      <c r="C518" s="51">
        <f>'📥 ข้อมูลนักเรียน'!C15</f>
        <v/>
      </c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37">
        <f>IFERROR(SUMPRODUCT(((D518=D506)*(E518="Y")*(F518=F506)*(G518="Y")*(D518&lt;&gt;"")* (F518&lt;&gt;""))+((H518=H506)*(I518="Y")*(J518=J506)*(K518="Y")*(H518&lt;&gt;"")* (J518&lt;&gt;""))+((L518=L506)*(M518="Y")*(N518=N506)*(O518="Y")*(L518&lt;&gt;"")* (N518&lt;&gt;""))+((P518=P506)*(Q518="Y")*(R518=R506)*(S518="Y")*(P518&lt;&gt;"")* (R518&lt;&gt;""))),0)</f>
        <v/>
      </c>
      <c r="U518" s="49">
        <f>IFERROR(SUMPRODUCT(((D518&lt;&gt;D506)*(E518="Y")*(F518&lt;&gt;F506)*(G518="Y")*(D518&lt;&gt;"")* (F518&lt;&gt;""))+((H518&lt;&gt;H506)*(I518="Y")*(J518&lt;&gt;J506)*(K518="Y")*(H518&lt;&gt;"")* (J518&lt;&gt;""))+((L518&lt;&gt;L506)*(M518="Y")*(N518&lt;&gt;N506)*(O518="Y")*(L518&lt;&gt;"")* (N518&lt;&gt;""))+((P518&lt;&gt;P506)*(Q518="Y")*(R518&lt;&gt;R506)*(S518="Y")*(P518&lt;&gt;"")* (R518&lt;&gt;""))),0)</f>
        <v/>
      </c>
      <c r="V518" s="37">
        <f>IFERROR(SUMPRODUCT(((D518=D506)*(E518="Y")*(F518&lt;&gt;F506)*(G518="Y")*(D518&lt;&gt;"")* (F518&lt;&gt;""))+((H518=H506)*(I518="Y")*(J518&lt;&gt;J506)*(K518="Y")*(H518&lt;&gt;"")* (J518&lt;&gt;""))+((L518=L506)*(M518="Y")*(N518&lt;&gt;N506)*(O518="Y")*(L518&lt;&gt;"")* (N518&lt;&gt;""))+((P518=P506)*(Q518="Y")*(R518&lt;&gt;R506)*(S518="Y")*(P518&lt;&gt;"")* (R518&lt;&gt;""))),0)</f>
        <v/>
      </c>
      <c r="W518" s="37">
        <f>IFERROR(SUMPRODUCT(((E518="N")*(D518&lt;&gt;"")* (F518&lt;&gt;""))+((I518="N")*(H518&lt;&gt;"")* (J518&lt;&gt;""))+((M518="N")*(L518&lt;&gt;"")* (N518&lt;&gt;""))+((Q518="N")*(P518&lt;&gt;"")* (R518&lt;&gt;""))),0)</f>
        <v/>
      </c>
      <c r="X518" s="50">
        <f>IFERROR(U518/4,0)</f>
        <v/>
      </c>
    </row>
    <row r="519" ht="18" customHeight="1">
      <c r="B519" s="46">
        <f>'📥 ข้อมูลนักเรียน'!B16</f>
        <v/>
      </c>
      <c r="C519" s="47">
        <f>'📥 ข้อมูลนักเรียน'!C16</f>
        <v/>
      </c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37">
        <f>IFERROR(SUMPRODUCT(((D519=D506)*(E519="Y")*(F519=F506)*(G519="Y")*(D519&lt;&gt;"")* (F519&lt;&gt;""))+((H519=H506)*(I519="Y")*(J519=J506)*(K519="Y")*(H519&lt;&gt;"")* (J519&lt;&gt;""))+((L519=L506)*(M519="Y")*(N519=N506)*(O519="Y")*(L519&lt;&gt;"")* (N519&lt;&gt;""))+((P519=P506)*(Q519="Y")*(R519=R506)*(S519="Y")*(P519&lt;&gt;"")* (R519&lt;&gt;""))),0)</f>
        <v/>
      </c>
      <c r="U519" s="49">
        <f>IFERROR(SUMPRODUCT(((D519&lt;&gt;D506)*(E519="Y")*(F519&lt;&gt;F506)*(G519="Y")*(D519&lt;&gt;"")* (F519&lt;&gt;""))+((H519&lt;&gt;H506)*(I519="Y")*(J519&lt;&gt;J506)*(K519="Y")*(H519&lt;&gt;"")* (J519&lt;&gt;""))+((L519&lt;&gt;L506)*(M519="Y")*(N519&lt;&gt;N506)*(O519="Y")*(L519&lt;&gt;"")* (N519&lt;&gt;""))+((P519&lt;&gt;P506)*(Q519="Y")*(R519&lt;&gt;R506)*(S519="Y")*(P519&lt;&gt;"")* (R519&lt;&gt;""))),0)</f>
        <v/>
      </c>
      <c r="V519" s="37">
        <f>IFERROR(SUMPRODUCT(((D519=D506)*(E519="Y")*(F519&lt;&gt;F506)*(G519="Y")*(D519&lt;&gt;"")* (F519&lt;&gt;""))+((H519=H506)*(I519="Y")*(J519&lt;&gt;J506)*(K519="Y")*(H519&lt;&gt;"")* (J519&lt;&gt;""))+((L519=L506)*(M519="Y")*(N519&lt;&gt;N506)*(O519="Y")*(L519&lt;&gt;"")* (N519&lt;&gt;""))+((P519=P506)*(Q519="Y")*(R519&lt;&gt;R506)*(S519="Y")*(P519&lt;&gt;"")* (R519&lt;&gt;""))),0)</f>
        <v/>
      </c>
      <c r="W519" s="37">
        <f>IFERROR(SUMPRODUCT(((E519="N")*(D519&lt;&gt;"")* (F519&lt;&gt;""))+((I519="N")*(H519&lt;&gt;"")* (J519&lt;&gt;""))+((M519="N")*(L519&lt;&gt;"")* (N519&lt;&gt;""))+((Q519="N")*(P519&lt;&gt;"")* (R519&lt;&gt;""))),0)</f>
        <v/>
      </c>
      <c r="X519" s="50">
        <f>IFERROR(U519/4,0)</f>
        <v/>
      </c>
    </row>
    <row r="520" ht="18" customHeight="1">
      <c r="B520" s="46">
        <f>'📥 ข้อมูลนักเรียน'!B17</f>
        <v/>
      </c>
      <c r="C520" s="51">
        <f>'📥 ข้อมูลนักเรียน'!C17</f>
        <v/>
      </c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37">
        <f>IFERROR(SUMPRODUCT(((D520=D506)*(E520="Y")*(F520=F506)*(G520="Y")*(D520&lt;&gt;"")* (F520&lt;&gt;""))+((H520=H506)*(I520="Y")*(J520=J506)*(K520="Y")*(H520&lt;&gt;"")* (J520&lt;&gt;""))+((L520=L506)*(M520="Y")*(N520=N506)*(O520="Y")*(L520&lt;&gt;"")* (N520&lt;&gt;""))+((P520=P506)*(Q520="Y")*(R520=R506)*(S520="Y")*(P520&lt;&gt;"")* (R520&lt;&gt;""))),0)</f>
        <v/>
      </c>
      <c r="U520" s="49">
        <f>IFERROR(SUMPRODUCT(((D520&lt;&gt;D506)*(E520="Y")*(F520&lt;&gt;F506)*(G520="Y")*(D520&lt;&gt;"")* (F520&lt;&gt;""))+((H520&lt;&gt;H506)*(I520="Y")*(J520&lt;&gt;J506)*(K520="Y")*(H520&lt;&gt;"")* (J520&lt;&gt;""))+((L520&lt;&gt;L506)*(M520="Y")*(N520&lt;&gt;N506)*(O520="Y")*(L520&lt;&gt;"")* (N520&lt;&gt;""))+((P520&lt;&gt;P506)*(Q520="Y")*(R520&lt;&gt;R506)*(S520="Y")*(P520&lt;&gt;"")* (R520&lt;&gt;""))),0)</f>
        <v/>
      </c>
      <c r="V520" s="37">
        <f>IFERROR(SUMPRODUCT(((D520=D506)*(E520="Y")*(F520&lt;&gt;F506)*(G520="Y")*(D520&lt;&gt;"")* (F520&lt;&gt;""))+((H520=H506)*(I520="Y")*(J520&lt;&gt;J506)*(K520="Y")*(H520&lt;&gt;"")* (J520&lt;&gt;""))+((L520=L506)*(M520="Y")*(N520&lt;&gt;N506)*(O520="Y")*(L520&lt;&gt;"")* (N520&lt;&gt;""))+((P520=P506)*(Q520="Y")*(R520&lt;&gt;R506)*(S520="Y")*(P520&lt;&gt;"")* (R520&lt;&gt;""))),0)</f>
        <v/>
      </c>
      <c r="W520" s="37">
        <f>IFERROR(SUMPRODUCT(((E520="N")*(D520&lt;&gt;"")* (F520&lt;&gt;""))+((I520="N")*(H520&lt;&gt;"")* (J520&lt;&gt;""))+((M520="N")*(L520&lt;&gt;"")* (N520&lt;&gt;""))+((Q520="N")*(P520&lt;&gt;"")* (R520&lt;&gt;""))),0)</f>
        <v/>
      </c>
      <c r="X520" s="50">
        <f>IFERROR(U520/4,0)</f>
        <v/>
      </c>
    </row>
    <row r="521" ht="18" customHeight="1">
      <c r="B521" s="46">
        <f>'📥 ข้อมูลนักเรียน'!B18</f>
        <v/>
      </c>
      <c r="C521" s="47">
        <f>'📥 ข้อมูลนักเรียน'!C18</f>
        <v/>
      </c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37">
        <f>IFERROR(SUMPRODUCT(((D521=D506)*(E521="Y")*(F521=F506)*(G521="Y")*(D521&lt;&gt;"")*(F521&lt;&gt;""))+((H521=H506)*(I521="Y")*(J521=J506)*(K521="Y")*(H521&lt;&gt;"")*(J521&lt;&gt;""))+((L521=L506)*(M521="Y")*(N521=N506)*(O521="Y")*(L521&lt;&gt;"")*(N521&lt;&gt;""))+((P521=P506)*(Q521="Y")*(R521=R506)*(S521="Y")*(P521&lt;&gt;"")*(R521&lt;&gt;""))),0)</f>
        <v/>
      </c>
      <c r="U521" s="49">
        <f>IFERROR(SUMPRODUCT(((D521&lt;&gt;D506)*(E521="Y")*(F521&lt;&gt;F506)*(G521="Y")*(D521&lt;&gt;"")*(F521&lt;&gt;""))+((H521&lt;&gt;H506)*(I521="Y")*(J521&lt;&gt;J506)*(K521="Y")*(H521&lt;&gt;"")*(J521&lt;&gt;""))+((L521&lt;&gt;L506)*(M521="Y")*(N521&lt;&gt;N506)*(O521="Y")*(L521&lt;&gt;"")*(N521&lt;&gt;""))+((P521&lt;&gt;P506)*(Q521="Y")*(R521&lt;&gt;R506)*(S521="Y")*(P521&lt;&gt;"")*(R521&lt;&gt;""))),0)</f>
        <v/>
      </c>
      <c r="V521" s="37">
        <f>IFERROR(SUMPRODUCT(((D521=D506)*(E521="Y")*(F521&lt;&gt;F506)*(G521="Y")*(D521&lt;&gt;"")*(F521&lt;&gt;""))+((H521=H506)*(I521="Y")*(J521&lt;&gt;J506)*(K521="Y")*(H521&lt;&gt;"")*(J521&lt;&gt;""))+((L521=L506)*(M521="Y")*(N521&lt;&gt;N506)*(O521="Y")*(L521&lt;&gt;"")*(N521&lt;&gt;""))+((P521=P506)*(Q521="Y")*(R521&lt;&gt;R506)*(S521="Y")*(P521&lt;&gt;"")*(R521&lt;&gt;""))),0)</f>
        <v/>
      </c>
      <c r="W521" s="37">
        <f>IFERROR(SUMPRODUCT(((E521="N")*(D521&lt;&gt;"")*(F521&lt;&gt;""))+((I521="N")*(H521&lt;&gt;"")*(J521&lt;&gt;""))+((M521="N")*(L521&lt;&gt;"")*(N521&lt;&gt;""))+((Q521="N")*(P521&lt;&gt;"")*(R521&lt;&gt;""))),0)</f>
        <v/>
      </c>
      <c r="X521" s="50">
        <f>IFERROR(U521/4,0)</f>
        <v/>
      </c>
    </row>
    <row r="522" ht="18" customHeight="1">
      <c r="B522" s="46">
        <f>'📥 ข้อมูลนักเรียน'!B19</f>
        <v/>
      </c>
      <c r="C522" s="51">
        <f>'📥 ข้อมูลนักเรียน'!C19</f>
        <v/>
      </c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37">
        <f>IFERROR(SUMPRODUCT(((D522=D506)*(E522="Y")*(F522=F506)*(G522="Y")*(D522&lt;&gt;"")*(F522&lt;&gt;""))+((H522=H506)*(I522="Y")*(J522=J506)*(K522="Y")*(H522&lt;&gt;"")*(J522&lt;&gt;""))+((L522=L506)*(M522="Y")*(N522=N506)*(O522="Y")*(L522&lt;&gt;"")*(N522&lt;&gt;""))+((P522=P506)*(Q522="Y")*(R522=R506)*(S522="Y")*(P522&lt;&gt;"")*(R522&lt;&gt;""))),0)</f>
        <v/>
      </c>
      <c r="U522" s="49">
        <f>IFERROR(SUMPRODUCT(((D522&lt;&gt;D506)*(E522="Y")*(F522&lt;&gt;F506)*(G522="Y")*(D522&lt;&gt;"")*(F522&lt;&gt;""))+((H522&lt;&gt;H506)*(I522="Y")*(J522&lt;&gt;J506)*(K522="Y")*(H522&lt;&gt;"")*(J522&lt;&gt;""))+((L522&lt;&gt;L506)*(M522="Y")*(N522&lt;&gt;N506)*(O522="Y")*(L522&lt;&gt;"")*(N522&lt;&gt;""))+((P522&lt;&gt;P506)*(Q522="Y")*(R522&lt;&gt;R506)*(S522="Y")*(P522&lt;&gt;"")*(R522&lt;&gt;""))),0)</f>
        <v/>
      </c>
      <c r="V522" s="37">
        <f>IFERROR(SUMPRODUCT(((D522=D506)*(E522="Y")*(F522&lt;&gt;F506)*(G522="Y")*(D522&lt;&gt;"")*(F522&lt;&gt;""))+((H522=H506)*(I522="Y")*(J522&lt;&gt;J506)*(K522="Y")*(H522&lt;&gt;"")*(J522&lt;&gt;""))+((L522=L506)*(M522="Y")*(N522&lt;&gt;N506)*(O522="Y")*(L522&lt;&gt;"")*(N522&lt;&gt;""))+((P522=P506)*(Q522="Y")*(R522&lt;&gt;R506)*(S522="Y")*(P522&lt;&gt;"")*(R522&lt;&gt;""))),0)</f>
        <v/>
      </c>
      <c r="W522" s="37">
        <f>IFERROR(SUMPRODUCT(((E522="N")*(D522&lt;&gt;"")*(F522&lt;&gt;""))+((I522="N")*(H522&lt;&gt;"")*(J522&lt;&gt;""))+((M522="N")*(L522&lt;&gt;"")*(N522&lt;&gt;""))+((Q522="N")*(P522&lt;&gt;"")*(R522&lt;&gt;""))),0)</f>
        <v/>
      </c>
      <c r="X522" s="50">
        <f>IFERROR(U522/4,0)</f>
        <v/>
      </c>
    </row>
    <row r="523" ht="18" customHeight="1">
      <c r="B523" s="46">
        <f>'📥 ข้อมูลนักเรียน'!B20</f>
        <v/>
      </c>
      <c r="C523" s="47">
        <f>'📥 ข้อมูลนักเรียน'!C20</f>
        <v/>
      </c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37">
        <f>IFERROR(SUMPRODUCT(((D523=D506)*(E523="Y")*(F523=F506)*(G523="Y")*(D523&lt;&gt;"")*(F523&lt;&gt;""))+((H523=H506)*(I523="Y")*(J523=J506)*(K523="Y")*(H523&lt;&gt;"")*(J523&lt;&gt;""))+((L523=L506)*(M523="Y")*(N523=N506)*(O523="Y")*(L523&lt;&gt;"")*(N523&lt;&gt;""))+((P523=P506)*(Q523="Y")*(R523=R506)*(S523="Y")*(P523&lt;&gt;"")*(R523&lt;&gt;""))),0)</f>
        <v/>
      </c>
      <c r="U523" s="49">
        <f>IFERROR(SUMPRODUCT(((D523&lt;&gt;D506)*(E523="Y")*(F523&lt;&gt;F506)*(G523="Y")*(D523&lt;&gt;"")*(F523&lt;&gt;""))+((H523&lt;&gt;H506)*(I523="Y")*(J523&lt;&gt;J506)*(K523="Y")*(H523&lt;&gt;"")*(J523&lt;&gt;""))+((L523&lt;&gt;L506)*(M523="Y")*(N523&lt;&gt;N506)*(O523="Y")*(L523&lt;&gt;"")*(N523&lt;&gt;""))+((P523&lt;&gt;P506)*(Q523="Y")*(R523&lt;&gt;R506)*(S523="Y")*(P523&lt;&gt;"")*(R523&lt;&gt;""))),0)</f>
        <v/>
      </c>
      <c r="V523" s="37">
        <f>IFERROR(SUMPRODUCT(((D523=D506)*(E523="Y")*(F523&lt;&gt;F506)*(G523="Y")*(D523&lt;&gt;"")*(F523&lt;&gt;""))+((H523=H506)*(I523="Y")*(J523&lt;&gt;J506)*(K523="Y")*(H523&lt;&gt;"")*(J523&lt;&gt;""))+((L523=L506)*(M523="Y")*(N523&lt;&gt;N506)*(O523="Y")*(L523&lt;&gt;"")*(N523&lt;&gt;""))+((P523=P506)*(Q523="Y")*(R523&lt;&gt;R506)*(S523="Y")*(P523&lt;&gt;"")*(R523&lt;&gt;""))),0)</f>
        <v/>
      </c>
      <c r="W523" s="37">
        <f>IFERROR(SUMPRODUCT(((E523="N")*(D523&lt;&gt;"")*(F523&lt;&gt;""))+((I523="N")*(H523&lt;&gt;"")*(J523&lt;&gt;""))+((M523="N")*(L523&lt;&gt;"")*(N523&lt;&gt;""))+((Q523="N")*(P523&lt;&gt;"")*(R523&lt;&gt;""))),0)</f>
        <v/>
      </c>
      <c r="X523" s="50">
        <f>IFERROR(U523/4,0)</f>
        <v/>
      </c>
    </row>
    <row r="524" ht="18" customHeight="1">
      <c r="B524" s="46">
        <f>'📥 ข้อมูลนักเรียน'!B21</f>
        <v/>
      </c>
      <c r="C524" s="51">
        <f>'📥 ข้อมูลนักเรียน'!C21</f>
        <v/>
      </c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37">
        <f>IFERROR(SUMPRODUCT(((D524=D506)*(E524="Y")*(F524=F506)*(G524="Y")*(D524&lt;&gt;"")*(F524&lt;&gt;""))+((H524=H506)*(I524="Y")*(J524=J506)*(K524="Y")*(H524&lt;&gt;"")*(J524&lt;&gt;""))+((L524=L506)*(M524="Y")*(N524=N506)*(O524="Y")*(L524&lt;&gt;"")*(N524&lt;&gt;""))+((P524=P506)*(Q524="Y")*(R524=R506)*(S524="Y")*(P524&lt;&gt;"")*(R524&lt;&gt;""))),0)</f>
        <v/>
      </c>
      <c r="U524" s="49">
        <f>IFERROR(SUMPRODUCT(((D524&lt;&gt;D506)*(E524="Y")*(F524&lt;&gt;F506)*(G524="Y")*(D524&lt;&gt;"")*(F524&lt;&gt;""))+((H524&lt;&gt;H506)*(I524="Y")*(J524&lt;&gt;J506)*(K524="Y")*(H524&lt;&gt;"")*(J524&lt;&gt;""))+((L524&lt;&gt;L506)*(M524="Y")*(N524&lt;&gt;N506)*(O524="Y")*(L524&lt;&gt;"")*(N524&lt;&gt;""))+((P524&lt;&gt;P506)*(Q524="Y")*(R524&lt;&gt;R506)*(S524="Y")*(P524&lt;&gt;"")*(R524&lt;&gt;""))),0)</f>
        <v/>
      </c>
      <c r="V524" s="37">
        <f>IFERROR(SUMPRODUCT(((D524=D506)*(E524="Y")*(F524&lt;&gt;F506)*(G524="Y")*(D524&lt;&gt;"")*(F524&lt;&gt;""))+((H524=H506)*(I524="Y")*(J524&lt;&gt;J506)*(K524="Y")*(H524&lt;&gt;"")*(J524&lt;&gt;""))+((L524=L506)*(M524="Y")*(N524&lt;&gt;N506)*(O524="Y")*(L524&lt;&gt;"")*(N524&lt;&gt;""))+((P524=P506)*(Q524="Y")*(R524&lt;&gt;R506)*(S524="Y")*(P524&lt;&gt;"")*(R524&lt;&gt;""))),0)</f>
        <v/>
      </c>
      <c r="W524" s="37">
        <f>IFERROR(SUMPRODUCT(((E524="N")*(D524&lt;&gt;"")*(F524&lt;&gt;""))+((I524="N")*(H524&lt;&gt;"")*(J524&lt;&gt;""))+((M524="N")*(L524&lt;&gt;"")*(N524&lt;&gt;""))+((Q524="N")*(P524&lt;&gt;"")*(R524&lt;&gt;""))),0)</f>
        <v/>
      </c>
      <c r="X524" s="50">
        <f>IFERROR(U524/4,0)</f>
        <v/>
      </c>
    </row>
    <row r="525" ht="18" customHeight="1">
      <c r="B525" s="46">
        <f>'📥 ข้อมูลนักเรียน'!B22</f>
        <v/>
      </c>
      <c r="C525" s="47">
        <f>'📥 ข้อมูลนักเรียน'!C22</f>
        <v/>
      </c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37">
        <f>IFERROR(SUMPRODUCT(((D525=D506)*(E525="Y")*(F525=F506)*(G525="Y")*(D525&lt;&gt;"")*(F525&lt;&gt;""))+((H525=H506)*(I525="Y")*(J525=J506)*(K525="Y")*(H525&lt;&gt;"")*(J525&lt;&gt;""))+((L525=L506)*(M525="Y")*(N525=N506)*(O525="Y")*(L525&lt;&gt;"")*(N525&lt;&gt;""))+((P525=P506)*(Q525="Y")*(R525=R506)*(S525="Y")*(P525&lt;&gt;"")*(R525&lt;&gt;""))),0)</f>
        <v/>
      </c>
      <c r="U525" s="49">
        <f>IFERROR(SUMPRODUCT(((D525&lt;&gt;D506)*(E525="Y")*(F525&lt;&gt;F506)*(G525="Y")*(D525&lt;&gt;"")*(F525&lt;&gt;""))+((H525&lt;&gt;H506)*(I525="Y")*(J525&lt;&gt;J506)*(K525="Y")*(H525&lt;&gt;"")*(J525&lt;&gt;""))+((L525&lt;&gt;L506)*(M525="Y")*(N525&lt;&gt;N506)*(O525="Y")*(L525&lt;&gt;"")*(N525&lt;&gt;""))+((P525&lt;&gt;P506)*(Q525="Y")*(R525&lt;&gt;R506)*(S525="Y")*(P525&lt;&gt;"")*(R525&lt;&gt;""))),0)</f>
        <v/>
      </c>
      <c r="V525" s="37">
        <f>IFERROR(SUMPRODUCT(((D525=D506)*(E525="Y")*(F525&lt;&gt;F506)*(G525="Y")*(D525&lt;&gt;"")*(F525&lt;&gt;""))+((H525=H506)*(I525="Y")*(J525&lt;&gt;J506)*(K525="Y")*(H525&lt;&gt;"")*(J525&lt;&gt;""))+((L525=L506)*(M525="Y")*(N525&lt;&gt;N506)*(O525="Y")*(L525&lt;&gt;"")*(N525&lt;&gt;""))+((P525=P506)*(Q525="Y")*(R525&lt;&gt;R506)*(S525="Y")*(P525&lt;&gt;"")*(R525&lt;&gt;""))),0)</f>
        <v/>
      </c>
      <c r="W525" s="37">
        <f>IFERROR(SUMPRODUCT(((E525="N")*(D525&lt;&gt;"")*(F525&lt;&gt;""))+((I525="N")*(H525&lt;&gt;"")*(J525&lt;&gt;""))+((M525="N")*(L525&lt;&gt;"")*(N525&lt;&gt;""))+((Q525="N")*(P525&lt;&gt;"")*(R525&lt;&gt;""))),0)</f>
        <v/>
      </c>
      <c r="X525" s="50">
        <f>IFERROR(U525/4,0)</f>
        <v/>
      </c>
    </row>
    <row r="526" ht="18" customHeight="1">
      <c r="B526" s="46">
        <f>'📥 ข้อมูลนักเรียน'!B23</f>
        <v/>
      </c>
      <c r="C526" s="51">
        <f>'📥 ข้อมูลนักเรียน'!C23</f>
        <v/>
      </c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37">
        <f>IFERROR(SUMPRODUCT(((D526=D506)*(E526="Y")*(F526=F506)*(G526="Y")*(D526&lt;&gt;"")*(F526&lt;&gt;""))+((H526=H506)*(I526="Y")*(J526=J506)*(K526="Y")*(H526&lt;&gt;"")*(J526&lt;&gt;""))+((L526=L506)*(M526="Y")*(N526=N506)*(O526="Y")*(L526&lt;&gt;"")*(N526&lt;&gt;""))+((P526=P506)*(Q526="Y")*(R526=R506)*(S526="Y")*(P526&lt;&gt;"")*(R526&lt;&gt;""))),0)</f>
        <v/>
      </c>
      <c r="U526" s="49">
        <f>IFERROR(SUMPRODUCT(((D526&lt;&gt;D506)*(E526="Y")*(F526&lt;&gt;F506)*(G526="Y")*(D526&lt;&gt;"")*(F526&lt;&gt;""))+((H526&lt;&gt;H506)*(I526="Y")*(J526&lt;&gt;J506)*(K526="Y")*(H526&lt;&gt;"")*(J526&lt;&gt;""))+((L526&lt;&gt;L506)*(M526="Y")*(N526&lt;&gt;N506)*(O526="Y")*(L526&lt;&gt;"")*(N526&lt;&gt;""))+((P526&lt;&gt;P506)*(Q526="Y")*(R526&lt;&gt;R506)*(S526="Y")*(P526&lt;&gt;"")*(R526&lt;&gt;""))),0)</f>
        <v/>
      </c>
      <c r="V526" s="37">
        <f>IFERROR(SUMPRODUCT(((D526=D506)*(E526="Y")*(F526&lt;&gt;F506)*(G526="Y")*(D526&lt;&gt;"")*(F526&lt;&gt;""))+((H526=H506)*(I526="Y")*(J526&lt;&gt;J506)*(K526="Y")*(H526&lt;&gt;"")*(J526&lt;&gt;""))+((L526=L506)*(M526="Y")*(N526&lt;&gt;N506)*(O526="Y")*(L526&lt;&gt;"")*(N526&lt;&gt;""))+((P526=P506)*(Q526="Y")*(R526&lt;&gt;R506)*(S526="Y")*(P526&lt;&gt;"")*(R526&lt;&gt;""))),0)</f>
        <v/>
      </c>
      <c r="W526" s="37">
        <f>IFERROR(SUMPRODUCT(((E526="N")*(D526&lt;&gt;"")*(F526&lt;&gt;""))+((I526="N")*(H526&lt;&gt;"")*(J526&lt;&gt;""))+((M526="N")*(L526&lt;&gt;"")*(N526&lt;&gt;""))+((Q526="N")*(P526&lt;&gt;"")*(R526&lt;&gt;""))),0)</f>
        <v/>
      </c>
      <c r="X526" s="50">
        <f>IFERROR(U526/4,0)</f>
        <v/>
      </c>
    </row>
    <row r="527" ht="18" customHeight="1">
      <c r="B527" s="46">
        <f>'📥 ข้อมูลนักเรียน'!B24</f>
        <v/>
      </c>
      <c r="C527" s="47">
        <f>'📥 ข้อมูลนักเรียน'!C24</f>
        <v/>
      </c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37">
        <f>IFERROR(SUMPRODUCT(((D527=D506)*(E527="Y")*(F527=F506)*(G527="Y")*(D527&lt;&gt;"")*(F527&lt;&gt;""))+((H527=H506)*(I527="Y")*(J527=J506)*(K527="Y")*(H527&lt;&gt;"")*(J527&lt;&gt;""))+((L527=L506)*(M527="Y")*(N527=N506)*(O527="Y")*(L527&lt;&gt;"")*(N527&lt;&gt;""))+((P527=P506)*(Q527="Y")*(R527=R506)*(S527="Y")*(P527&lt;&gt;"")*(R527&lt;&gt;""))),0)</f>
        <v/>
      </c>
      <c r="U527" s="49">
        <f>IFERROR(SUMPRODUCT(((D527&lt;&gt;D506)*(E527="Y")*(F527&lt;&gt;F506)*(G527="Y")*(D527&lt;&gt;"")*(F527&lt;&gt;""))+((H527&lt;&gt;H506)*(I527="Y")*(J527&lt;&gt;J506)*(K527="Y")*(H527&lt;&gt;"")*(J527&lt;&gt;""))+((L527&lt;&gt;L506)*(M527="Y")*(N527&lt;&gt;N506)*(O527="Y")*(L527&lt;&gt;"")*(N527&lt;&gt;""))+((P527&lt;&gt;P506)*(Q527="Y")*(R527&lt;&gt;R506)*(S527="Y")*(P527&lt;&gt;"")*(R527&lt;&gt;""))),0)</f>
        <v/>
      </c>
      <c r="V527" s="37">
        <f>IFERROR(SUMPRODUCT(((D527=D506)*(E527="Y")*(F527&lt;&gt;F506)*(G527="Y")*(D527&lt;&gt;"")*(F527&lt;&gt;""))+((H527=H506)*(I527="Y")*(J527&lt;&gt;J506)*(K527="Y")*(H527&lt;&gt;"")*(J527&lt;&gt;""))+((L527=L506)*(M527="Y")*(N527&lt;&gt;N506)*(O527="Y")*(L527&lt;&gt;"")*(N527&lt;&gt;""))+((P527=P506)*(Q527="Y")*(R527&lt;&gt;R506)*(S527="Y")*(P527&lt;&gt;"")*(R527&lt;&gt;""))),0)</f>
        <v/>
      </c>
      <c r="W527" s="37">
        <f>IFERROR(SUMPRODUCT(((E527="N")*(D527&lt;&gt;"")*(F527&lt;&gt;""))+((I527="N")*(H527&lt;&gt;"")*(J527&lt;&gt;""))+((M527="N")*(L527&lt;&gt;"")*(N527&lt;&gt;""))+((Q527="N")*(P527&lt;&gt;"")*(R527&lt;&gt;""))),0)</f>
        <v/>
      </c>
      <c r="X527" s="50">
        <f>IFERROR(U527/4,0)</f>
        <v/>
      </c>
    </row>
    <row r="528" ht="18" customHeight="1">
      <c r="B528" s="46">
        <f>'📥 ข้อมูลนักเรียน'!B25</f>
        <v/>
      </c>
      <c r="C528" s="51">
        <f>'📥 ข้อมูลนักเรียน'!C25</f>
        <v/>
      </c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37">
        <f>IFERROR(SUMPRODUCT(((D528=D506)*(E528="Y")*(F528=F506)*(G528="Y")*(D528&lt;&gt;"")*(F528&lt;&gt;""))+((H528=H506)*(I528="Y")*(J528=J506)*(K528="Y")*(H528&lt;&gt;"")*(J528&lt;&gt;""))+((L528=L506)*(M528="Y")*(N528=N506)*(O528="Y")*(L528&lt;&gt;"")*(N528&lt;&gt;""))+((P528=P506)*(Q528="Y")*(R528=R506)*(S528="Y")*(P528&lt;&gt;"")*(R528&lt;&gt;""))),0)</f>
        <v/>
      </c>
      <c r="U528" s="49">
        <f>IFERROR(SUMPRODUCT(((D528&lt;&gt;D506)*(E528="Y")*(F528&lt;&gt;F506)*(G528="Y")*(D528&lt;&gt;"")*(F528&lt;&gt;""))+((H528&lt;&gt;H506)*(I528="Y")*(J528&lt;&gt;J506)*(K528="Y")*(H528&lt;&gt;"")*(J528&lt;&gt;""))+((L528&lt;&gt;L506)*(M528="Y")*(N528&lt;&gt;N506)*(O528="Y")*(L528&lt;&gt;"")*(N528&lt;&gt;""))+((P528&lt;&gt;P506)*(Q528="Y")*(R528&lt;&gt;R506)*(S528="Y")*(P528&lt;&gt;"")*(R528&lt;&gt;""))),0)</f>
        <v/>
      </c>
      <c r="V528" s="37">
        <f>IFERROR(SUMPRODUCT(((D528=D506)*(E528="Y")*(F528&lt;&gt;F506)*(G528="Y")*(D528&lt;&gt;"")*(F528&lt;&gt;""))+((H528=H506)*(I528="Y")*(J528&lt;&gt;J506)*(K528="Y")*(H528&lt;&gt;"")*(J528&lt;&gt;""))+((L528=L506)*(M528="Y")*(N528&lt;&gt;N506)*(O528="Y")*(L528&lt;&gt;"")*(N528&lt;&gt;""))+((P528=P506)*(Q528="Y")*(R528&lt;&gt;R506)*(S528="Y")*(P528&lt;&gt;"")*(R528&lt;&gt;""))),0)</f>
        <v/>
      </c>
      <c r="W528" s="37">
        <f>IFERROR(SUMPRODUCT(((E528="N")*(D528&lt;&gt;"")*(F528&lt;&gt;""))+((I528="N")*(H528&lt;&gt;"")*(J528&lt;&gt;""))+((M528="N")*(L528&lt;&gt;"")*(N528&lt;&gt;""))+((Q528="N")*(P528&lt;&gt;"")*(R528&lt;&gt;""))),0)</f>
        <v/>
      </c>
      <c r="X528" s="50">
        <f>IFERROR(U528/4,0)</f>
        <v/>
      </c>
    </row>
    <row r="529" ht="18" customHeight="1">
      <c r="B529" s="46">
        <f>'📥 ข้อมูลนักเรียน'!B26</f>
        <v/>
      </c>
      <c r="C529" s="47">
        <f>'📥 ข้อมูลนักเรียน'!C26</f>
        <v/>
      </c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37">
        <f>IFERROR(SUMPRODUCT(((D529=D506)*(E529="Y")*(F529=F506)*(G529="Y")*(D529&lt;&gt;"")*(F529&lt;&gt;""))+((H529=H506)*(I529="Y")*(J529=J506)*(K529="Y")*(H529&lt;&gt;"")*(J529&lt;&gt;""))+((L529=L506)*(M529="Y")*(N529=N506)*(O529="Y")*(L529&lt;&gt;"")*(N529&lt;&gt;""))+((P529=P506)*(Q529="Y")*(R529=R506)*(S529="Y")*(P529&lt;&gt;"")*(R529&lt;&gt;""))),0)</f>
        <v/>
      </c>
      <c r="U529" s="49">
        <f>IFERROR(SUMPRODUCT(((D529&lt;&gt;D506)*(E529="Y")*(F529&lt;&gt;F506)*(G529="Y")*(D529&lt;&gt;"")*(F529&lt;&gt;""))+((H529&lt;&gt;H506)*(I529="Y")*(J529&lt;&gt;J506)*(K529="Y")*(H529&lt;&gt;"")*(J529&lt;&gt;""))+((L529&lt;&gt;L506)*(M529="Y")*(N529&lt;&gt;N506)*(O529="Y")*(L529&lt;&gt;"")*(N529&lt;&gt;""))+((P529&lt;&gt;P506)*(Q529="Y")*(R529&lt;&gt;R506)*(S529="Y")*(P529&lt;&gt;"")*(R529&lt;&gt;""))),0)</f>
        <v/>
      </c>
      <c r="V529" s="37">
        <f>IFERROR(SUMPRODUCT(((D529=D506)*(E529="Y")*(F529&lt;&gt;F506)*(G529="Y")*(D529&lt;&gt;"")*(F529&lt;&gt;""))+((H529=H506)*(I529="Y")*(J529&lt;&gt;J506)*(K529="Y")*(H529&lt;&gt;"")*(J529&lt;&gt;""))+((L529=L506)*(M529="Y")*(N529&lt;&gt;N506)*(O529="Y")*(L529&lt;&gt;"")*(N529&lt;&gt;""))+((P529=P506)*(Q529="Y")*(R529&lt;&gt;R506)*(S529="Y")*(P529&lt;&gt;"")*(R529&lt;&gt;""))),0)</f>
        <v/>
      </c>
      <c r="W529" s="37">
        <f>IFERROR(SUMPRODUCT(((E529="N")*(D529&lt;&gt;"")*(F529&lt;&gt;""))+((I529="N")*(H529&lt;&gt;"")*(J529&lt;&gt;""))+((M529="N")*(L529&lt;&gt;"")*(N529&lt;&gt;""))+((Q529="N")*(P529&lt;&gt;"")*(R529&lt;&gt;""))),0)</f>
        <v/>
      </c>
      <c r="X529" s="50">
        <f>IFERROR(U529/4,0)</f>
        <v/>
      </c>
    </row>
    <row r="530" ht="18" customHeight="1">
      <c r="B530" s="46">
        <f>'📥 ข้อมูลนักเรียน'!B27</f>
        <v/>
      </c>
      <c r="C530" s="51">
        <f>'📥 ข้อมูลนักเรียน'!C27</f>
        <v/>
      </c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37">
        <f>IFERROR(SUMPRODUCT(((D530=D506)*(E530="Y")*(F530=F506)*(G530="Y")*(D530&lt;&gt;"")*(F530&lt;&gt;""))+((H530=H506)*(I530="Y")*(J530=J506)*(K530="Y")*(H530&lt;&gt;"")*(J530&lt;&gt;""))+((L530=L506)*(M530="Y")*(N530=N506)*(O530="Y")*(L530&lt;&gt;"")*(N530&lt;&gt;""))+((P530=P506)*(Q530="Y")*(R530=R506)*(S530="Y")*(P530&lt;&gt;"")*(R530&lt;&gt;""))),0)</f>
        <v/>
      </c>
      <c r="U530" s="49">
        <f>IFERROR(SUMPRODUCT(((D530&lt;&gt;D506)*(E530="Y")*(F530&lt;&gt;F506)*(G530="Y")*(D530&lt;&gt;"")*(F530&lt;&gt;""))+((H530&lt;&gt;H506)*(I530="Y")*(J530&lt;&gt;J506)*(K530="Y")*(H530&lt;&gt;"")*(J530&lt;&gt;""))+((L530&lt;&gt;L506)*(M530="Y")*(N530&lt;&gt;N506)*(O530="Y")*(L530&lt;&gt;"")*(N530&lt;&gt;""))+((P530&lt;&gt;P506)*(Q530="Y")*(R530&lt;&gt;R506)*(S530="Y")*(P530&lt;&gt;"")*(R530&lt;&gt;""))),0)</f>
        <v/>
      </c>
      <c r="V530" s="37">
        <f>IFERROR(SUMPRODUCT(((D530=D506)*(E530="Y")*(F530&lt;&gt;F506)*(G530="Y")*(D530&lt;&gt;"")*(F530&lt;&gt;""))+((H530=H506)*(I530="Y")*(J530&lt;&gt;J506)*(K530="Y")*(H530&lt;&gt;"")*(J530&lt;&gt;""))+((L530=L506)*(M530="Y")*(N530&lt;&gt;N506)*(O530="Y")*(L530&lt;&gt;"")*(N530&lt;&gt;""))+((P530=P506)*(Q530="Y")*(R530&lt;&gt;R506)*(S530="Y")*(P530&lt;&gt;"")*(R530&lt;&gt;""))),0)</f>
        <v/>
      </c>
      <c r="W530" s="37">
        <f>IFERROR(SUMPRODUCT(((E530="N")*(D530&lt;&gt;"")*(F530&lt;&gt;""))+((I530="N")*(H530&lt;&gt;"")*(J530&lt;&gt;""))+((M530="N")*(L530&lt;&gt;"")*(N530&lt;&gt;""))+((Q530="N")*(P530&lt;&gt;"")*(R530&lt;&gt;""))),0)</f>
        <v/>
      </c>
      <c r="X530" s="50">
        <f>IFERROR(U530/4,0)</f>
        <v/>
      </c>
    </row>
    <row r="531" ht="18" customHeight="1">
      <c r="B531" s="46">
        <f>'📥 ข้อมูลนักเรียน'!B28</f>
        <v/>
      </c>
      <c r="C531" s="47">
        <f>'📥 ข้อมูลนักเรียน'!C28</f>
        <v/>
      </c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37">
        <f>IFERROR(SUMPRODUCT(((D531=D506)*(E531="Y")*(F531=F506)*(G531="Y")*(D531&lt;&gt;"")*(F531&lt;&gt;""))+((H531=H506)*(I531="Y")*(J531=J506)*(K531="Y")*(H531&lt;&gt;"")*(J531&lt;&gt;""))+((L531=L506)*(M531="Y")*(N531=N506)*(O531="Y")*(L531&lt;&gt;"")*(N531&lt;&gt;""))+((P531=P506)*(Q531="Y")*(R531=R506)*(S531="Y")*(P531&lt;&gt;"")*(R531&lt;&gt;""))),0)</f>
        <v/>
      </c>
      <c r="U531" s="49">
        <f>IFERROR(SUMPRODUCT(((D531&lt;&gt;D506)*(E531="Y")*(F531&lt;&gt;F506)*(G531="Y")*(D531&lt;&gt;"")*(F531&lt;&gt;""))+((H531&lt;&gt;H506)*(I531="Y")*(J531&lt;&gt;J506)*(K531="Y")*(H531&lt;&gt;"")*(J531&lt;&gt;""))+((L531&lt;&gt;L506)*(M531="Y")*(N531&lt;&gt;N506)*(O531="Y")*(L531&lt;&gt;"")*(N531&lt;&gt;""))+((P531&lt;&gt;P506)*(Q531="Y")*(R531&lt;&gt;R506)*(S531="Y")*(P531&lt;&gt;"")*(R531&lt;&gt;""))),0)</f>
        <v/>
      </c>
      <c r="V531" s="37">
        <f>IFERROR(SUMPRODUCT(((D531=D506)*(E531="Y")*(F531&lt;&gt;F506)*(G531="Y")*(D531&lt;&gt;"")*(F531&lt;&gt;""))+((H531=H506)*(I531="Y")*(J531&lt;&gt;J506)*(K531="Y")*(H531&lt;&gt;"")*(J531&lt;&gt;""))+((L531=L506)*(M531="Y")*(N531&lt;&gt;N506)*(O531="Y")*(L531&lt;&gt;"")*(N531&lt;&gt;""))+((P531=P506)*(Q531="Y")*(R531&lt;&gt;R506)*(S531="Y")*(P531&lt;&gt;"")*(R531&lt;&gt;""))),0)</f>
        <v/>
      </c>
      <c r="W531" s="37">
        <f>IFERROR(SUMPRODUCT(((E531="N")*(D531&lt;&gt;"")*(F531&lt;&gt;""))+((I531="N")*(H531&lt;&gt;"")*(J531&lt;&gt;""))+((M531="N")*(L531&lt;&gt;"")*(N531&lt;&gt;""))+((Q531="N")*(P531&lt;&gt;"")*(R531&lt;&gt;""))),0)</f>
        <v/>
      </c>
      <c r="X531" s="50">
        <f>IFERROR(U531/4,0)</f>
        <v/>
      </c>
    </row>
    <row r="532" ht="18" customHeight="1">
      <c r="B532" s="46">
        <f>'📥 ข้อมูลนักเรียน'!B29</f>
        <v/>
      </c>
      <c r="C532" s="51">
        <f>'📥 ข้อมูลนักเรียน'!C29</f>
        <v/>
      </c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37">
        <f>IFERROR(SUMPRODUCT(((D532=D506)*(E532="Y")*(F532=F506)*(G532="Y")*(D532&lt;&gt;"")*(F532&lt;&gt;""))+((H532=H506)*(I532="Y")*(J532=J506)*(K532="Y")*(H532&lt;&gt;"")*(J532&lt;&gt;""))+((L532=L506)*(M532="Y")*(N532=N506)*(O532="Y")*(L532&lt;&gt;"")*(N532&lt;&gt;""))+((P532=P506)*(Q532="Y")*(R532=R506)*(S532="Y")*(P532&lt;&gt;"")*(R532&lt;&gt;""))),0)</f>
        <v/>
      </c>
      <c r="U532" s="49">
        <f>IFERROR(SUMPRODUCT(((D532&lt;&gt;D506)*(E532="Y")*(F532&lt;&gt;F506)*(G532="Y")*(D532&lt;&gt;"")*(F532&lt;&gt;""))+((H532&lt;&gt;H506)*(I532="Y")*(J532&lt;&gt;J506)*(K532="Y")*(H532&lt;&gt;"")*(J532&lt;&gt;""))+((L532&lt;&gt;L506)*(M532="Y")*(N532&lt;&gt;N506)*(O532="Y")*(L532&lt;&gt;"")*(N532&lt;&gt;""))+((P532&lt;&gt;P506)*(Q532="Y")*(R532&lt;&gt;R506)*(S532="Y")*(P532&lt;&gt;"")*(R532&lt;&gt;""))),0)</f>
        <v/>
      </c>
      <c r="V532" s="37">
        <f>IFERROR(SUMPRODUCT(((D532=D506)*(E532="Y")*(F532&lt;&gt;F506)*(G532="Y")*(D532&lt;&gt;"")*(F532&lt;&gt;""))+((H532=H506)*(I532="Y")*(J532&lt;&gt;J506)*(K532="Y")*(H532&lt;&gt;"")*(J532&lt;&gt;""))+((L532=L506)*(M532="Y")*(N532&lt;&gt;N506)*(O532="Y")*(L532&lt;&gt;"")*(N532&lt;&gt;""))+((P532=P506)*(Q532="Y")*(R532&lt;&gt;R506)*(S532="Y")*(P532&lt;&gt;"")*(R532&lt;&gt;""))),0)</f>
        <v/>
      </c>
      <c r="W532" s="37">
        <f>IFERROR(SUMPRODUCT(((E532="N")*(D532&lt;&gt;"")*(F532&lt;&gt;""))+((I532="N")*(H532&lt;&gt;"")*(J532&lt;&gt;""))+((M532="N")*(L532&lt;&gt;"")*(N532&lt;&gt;""))+((Q532="N")*(P532&lt;&gt;"")*(R532&lt;&gt;""))),0)</f>
        <v/>
      </c>
      <c r="X532" s="50">
        <f>IFERROR(U532/4,0)</f>
        <v/>
      </c>
    </row>
    <row r="533" ht="18" customHeight="1">
      <c r="B533" s="46">
        <f>'📥 ข้อมูลนักเรียน'!B30</f>
        <v/>
      </c>
      <c r="C533" s="47">
        <f>'📥 ข้อมูลนักเรียน'!C30</f>
        <v/>
      </c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37">
        <f>IFERROR(SUMPRODUCT(((D533=D506)*(E533="Y")*(F533=F506)*(G533="Y")*(D533&lt;&gt;"")*(F533&lt;&gt;""))+((H533=H506)*(I533="Y")*(J533=J506)*(K533="Y")*(H533&lt;&gt;"")*(J533&lt;&gt;""))+((L533=L506)*(M533="Y")*(N533=N506)*(O533="Y")*(L533&lt;&gt;"")*(N533&lt;&gt;""))+((P533=P506)*(Q533="Y")*(R533=R506)*(S533="Y")*(P533&lt;&gt;"")*(R533&lt;&gt;""))),0)</f>
        <v/>
      </c>
      <c r="U533" s="49">
        <f>IFERROR(SUMPRODUCT(((D533&lt;&gt;D506)*(E533="Y")*(F533&lt;&gt;F506)*(G533="Y")*(D533&lt;&gt;"")*(F533&lt;&gt;""))+((H533&lt;&gt;H506)*(I533="Y")*(J533&lt;&gt;J506)*(K533="Y")*(H533&lt;&gt;"")*(J533&lt;&gt;""))+((L533&lt;&gt;L506)*(M533="Y")*(N533&lt;&gt;N506)*(O533="Y")*(L533&lt;&gt;"")*(N533&lt;&gt;""))+((P533&lt;&gt;P506)*(Q533="Y")*(R533&lt;&gt;R506)*(S533="Y")*(P533&lt;&gt;"")*(R533&lt;&gt;""))),0)</f>
        <v/>
      </c>
      <c r="V533" s="37">
        <f>IFERROR(SUMPRODUCT(((D533=D506)*(E533="Y")*(F533&lt;&gt;F506)*(G533="Y")*(D533&lt;&gt;"")*(F533&lt;&gt;""))+((H533=H506)*(I533="Y")*(J533&lt;&gt;J506)*(K533="Y")*(H533&lt;&gt;"")*(J533&lt;&gt;""))+((L533=L506)*(M533="Y")*(N533&lt;&gt;N506)*(O533="Y")*(L533&lt;&gt;"")*(N533&lt;&gt;""))+((P533=P506)*(Q533="Y")*(R533&lt;&gt;R506)*(S533="Y")*(P533&lt;&gt;"")*(R533&lt;&gt;""))),0)</f>
        <v/>
      </c>
      <c r="W533" s="37">
        <f>IFERROR(SUMPRODUCT(((E533="N")*(D533&lt;&gt;"")*(F533&lt;&gt;""))+((I533="N")*(H533&lt;&gt;"")*(J533&lt;&gt;""))+((M533="N")*(L533&lt;&gt;"")*(N533&lt;&gt;""))+((Q533="N")*(P533&lt;&gt;"")*(R533&lt;&gt;""))),0)</f>
        <v/>
      </c>
      <c r="X533" s="50">
        <f>IFERROR(U533/4,0)</f>
        <v/>
      </c>
    </row>
    <row r="534" ht="18" customHeight="1">
      <c r="B534" s="46">
        <f>'📥 ข้อมูลนักเรียน'!B31</f>
        <v/>
      </c>
      <c r="C534" s="51">
        <f>'📥 ข้อมูลนักเรียน'!C31</f>
        <v/>
      </c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37">
        <f>IFERROR(SUMPRODUCT(((D534=D506)*(E534="Y")*(F534=F506)*(G534="Y")*(D534&lt;&gt;"")*(F534&lt;&gt;""))+((H534=H506)*(I534="Y")*(J534=J506)*(K534="Y")*(H534&lt;&gt;"")*(J534&lt;&gt;""))+((L534=L506)*(M534="Y")*(N534=N506)*(O534="Y")*(L534&lt;&gt;"")*(N534&lt;&gt;""))+((P534=P506)*(Q534="Y")*(R534=R506)*(S534="Y")*(P534&lt;&gt;"")*(R534&lt;&gt;""))),0)</f>
        <v/>
      </c>
      <c r="U534" s="49">
        <f>IFERROR(SUMPRODUCT(((D534&lt;&gt;D506)*(E534="Y")*(F534&lt;&gt;F506)*(G534="Y")*(D534&lt;&gt;"")*(F534&lt;&gt;""))+((H534&lt;&gt;H506)*(I534="Y")*(J534&lt;&gt;J506)*(K534="Y")*(H534&lt;&gt;"")*(J534&lt;&gt;""))+((L534&lt;&gt;L506)*(M534="Y")*(N534&lt;&gt;N506)*(O534="Y")*(L534&lt;&gt;"")*(N534&lt;&gt;""))+((P534&lt;&gt;P506)*(Q534="Y")*(R534&lt;&gt;R506)*(S534="Y")*(P534&lt;&gt;"")*(R534&lt;&gt;""))),0)</f>
        <v/>
      </c>
      <c r="V534" s="37">
        <f>IFERROR(SUMPRODUCT(((D534=D506)*(E534="Y")*(F534&lt;&gt;F506)*(G534="Y")*(D534&lt;&gt;"")*(F534&lt;&gt;""))+((H534=H506)*(I534="Y")*(J534&lt;&gt;J506)*(K534="Y")*(H534&lt;&gt;"")*(J534&lt;&gt;""))+((L534=L506)*(M534="Y")*(N534&lt;&gt;N506)*(O534="Y")*(L534&lt;&gt;"")*(N534&lt;&gt;""))+((P534=P506)*(Q534="Y")*(R534&lt;&gt;R506)*(S534="Y")*(P534&lt;&gt;"")*(R534&lt;&gt;""))),0)</f>
        <v/>
      </c>
      <c r="W534" s="37">
        <f>IFERROR(SUMPRODUCT(((E534="N")*(D534&lt;&gt;"")*(F534&lt;&gt;""))+((I534="N")*(H534&lt;&gt;"")*(J534&lt;&gt;""))+((M534="N")*(L534&lt;&gt;"")*(N534&lt;&gt;""))+((Q534="N")*(P534&lt;&gt;"")*(R534&lt;&gt;""))),0)</f>
        <v/>
      </c>
      <c r="X534" s="50">
        <f>IFERROR(U534/4,0)</f>
        <v/>
      </c>
    </row>
    <row r="535" ht="18" customHeight="1">
      <c r="B535" s="46">
        <f>'📥 ข้อมูลนักเรียน'!B32</f>
        <v/>
      </c>
      <c r="C535" s="47">
        <f>'📥 ข้อมูลนักเรียน'!C32</f>
        <v/>
      </c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37">
        <f>IFERROR(SUMPRODUCT(((D535=D506)*(E535="Y")*(F535=F506)*(G535="Y")*(D535&lt;&gt;"")*(F535&lt;&gt;""))+((H535=H506)*(I535="Y")*(J535=J506)*(K535="Y")*(H535&lt;&gt;"")*(J535&lt;&gt;""))+((L535=L506)*(M535="Y")*(N535=N506)*(O535="Y")*(L535&lt;&gt;"")*(N535&lt;&gt;""))+((P535=P506)*(Q535="Y")*(R535=R506)*(S535="Y")*(P535&lt;&gt;"")*(R535&lt;&gt;""))),0)</f>
        <v/>
      </c>
      <c r="U535" s="49">
        <f>IFERROR(SUMPRODUCT(((D535&lt;&gt;D506)*(E535="Y")*(F535&lt;&gt;F506)*(G535="Y")*(D535&lt;&gt;"")*(F535&lt;&gt;""))+((H535&lt;&gt;H506)*(I535="Y")*(J535&lt;&gt;J506)*(K535="Y")*(H535&lt;&gt;"")*(J535&lt;&gt;""))+((L535&lt;&gt;L506)*(M535="Y")*(N535&lt;&gt;N506)*(O535="Y")*(L535&lt;&gt;"")*(N535&lt;&gt;""))+((P535&lt;&gt;P506)*(Q535="Y")*(R535&lt;&gt;R506)*(S535="Y")*(P535&lt;&gt;"")*(R535&lt;&gt;""))),0)</f>
        <v/>
      </c>
      <c r="V535" s="37">
        <f>IFERROR(SUMPRODUCT(((D535=D506)*(E535="Y")*(F535&lt;&gt;F506)*(G535="Y")*(D535&lt;&gt;"")*(F535&lt;&gt;""))+((H535=H506)*(I535="Y")*(J535&lt;&gt;J506)*(K535="Y")*(H535&lt;&gt;"")*(J535&lt;&gt;""))+((L535=L506)*(M535="Y")*(N535&lt;&gt;N506)*(O535="Y")*(L535&lt;&gt;"")*(N535&lt;&gt;""))+((P535=P506)*(Q535="Y")*(R535&lt;&gt;R506)*(S535="Y")*(P535&lt;&gt;"")*(R535&lt;&gt;""))),0)</f>
        <v/>
      </c>
      <c r="W535" s="37">
        <f>IFERROR(SUMPRODUCT(((E535="N")*(D535&lt;&gt;"")*(F535&lt;&gt;""))+((I535="N")*(H535&lt;&gt;"")*(J535&lt;&gt;""))+((M535="N")*(L535&lt;&gt;"")*(N535&lt;&gt;""))+((Q535="N")*(P535&lt;&gt;"")*(R535&lt;&gt;""))),0)</f>
        <v/>
      </c>
      <c r="X535" s="50">
        <f>IFERROR(U535/4,0)</f>
        <v/>
      </c>
    </row>
    <row r="536" ht="18" customHeight="1">
      <c r="B536" s="46">
        <f>'📥 ข้อมูลนักเรียน'!B33</f>
        <v/>
      </c>
      <c r="C536" s="51">
        <f>'📥 ข้อมูลนักเรียน'!C33</f>
        <v/>
      </c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37">
        <f>IFERROR(SUMPRODUCT(((D536=D506)*(E536="Y")*(F536=F506)*(G536="Y")*(D536&lt;&gt;"")*(F536&lt;&gt;""))+((H536=H506)*(I536="Y")*(J536=J506)*(K536="Y")*(H536&lt;&gt;"")*(J536&lt;&gt;""))+((L536=L506)*(M536="Y")*(N536=N506)*(O536="Y")*(L536&lt;&gt;"")*(N536&lt;&gt;""))+((P536=P506)*(Q536="Y")*(R536=R506)*(S536="Y")*(P536&lt;&gt;"")*(R536&lt;&gt;""))),0)</f>
        <v/>
      </c>
      <c r="U536" s="49">
        <f>IFERROR(SUMPRODUCT(((D536&lt;&gt;D506)*(E536="Y")*(F536&lt;&gt;F506)*(G536="Y")*(D536&lt;&gt;"")*(F536&lt;&gt;""))+((H536&lt;&gt;H506)*(I536="Y")*(J536&lt;&gt;J506)*(K536="Y")*(H536&lt;&gt;"")*(J536&lt;&gt;""))+((L536&lt;&gt;L506)*(M536="Y")*(N536&lt;&gt;N506)*(O536="Y")*(L536&lt;&gt;"")*(N536&lt;&gt;""))+((P536&lt;&gt;P506)*(Q536="Y")*(R536&lt;&gt;R506)*(S536="Y")*(P536&lt;&gt;"")*(R536&lt;&gt;""))),0)</f>
        <v/>
      </c>
      <c r="V536" s="37">
        <f>IFERROR(SUMPRODUCT(((D536=D506)*(E536="Y")*(F536&lt;&gt;F506)*(G536="Y")*(D536&lt;&gt;"")*(F536&lt;&gt;""))+((H536=H506)*(I536="Y")*(J536&lt;&gt;J506)*(K536="Y")*(H536&lt;&gt;"")*(J536&lt;&gt;""))+((L536=L506)*(M536="Y")*(N536&lt;&gt;N506)*(O536="Y")*(L536&lt;&gt;"")*(N536&lt;&gt;""))+((P536=P506)*(Q536="Y")*(R536&lt;&gt;R506)*(S536="Y")*(P536&lt;&gt;"")*(R536&lt;&gt;""))),0)</f>
        <v/>
      </c>
      <c r="W536" s="37">
        <f>IFERROR(SUMPRODUCT(((E536="N")*(D536&lt;&gt;"")*(F536&lt;&gt;""))+((I536="N")*(H536&lt;&gt;"")*(J536&lt;&gt;""))+((M536="N")*(L536&lt;&gt;"")*(N536&lt;&gt;""))+((Q536="N")*(P536&lt;&gt;"")*(R536&lt;&gt;""))),0)</f>
        <v/>
      </c>
      <c r="X536" s="50">
        <f>IFERROR(U536/4,0)</f>
        <v/>
      </c>
    </row>
    <row r="537" ht="18" customHeight="1">
      <c r="B537" s="46">
        <f>'📥 ข้อมูลนักเรียน'!B34</f>
        <v/>
      </c>
      <c r="C537" s="47">
        <f>'📥 ข้อมูลนักเรียน'!C34</f>
        <v/>
      </c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37">
        <f>IFERROR(SUMPRODUCT(((D537=D506)*(E537="Y")*(F537=F506)*(G537="Y")*(D537&lt;&gt;"")*(F537&lt;&gt;""))+((H537=H506)*(I537="Y")*(J537=J506)*(K537="Y")*(H537&lt;&gt;"")*(J537&lt;&gt;""))+((L537=L506)*(M537="Y")*(N537=N506)*(O537="Y")*(L537&lt;&gt;"")*(N537&lt;&gt;""))+((P537=P506)*(Q537="Y")*(R537=R506)*(S537="Y")*(P537&lt;&gt;"")*(R537&lt;&gt;""))),0)</f>
        <v/>
      </c>
      <c r="U537" s="49">
        <f>IFERROR(SUMPRODUCT(((D537&lt;&gt;D506)*(E537="Y")*(F537&lt;&gt;F506)*(G537="Y")*(D537&lt;&gt;"")*(F537&lt;&gt;""))+((H537&lt;&gt;H506)*(I537="Y")*(J537&lt;&gt;J506)*(K537="Y")*(H537&lt;&gt;"")*(J537&lt;&gt;""))+((L537&lt;&gt;L506)*(M537="Y")*(N537&lt;&gt;N506)*(O537="Y")*(L537&lt;&gt;"")*(N537&lt;&gt;""))+((P537&lt;&gt;P506)*(Q537="Y")*(R537&lt;&gt;R506)*(S537="Y")*(P537&lt;&gt;"")*(R537&lt;&gt;""))),0)</f>
        <v/>
      </c>
      <c r="V537" s="37">
        <f>IFERROR(SUMPRODUCT(((D537=D506)*(E537="Y")*(F537&lt;&gt;F506)*(G537="Y")*(D537&lt;&gt;"")*(F537&lt;&gt;""))+((H537=H506)*(I537="Y")*(J537&lt;&gt;J506)*(K537="Y")*(H537&lt;&gt;"")*(J537&lt;&gt;""))+((L537=L506)*(M537="Y")*(N537&lt;&gt;N506)*(O537="Y")*(L537&lt;&gt;"")*(N537&lt;&gt;""))+((P537=P506)*(Q537="Y")*(R537&lt;&gt;R506)*(S537="Y")*(P537&lt;&gt;"")*(R537&lt;&gt;""))),0)</f>
        <v/>
      </c>
      <c r="W537" s="37">
        <f>IFERROR(SUMPRODUCT(((E537="N")*(D537&lt;&gt;"")*(F537&lt;&gt;""))+((I537="N")*(H537&lt;&gt;"")*(J537&lt;&gt;""))+((M537="N")*(L537&lt;&gt;"")*(N537&lt;&gt;""))+((Q537="N")*(P537&lt;&gt;"")*(R537&lt;&gt;""))),0)</f>
        <v/>
      </c>
      <c r="X537" s="50">
        <f>IFERROR(U537/4,0)</f>
        <v/>
      </c>
    </row>
    <row r="538" ht="18" customHeight="1">
      <c r="B538" s="46">
        <f>'📥 ข้อมูลนักเรียน'!B35</f>
        <v/>
      </c>
      <c r="C538" s="51">
        <f>'📥 ข้อมูลนักเรียน'!C35</f>
        <v/>
      </c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37">
        <f>IFERROR(SUMPRODUCT(((D538=D506)*(E538="Y")*(F538=F506)*(G538="Y")*(D538&lt;&gt;"")*(F538&lt;&gt;""))+((H538=H506)*(I538="Y")*(J538=J506)*(K538="Y")*(H538&lt;&gt;"")*(J538&lt;&gt;""))+((L538=L506)*(M538="Y")*(N538=N506)*(O538="Y")*(L538&lt;&gt;"")*(N538&lt;&gt;""))+((P538=P506)*(Q538="Y")*(R538=R506)*(S538="Y")*(P538&lt;&gt;"")*(R538&lt;&gt;""))),0)</f>
        <v/>
      </c>
      <c r="U538" s="49">
        <f>IFERROR(SUMPRODUCT(((D538&lt;&gt;D506)*(E538="Y")*(F538&lt;&gt;F506)*(G538="Y")*(D538&lt;&gt;"")*(F538&lt;&gt;""))+((H538&lt;&gt;H506)*(I538="Y")*(J538&lt;&gt;J506)*(K538="Y")*(H538&lt;&gt;"")*(J538&lt;&gt;""))+((L538&lt;&gt;L506)*(M538="Y")*(N538&lt;&gt;N506)*(O538="Y")*(L538&lt;&gt;"")*(N538&lt;&gt;""))+((P538&lt;&gt;P506)*(Q538="Y")*(R538&lt;&gt;R506)*(S538="Y")*(P538&lt;&gt;"")*(R538&lt;&gt;""))),0)</f>
        <v/>
      </c>
      <c r="V538" s="37">
        <f>IFERROR(SUMPRODUCT(((D538=D506)*(E538="Y")*(F538&lt;&gt;F506)*(G538="Y")*(D538&lt;&gt;"")*(F538&lt;&gt;""))+((H538=H506)*(I538="Y")*(J538&lt;&gt;J506)*(K538="Y")*(H538&lt;&gt;"")*(J538&lt;&gt;""))+((L538=L506)*(M538="Y")*(N538&lt;&gt;N506)*(O538="Y")*(L538&lt;&gt;"")*(N538&lt;&gt;""))+((P538=P506)*(Q538="Y")*(R538&lt;&gt;R506)*(S538="Y")*(P538&lt;&gt;"")*(R538&lt;&gt;""))),0)</f>
        <v/>
      </c>
      <c r="W538" s="37">
        <f>IFERROR(SUMPRODUCT(((E538="N")*(D538&lt;&gt;"")*(F538&lt;&gt;""))+((I538="N")*(H538&lt;&gt;"")*(J538&lt;&gt;""))+((M538="N")*(L538&lt;&gt;"")*(N538&lt;&gt;""))+((Q538="N")*(P538&lt;&gt;"")*(R538&lt;&gt;""))),0)</f>
        <v/>
      </c>
      <c r="X538" s="50">
        <f>IFERROR(U538/4,0)</f>
        <v/>
      </c>
    </row>
    <row r="539" ht="18" customHeight="1">
      <c r="B539" s="46">
        <f>'📥 ข้อมูลนักเรียน'!B36</f>
        <v/>
      </c>
      <c r="C539" s="47">
        <f>'📥 ข้อมูลนักเรียน'!C36</f>
        <v/>
      </c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37">
        <f>IFERROR(SUMPRODUCT(((D539=D506)*(E539="Y")*(F539=F506)*(G539="Y")*(D539&lt;&gt;"")*(F539&lt;&gt;""))+((H539=H506)*(I539="Y")*(J539=J506)*(K539="Y")*(H539&lt;&gt;"")*(J539&lt;&gt;""))+((L539=L506)*(M539="Y")*(N539=N506)*(O539="Y")*(L539&lt;&gt;"")*(N539&lt;&gt;""))+((P539=P506)*(Q539="Y")*(R539=R506)*(S539="Y")*(P539&lt;&gt;"")*(R539&lt;&gt;""))),0)</f>
        <v/>
      </c>
      <c r="U539" s="49">
        <f>IFERROR(SUMPRODUCT(((D539&lt;&gt;D506)*(E539="Y")*(F539&lt;&gt;F506)*(G539="Y")*(D539&lt;&gt;"")*(F539&lt;&gt;""))+((H539&lt;&gt;H506)*(I539="Y")*(J539&lt;&gt;J506)*(K539="Y")*(H539&lt;&gt;"")*(J539&lt;&gt;""))+((L539&lt;&gt;L506)*(M539="Y")*(N539&lt;&gt;N506)*(O539="Y")*(L539&lt;&gt;"")*(N539&lt;&gt;""))+((P539&lt;&gt;P506)*(Q539="Y")*(R539&lt;&gt;R506)*(S539="Y")*(P539&lt;&gt;"")*(R539&lt;&gt;""))),0)</f>
        <v/>
      </c>
      <c r="V539" s="37">
        <f>IFERROR(SUMPRODUCT(((D539=D506)*(E539="Y")*(F539&lt;&gt;F506)*(G539="Y")*(D539&lt;&gt;"")*(F539&lt;&gt;""))+((H539=H506)*(I539="Y")*(J539&lt;&gt;J506)*(K539="Y")*(H539&lt;&gt;"")*(J539&lt;&gt;""))+((L539=L506)*(M539="Y")*(N539&lt;&gt;N506)*(O539="Y")*(L539&lt;&gt;"")*(N539&lt;&gt;""))+((P539=P506)*(Q539="Y")*(R539&lt;&gt;R506)*(S539="Y")*(P539&lt;&gt;"")*(R539&lt;&gt;""))),0)</f>
        <v/>
      </c>
      <c r="W539" s="37">
        <f>IFERROR(SUMPRODUCT(((E539="N")*(D539&lt;&gt;"")*(F539&lt;&gt;""))+((I539="N")*(H539&lt;&gt;"")*(J539&lt;&gt;""))+((M539="N")*(L539&lt;&gt;"")*(N539&lt;&gt;""))+((Q539="N")*(P539&lt;&gt;"")*(R539&lt;&gt;""))),0)</f>
        <v/>
      </c>
      <c r="X539" s="50">
        <f>IFERROR(U539/4,0)</f>
        <v/>
      </c>
    </row>
    <row r="540" ht="18" customHeight="1">
      <c r="B540" s="46">
        <f>'📥 ข้อมูลนักเรียน'!B37</f>
        <v/>
      </c>
      <c r="C540" s="51">
        <f>'📥 ข้อมูลนักเรียน'!C37</f>
        <v/>
      </c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37">
        <f>IFERROR(SUMPRODUCT(((D540=D506)*(E540="Y")*(F540=F506)*(G540="Y")*(D540&lt;&gt;"")*(F540&lt;&gt;""))+((H540=H506)*(I540="Y")*(J540=J506)*(K540="Y")*(H540&lt;&gt;"")*(J540&lt;&gt;""))+((L540=L506)*(M540="Y")*(N540=N506)*(O540="Y")*(L540&lt;&gt;"")*(N540&lt;&gt;""))+((P540=P506)*(Q540="Y")*(R540=R506)*(S540="Y")*(P540&lt;&gt;"")*(R540&lt;&gt;""))),0)</f>
        <v/>
      </c>
      <c r="U540" s="49">
        <f>IFERROR(SUMPRODUCT(((D540&lt;&gt;D506)*(E540="Y")*(F540&lt;&gt;F506)*(G540="Y")*(D540&lt;&gt;"")*(F540&lt;&gt;""))+((H540&lt;&gt;H506)*(I540="Y")*(J540&lt;&gt;J506)*(K540="Y")*(H540&lt;&gt;"")*(J540&lt;&gt;""))+((L540&lt;&gt;L506)*(M540="Y")*(N540&lt;&gt;N506)*(O540="Y")*(L540&lt;&gt;"")*(N540&lt;&gt;""))+((P540&lt;&gt;P506)*(Q540="Y")*(R540&lt;&gt;R506)*(S540="Y")*(P540&lt;&gt;"")*(R540&lt;&gt;""))),0)</f>
        <v/>
      </c>
      <c r="V540" s="37">
        <f>IFERROR(SUMPRODUCT(((D540=D506)*(E540="Y")*(F540&lt;&gt;F506)*(G540="Y")*(D540&lt;&gt;"")*(F540&lt;&gt;""))+((H540=H506)*(I540="Y")*(J540&lt;&gt;J506)*(K540="Y")*(H540&lt;&gt;"")*(J540&lt;&gt;""))+((L540=L506)*(M540="Y")*(N540&lt;&gt;N506)*(O540="Y")*(L540&lt;&gt;"")*(N540&lt;&gt;""))+((P540=P506)*(Q540="Y")*(R540&lt;&gt;R506)*(S540="Y")*(P540&lt;&gt;"")*(R540&lt;&gt;""))),0)</f>
        <v/>
      </c>
      <c r="W540" s="37">
        <f>IFERROR(SUMPRODUCT(((E540="N")*(D540&lt;&gt;"")*(F540&lt;&gt;""))+((I540="N")*(H540&lt;&gt;"")*(J540&lt;&gt;""))+((M540="N")*(L540&lt;&gt;"")*(N540&lt;&gt;""))+((Q540="N")*(P540&lt;&gt;"")*(R540&lt;&gt;""))),0)</f>
        <v/>
      </c>
      <c r="X540" s="50">
        <f>IFERROR(U540/4,0)</f>
        <v/>
      </c>
    </row>
    <row r="541" ht="18" customHeight="1">
      <c r="B541" s="46">
        <f>'📥 ข้อมูลนักเรียน'!B38</f>
        <v/>
      </c>
      <c r="C541" s="47">
        <f>'📥 ข้อมูลนักเรียน'!C38</f>
        <v/>
      </c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37">
        <f>IFERROR(SUMPRODUCT(((D541=D506)*(E541="Y")*(F541=F506)*(G541="Y")*(D541&lt;&gt;"")*(F541&lt;&gt;""))+((H541=H506)*(I541="Y")*(J541=J506)*(K541="Y")*(H541&lt;&gt;"")*(J541&lt;&gt;""))+((L541=L506)*(M541="Y")*(N541=N506)*(O541="Y")*(L541&lt;&gt;"")*(N541&lt;&gt;""))+((P541=P506)*(Q541="Y")*(R541=R506)*(S541="Y")*(P541&lt;&gt;"")*(R541&lt;&gt;""))),0)</f>
        <v/>
      </c>
      <c r="U541" s="49">
        <f>IFERROR(SUMPRODUCT(((D541&lt;&gt;D506)*(E541="Y")*(F541&lt;&gt;F506)*(G541="Y")*(D541&lt;&gt;"")*(F541&lt;&gt;""))+((H541&lt;&gt;H506)*(I541="Y")*(J541&lt;&gt;J506)*(K541="Y")*(H541&lt;&gt;"")*(J541&lt;&gt;""))+((L541&lt;&gt;L506)*(M541="Y")*(N541&lt;&gt;N506)*(O541="Y")*(L541&lt;&gt;"")*(N541&lt;&gt;""))+((P541&lt;&gt;P506)*(Q541="Y")*(R541&lt;&gt;R506)*(S541="Y")*(P541&lt;&gt;"")*(R541&lt;&gt;""))),0)</f>
        <v/>
      </c>
      <c r="V541" s="37">
        <f>IFERROR(SUMPRODUCT(((D541=D506)*(E541="Y")*(F541&lt;&gt;F506)*(G541="Y")*(D541&lt;&gt;"")*(F541&lt;&gt;""))+((H541=H506)*(I541="Y")*(J541&lt;&gt;J506)*(K541="Y")*(H541&lt;&gt;"")*(J541&lt;&gt;""))+((L541=L506)*(M541="Y")*(N541&lt;&gt;N506)*(O541="Y")*(L541&lt;&gt;"")*(N541&lt;&gt;""))+((P541=P506)*(Q541="Y")*(R541&lt;&gt;R506)*(S541="Y")*(P541&lt;&gt;"")*(R541&lt;&gt;""))),0)</f>
        <v/>
      </c>
      <c r="W541" s="37">
        <f>IFERROR(SUMPRODUCT(((E541="N")*(D541&lt;&gt;"")*(F541&lt;&gt;""))+((I541="N")*(H541&lt;&gt;"")*(J541&lt;&gt;""))+((M541="N")*(L541&lt;&gt;"")*(N541&lt;&gt;""))+((Q541="N")*(P541&lt;&gt;"")*(R541&lt;&gt;""))),0)</f>
        <v/>
      </c>
      <c r="X541" s="50">
        <f>IFERROR(U541/4,0)</f>
        <v/>
      </c>
    </row>
    <row r="542" ht="24" customHeight="1">
      <c r="B542" s="226" t="inlineStr">
        <is>
          <t>สรุป Post แผน 7</t>
        </is>
      </c>
      <c r="C542" s="369" t="n"/>
      <c r="T542" s="52">
        <f>IFERROR(AVERAGE(T507:T541)*4,0)</f>
        <v/>
      </c>
      <c r="U542" s="53">
        <f>IFERROR(AVERAGE(U507:U541)*4,0)</f>
        <v/>
      </c>
      <c r="V542" s="54">
        <f>IFERROR(AVERAGE(V507:V541)*4,0)</f>
        <v/>
      </c>
      <c r="W542" s="55">
        <f>IFERROR(AVERAGE(W507:W541)*4,0)</f>
        <v/>
      </c>
      <c r="X542" s="56">
        <f>IFERROR(AVERAGE(X507:X541),0)</f>
        <v/>
      </c>
    </row>
    <row r="543" ht="7.5" customHeight="1"/>
    <row r="544" ht="21.75" customHeight="1">
      <c r="B544" s="249" t="inlineStr">
        <is>
          <t>▌ แผนที่ 8  |  คาบที่ 14,16  |  Misconception: M_dif  |  ข้อที่ 29–32  |  ⚠️ POST ONLY (ไม่มี Pre)</t>
        </is>
      </c>
      <c r="C544" s="382" t="n"/>
      <c r="D544" s="382" t="n"/>
      <c r="E544" s="382" t="n"/>
      <c r="F544" s="382" t="n"/>
      <c r="G544" s="382" t="n"/>
      <c r="H544" s="382" t="n"/>
      <c r="I544" s="382" t="n"/>
      <c r="J544" s="382" t="n"/>
      <c r="K544" s="382" t="n"/>
      <c r="L544" s="382" t="n"/>
      <c r="M544" s="382" t="n"/>
      <c r="N544" s="382" t="n"/>
      <c r="O544" s="382" t="n"/>
      <c r="P544" s="382" t="n"/>
      <c r="Q544" s="382" t="n"/>
      <c r="R544" s="382" t="n"/>
      <c r="S544" s="382" t="n"/>
      <c r="T544" s="382" t="n"/>
      <c r="U544" s="382" t="n"/>
      <c r="V544" s="382" t="n"/>
      <c r="W544" s="382" t="n"/>
      <c r="X544" s="382" t="n"/>
    </row>
    <row r="545" ht="15.75" customHeight="1">
      <c r="B545" s="250" t="inlineStr">
        <is>
          <t xml:space="preserve">   📍 M_dif: ช่องแคบ คลื่นผ่านไม่ได้ (Post only)</t>
        </is>
      </c>
    </row>
    <row r="546" ht="19.5" customHeight="1">
      <c r="B546" s="241" t="inlineStr">
        <is>
          <t>🟢 POST-test — หลังสอน  (แผน 8 ข้อ 29–32)</t>
        </is>
      </c>
    </row>
    <row r="547" ht="27.75" customHeight="1">
      <c r="B547" s="27" t="inlineStr">
        <is>
          <t>ที่</t>
        </is>
      </c>
      <c r="C547" s="27" t="inlineStr">
        <is>
          <t>ชื่อนักเรียน</t>
        </is>
      </c>
      <c r="D547" s="242" t="inlineStr">
        <is>
          <t>ข้อ 29</t>
        </is>
      </c>
      <c r="E547" s="369" t="n"/>
      <c r="F547" s="369" t="n"/>
      <c r="G547" s="369" t="n"/>
      <c r="H547" s="242" t="inlineStr">
        <is>
          <t>ข้อ 30</t>
        </is>
      </c>
      <c r="I547" s="369" t="n"/>
      <c r="J547" s="369" t="n"/>
      <c r="K547" s="369" t="n"/>
      <c r="L547" s="242" t="inlineStr">
        <is>
          <t>ข้อ 31</t>
        </is>
      </c>
      <c r="M547" s="369" t="n"/>
      <c r="N547" s="369" t="n"/>
      <c r="O547" s="369" t="n"/>
      <c r="P547" s="242" t="inlineStr">
        <is>
          <t>ข้อ 32</t>
        </is>
      </c>
      <c r="Q547" s="369" t="n"/>
      <c r="R547" s="369" t="n"/>
      <c r="S547" s="369" t="n"/>
      <c r="T547" s="57" t="inlineStr">
        <is>
          <t>Sound
✅</t>
        </is>
      </c>
      <c r="U547" s="57" t="inlineStr">
        <is>
          <t>Misc
❌</t>
        </is>
      </c>
      <c r="V547" s="57" t="inlineStr">
        <is>
          <t>Guess
🎲</t>
        </is>
      </c>
      <c r="W547" s="57" t="inlineStr">
        <is>
          <t>NoK
❓</t>
        </is>
      </c>
      <c r="X547" s="57" t="inlineStr">
        <is>
          <t>% Misc
(Auto)</t>
        </is>
      </c>
    </row>
    <row r="548" ht="27.75" customHeight="1">
      <c r="B548" s="58" t="n"/>
      <c r="C548" s="59" t="inlineStr">
        <is>
          <t>← กรอกเฉลย T1 และ T3</t>
        </is>
      </c>
      <c r="D548" s="60" t="inlineStr">
        <is>
          <t>T1
(ก-ง)</t>
        </is>
      </c>
      <c r="E548" s="60" t="inlineStr">
        <is>
          <t>T2
(Y/N)</t>
        </is>
      </c>
      <c r="F548" s="60" t="inlineStr">
        <is>
          <t>T3
(ก-ง)</t>
        </is>
      </c>
      <c r="G548" s="60" t="inlineStr">
        <is>
          <t>T4
(Y/N)</t>
        </is>
      </c>
      <c r="H548" s="60" t="inlineStr">
        <is>
          <t>T1
(ก-ง)</t>
        </is>
      </c>
      <c r="I548" s="60" t="inlineStr">
        <is>
          <t>T2
(Y/N)</t>
        </is>
      </c>
      <c r="J548" s="60" t="inlineStr">
        <is>
          <t>T3
(ก-ง)</t>
        </is>
      </c>
      <c r="K548" s="60" t="inlineStr">
        <is>
          <t>T4
(Y/N)</t>
        </is>
      </c>
      <c r="L548" s="60" t="inlineStr">
        <is>
          <t>T1
(ก-ง)</t>
        </is>
      </c>
      <c r="M548" s="60" t="inlineStr">
        <is>
          <t>T2
(Y/N)</t>
        </is>
      </c>
      <c r="N548" s="60" t="inlineStr">
        <is>
          <t>T3
(ก-ง)</t>
        </is>
      </c>
      <c r="O548" s="60" t="inlineStr">
        <is>
          <t>T4
(Y/N)</t>
        </is>
      </c>
      <c r="P548" s="60" t="inlineStr">
        <is>
          <t>T1
(ก-ง)</t>
        </is>
      </c>
      <c r="Q548" s="60" t="inlineStr">
        <is>
          <t>T2
(Y/N)</t>
        </is>
      </c>
      <c r="R548" s="60" t="inlineStr">
        <is>
          <t>T3
(ก-ง)</t>
        </is>
      </c>
      <c r="S548" s="60" t="inlineStr">
        <is>
          <t>T4
(Y/N)</t>
        </is>
      </c>
      <c r="T548" s="61" t="inlineStr">
        <is>
          <t>—</t>
        </is>
      </c>
      <c r="U548" s="61" t="inlineStr">
        <is>
          <t>—</t>
        </is>
      </c>
      <c r="V548" s="61" t="inlineStr">
        <is>
          <t>—</t>
        </is>
      </c>
      <c r="W548" s="61" t="inlineStr">
        <is>
          <t>—</t>
        </is>
      </c>
      <c r="X548" s="61" t="inlineStr">
        <is>
          <t>—</t>
        </is>
      </c>
    </row>
    <row r="549" ht="18" customHeight="1">
      <c r="B549" s="44" t="inlineStr">
        <is>
          <t>KEY</t>
        </is>
      </c>
      <c r="C549" s="45" t="inlineStr">
        <is>
          <t>← กรอกเฉลยที่ถูกต้อง</t>
        </is>
      </c>
      <c r="D549" s="9" t="n"/>
      <c r="E549" s="21" t="inlineStr">
        <is>
          <t>—</t>
        </is>
      </c>
      <c r="F549" s="9" t="n"/>
      <c r="G549" s="21" t="inlineStr">
        <is>
          <t>—</t>
        </is>
      </c>
      <c r="H549" s="9" t="n"/>
      <c r="I549" s="21" t="inlineStr">
        <is>
          <t>—</t>
        </is>
      </c>
      <c r="J549" s="9" t="n"/>
      <c r="K549" s="21" t="inlineStr">
        <is>
          <t>—</t>
        </is>
      </c>
      <c r="L549" s="9" t="n"/>
      <c r="M549" s="21" t="inlineStr">
        <is>
          <t>—</t>
        </is>
      </c>
      <c r="N549" s="9" t="n"/>
      <c r="O549" s="21" t="inlineStr">
        <is>
          <t>—</t>
        </is>
      </c>
      <c r="P549" s="9" t="n"/>
      <c r="Q549" s="21" t="inlineStr">
        <is>
          <t>—</t>
        </is>
      </c>
      <c r="R549" s="9" t="n"/>
      <c r="S549" s="21" t="inlineStr">
        <is>
          <t>—</t>
        </is>
      </c>
      <c r="T549" s="21" t="inlineStr">
        <is>
          <t>—</t>
        </is>
      </c>
      <c r="U549" s="21" t="inlineStr">
        <is>
          <t>—</t>
        </is>
      </c>
      <c r="V549" s="21" t="inlineStr">
        <is>
          <t>—</t>
        </is>
      </c>
      <c r="W549" s="21" t="inlineStr">
        <is>
          <t>—</t>
        </is>
      </c>
      <c r="X549" s="21" t="inlineStr">
        <is>
          <t>—</t>
        </is>
      </c>
    </row>
    <row r="550" ht="18" customHeight="1">
      <c r="B550" s="46">
        <f>'📥 ข้อมูลนักเรียน'!B4</f>
        <v/>
      </c>
      <c r="C550" s="47">
        <f>'📥 ข้อมูลนักเรียน'!C4</f>
        <v/>
      </c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37">
        <f>IFERROR(SUMPRODUCT(((D550=D549)*(E550="Y")*(F550=F549)*(G550="Y")*(D550&lt;&gt;"")* (F550&lt;&gt;""))+((H550=H549)*(I550="Y")*(J550=J549)*(K550="Y")*(H550&lt;&gt;"")* (J550&lt;&gt;""))+((L550=L549)*(M550="Y")*(N550=N549)*(O550="Y")*(L550&lt;&gt;"")* (N550&lt;&gt;""))+((P550=P549)*(Q550="Y")*(R550=R549)*(S550="Y")*(P550&lt;&gt;"")* (R550&lt;&gt;""))),0)</f>
        <v/>
      </c>
      <c r="U550" s="49">
        <f>IFERROR(SUMPRODUCT(((D550&lt;&gt;D549)*(E550="Y")*(F550&lt;&gt;F549)*(G550="Y")*(D550&lt;&gt;"")* (F550&lt;&gt;""))+((H550&lt;&gt;H549)*(I550="Y")*(J550&lt;&gt;J549)*(K550="Y")*(H550&lt;&gt;"")* (J550&lt;&gt;""))+((L550&lt;&gt;L549)*(M550="Y")*(N550&lt;&gt;N549)*(O550="Y")*(L550&lt;&gt;"")* (N550&lt;&gt;""))+((P550&lt;&gt;P549)*(Q550="Y")*(R550&lt;&gt;R549)*(S550="Y")*(P550&lt;&gt;"")* (R550&lt;&gt;""))),0)</f>
        <v/>
      </c>
      <c r="V550" s="37">
        <f>IFERROR(SUMPRODUCT(((D550=D549)*(E550="Y")*(F550&lt;&gt;F549)*(G550="Y")*(D550&lt;&gt;"")* (F550&lt;&gt;""))+((H550=H549)*(I550="Y")*(J550&lt;&gt;J549)*(K550="Y")*(H550&lt;&gt;"")* (J550&lt;&gt;""))+((L550=L549)*(M550="Y")*(N550&lt;&gt;N549)*(O550="Y")*(L550&lt;&gt;"")* (N550&lt;&gt;""))+((P550=P549)*(Q550="Y")*(R550&lt;&gt;R549)*(S550="Y")*(P550&lt;&gt;"")* (R550&lt;&gt;""))),0)</f>
        <v/>
      </c>
      <c r="W550" s="37">
        <f>IFERROR(SUMPRODUCT(((E550="N")*(D550&lt;&gt;"")* (F550&lt;&gt;""))+((I550="N")*(H550&lt;&gt;"")* (J550&lt;&gt;""))+((M550="N")*(L550&lt;&gt;"")* (N550&lt;&gt;""))+((Q550="N")*(P550&lt;&gt;"")* (R550&lt;&gt;""))),0)</f>
        <v/>
      </c>
      <c r="X550" s="50">
        <f>IFERROR(U550/4,0)</f>
        <v/>
      </c>
    </row>
    <row r="551" ht="18" customHeight="1">
      <c r="B551" s="46">
        <f>'📥 ข้อมูลนักเรียน'!B5</f>
        <v/>
      </c>
      <c r="C551" s="51">
        <f>'📥 ข้อมูลนักเรียน'!C5</f>
        <v/>
      </c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37">
        <f>IFERROR(SUMPRODUCT(((D551=D549)*(E551="Y")*(F551=F549)*(G551="Y")*(D551&lt;&gt;"")* (F551&lt;&gt;""))+((H551=H549)*(I551="Y")*(J551=J549)*(K551="Y")*(H551&lt;&gt;"")* (J551&lt;&gt;""))+((L551=L549)*(M551="Y")*(N551=N549)*(O551="Y")*(L551&lt;&gt;"")* (N551&lt;&gt;""))+((P551=P549)*(Q551="Y")*(R551=R549)*(S551="Y")*(P551&lt;&gt;"")* (R551&lt;&gt;""))),0)</f>
        <v/>
      </c>
      <c r="U551" s="49">
        <f>IFERROR(SUMPRODUCT(((D551&lt;&gt;D549)*(E551="Y")*(F551&lt;&gt;F549)*(G551="Y")*(D551&lt;&gt;"")* (F551&lt;&gt;""))+((H551&lt;&gt;H549)*(I551="Y")*(J551&lt;&gt;J549)*(K551="Y")*(H551&lt;&gt;"")* (J551&lt;&gt;""))+((L551&lt;&gt;L549)*(M551="Y")*(N551&lt;&gt;N549)*(O551="Y")*(L551&lt;&gt;"")* (N551&lt;&gt;""))+((P551&lt;&gt;P549)*(Q551="Y")*(R551&lt;&gt;R549)*(S551="Y")*(P551&lt;&gt;"")* (R551&lt;&gt;""))),0)</f>
        <v/>
      </c>
      <c r="V551" s="37">
        <f>IFERROR(SUMPRODUCT(((D551=D549)*(E551="Y")*(F551&lt;&gt;F549)*(G551="Y")*(D551&lt;&gt;"")* (F551&lt;&gt;""))+((H551=H549)*(I551="Y")*(J551&lt;&gt;J549)*(K551="Y")*(H551&lt;&gt;"")* (J551&lt;&gt;""))+((L551=L549)*(M551="Y")*(N551&lt;&gt;N549)*(O551="Y")*(L551&lt;&gt;"")* (N551&lt;&gt;""))+((P551=P549)*(Q551="Y")*(R551&lt;&gt;R549)*(S551="Y")*(P551&lt;&gt;"")* (R551&lt;&gt;""))),0)</f>
        <v/>
      </c>
      <c r="W551" s="37">
        <f>IFERROR(SUMPRODUCT(((E551="N")*(D551&lt;&gt;"")* (F551&lt;&gt;""))+((I551="N")*(H551&lt;&gt;"")* (J551&lt;&gt;""))+((M551="N")*(L551&lt;&gt;"")* (N551&lt;&gt;""))+((Q551="N")*(P551&lt;&gt;"")* (R551&lt;&gt;""))),0)</f>
        <v/>
      </c>
      <c r="X551" s="50">
        <f>IFERROR(U551/4,0)</f>
        <v/>
      </c>
    </row>
    <row r="552" ht="18" customHeight="1">
      <c r="B552" s="46">
        <f>'📥 ข้อมูลนักเรียน'!B6</f>
        <v/>
      </c>
      <c r="C552" s="47">
        <f>'📥 ข้อมูลนักเรียน'!C6</f>
        <v/>
      </c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37">
        <f>IFERROR(SUMPRODUCT(((D552=D549)*(E552="Y")*(F552=F549)*(G552="Y")*(D552&lt;&gt;"")* (F552&lt;&gt;""))+((H552=H549)*(I552="Y")*(J552=J549)*(K552="Y")*(H552&lt;&gt;"")* (J552&lt;&gt;""))+((L552=L549)*(M552="Y")*(N552=N549)*(O552="Y")*(L552&lt;&gt;"")* (N552&lt;&gt;""))+((P552=P549)*(Q552="Y")*(R552=R549)*(S552="Y")*(P552&lt;&gt;"")* (R552&lt;&gt;""))),0)</f>
        <v/>
      </c>
      <c r="U552" s="49">
        <f>IFERROR(SUMPRODUCT(((D552&lt;&gt;D549)*(E552="Y")*(F552&lt;&gt;F549)*(G552="Y")*(D552&lt;&gt;"")* (F552&lt;&gt;""))+((H552&lt;&gt;H549)*(I552="Y")*(J552&lt;&gt;J549)*(K552="Y")*(H552&lt;&gt;"")* (J552&lt;&gt;""))+((L552&lt;&gt;L549)*(M552="Y")*(N552&lt;&gt;N549)*(O552="Y")*(L552&lt;&gt;"")* (N552&lt;&gt;""))+((P552&lt;&gt;P549)*(Q552="Y")*(R552&lt;&gt;R549)*(S552="Y")*(P552&lt;&gt;"")* (R552&lt;&gt;""))),0)</f>
        <v/>
      </c>
      <c r="V552" s="37">
        <f>IFERROR(SUMPRODUCT(((D552=D549)*(E552="Y")*(F552&lt;&gt;F549)*(G552="Y")*(D552&lt;&gt;"")* (F552&lt;&gt;""))+((H552=H549)*(I552="Y")*(J552&lt;&gt;J549)*(K552="Y")*(H552&lt;&gt;"")* (J552&lt;&gt;""))+((L552=L549)*(M552="Y")*(N552&lt;&gt;N549)*(O552="Y")*(L552&lt;&gt;"")* (N552&lt;&gt;""))+((P552=P549)*(Q552="Y")*(R552&lt;&gt;R549)*(S552="Y")*(P552&lt;&gt;"")* (R552&lt;&gt;""))),0)</f>
        <v/>
      </c>
      <c r="W552" s="37">
        <f>IFERROR(SUMPRODUCT(((E552="N")*(D552&lt;&gt;"")* (F552&lt;&gt;""))+((I552="N")*(H552&lt;&gt;"")* (J552&lt;&gt;""))+((M552="N")*(L552&lt;&gt;"")* (N552&lt;&gt;""))+((Q552="N")*(P552&lt;&gt;"")* (R552&lt;&gt;""))),0)</f>
        <v/>
      </c>
      <c r="X552" s="50">
        <f>IFERROR(U552/4,0)</f>
        <v/>
      </c>
    </row>
    <row r="553" ht="18" customHeight="1">
      <c r="B553" s="46">
        <f>'📥 ข้อมูลนักเรียน'!B7</f>
        <v/>
      </c>
      <c r="C553" s="51">
        <f>'📥 ข้อมูลนักเรียน'!C7</f>
        <v/>
      </c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37">
        <f>IFERROR(SUMPRODUCT(((D553=D549)*(E553="Y")*(F553=F549)*(G553="Y")*(D553&lt;&gt;"")* (F553&lt;&gt;""))+((H553=H549)*(I553="Y")*(J553=J549)*(K553="Y")*(H553&lt;&gt;"")* (J553&lt;&gt;""))+((L553=L549)*(M553="Y")*(N553=N549)*(O553="Y")*(L553&lt;&gt;"")* (N553&lt;&gt;""))+((P553=P549)*(Q553="Y")*(R553=R549)*(S553="Y")*(P553&lt;&gt;"")* (R553&lt;&gt;""))),0)</f>
        <v/>
      </c>
      <c r="U553" s="49">
        <f>IFERROR(SUMPRODUCT(((D553&lt;&gt;D549)*(E553="Y")*(F553&lt;&gt;F549)*(G553="Y")*(D553&lt;&gt;"")* (F553&lt;&gt;""))+((H553&lt;&gt;H549)*(I553="Y")*(J553&lt;&gt;J549)*(K553="Y")*(H553&lt;&gt;"")* (J553&lt;&gt;""))+((L553&lt;&gt;L549)*(M553="Y")*(N553&lt;&gt;N549)*(O553="Y")*(L553&lt;&gt;"")* (N553&lt;&gt;""))+((P553&lt;&gt;P549)*(Q553="Y")*(R553&lt;&gt;R549)*(S553="Y")*(P553&lt;&gt;"")* (R553&lt;&gt;""))),0)</f>
        <v/>
      </c>
      <c r="V553" s="37">
        <f>IFERROR(SUMPRODUCT(((D553=D549)*(E553="Y")*(F553&lt;&gt;F549)*(G553="Y")*(D553&lt;&gt;"")* (F553&lt;&gt;""))+((H553=H549)*(I553="Y")*(J553&lt;&gt;J549)*(K553="Y")*(H553&lt;&gt;"")* (J553&lt;&gt;""))+((L553=L549)*(M553="Y")*(N553&lt;&gt;N549)*(O553="Y")*(L553&lt;&gt;"")* (N553&lt;&gt;""))+((P553=P549)*(Q553="Y")*(R553&lt;&gt;R549)*(S553="Y")*(P553&lt;&gt;"")* (R553&lt;&gt;""))),0)</f>
        <v/>
      </c>
      <c r="W553" s="37">
        <f>IFERROR(SUMPRODUCT(((E553="N")*(D553&lt;&gt;"")* (F553&lt;&gt;""))+((I553="N")*(H553&lt;&gt;"")* (J553&lt;&gt;""))+((M553="N")*(L553&lt;&gt;"")* (N553&lt;&gt;""))+((Q553="N")*(P553&lt;&gt;"")* (R553&lt;&gt;""))),0)</f>
        <v/>
      </c>
      <c r="X553" s="50">
        <f>IFERROR(U553/4,0)</f>
        <v/>
      </c>
    </row>
    <row r="554" ht="18" customHeight="1">
      <c r="B554" s="46">
        <f>'📥 ข้อมูลนักเรียน'!B8</f>
        <v/>
      </c>
      <c r="C554" s="47">
        <f>'📥 ข้อมูลนักเรียน'!C8</f>
        <v/>
      </c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37">
        <f>IFERROR(SUMPRODUCT(((D554=D549)*(E554="Y")*(F554=F549)*(G554="Y")*(D554&lt;&gt;"")* (F554&lt;&gt;""))+((H554=H549)*(I554="Y")*(J554=J549)*(K554="Y")*(H554&lt;&gt;"")* (J554&lt;&gt;""))+((L554=L549)*(M554="Y")*(N554=N549)*(O554="Y")*(L554&lt;&gt;"")* (N554&lt;&gt;""))+((P554=P549)*(Q554="Y")*(R554=R549)*(S554="Y")*(P554&lt;&gt;"")* (R554&lt;&gt;""))),0)</f>
        <v/>
      </c>
      <c r="U554" s="49">
        <f>IFERROR(SUMPRODUCT(((D554&lt;&gt;D549)*(E554="Y")*(F554&lt;&gt;F549)*(G554="Y")*(D554&lt;&gt;"")* (F554&lt;&gt;""))+((H554&lt;&gt;H549)*(I554="Y")*(J554&lt;&gt;J549)*(K554="Y")*(H554&lt;&gt;"")* (J554&lt;&gt;""))+((L554&lt;&gt;L549)*(M554="Y")*(N554&lt;&gt;N549)*(O554="Y")*(L554&lt;&gt;"")* (N554&lt;&gt;""))+((P554&lt;&gt;P549)*(Q554="Y")*(R554&lt;&gt;R549)*(S554="Y")*(P554&lt;&gt;"")* (R554&lt;&gt;""))),0)</f>
        <v/>
      </c>
      <c r="V554" s="37">
        <f>IFERROR(SUMPRODUCT(((D554=D549)*(E554="Y")*(F554&lt;&gt;F549)*(G554="Y")*(D554&lt;&gt;"")* (F554&lt;&gt;""))+((H554=H549)*(I554="Y")*(J554&lt;&gt;J549)*(K554="Y")*(H554&lt;&gt;"")* (J554&lt;&gt;""))+((L554=L549)*(M554="Y")*(N554&lt;&gt;N549)*(O554="Y")*(L554&lt;&gt;"")* (N554&lt;&gt;""))+((P554=P549)*(Q554="Y")*(R554&lt;&gt;R549)*(S554="Y")*(P554&lt;&gt;"")* (R554&lt;&gt;""))),0)</f>
        <v/>
      </c>
      <c r="W554" s="37">
        <f>IFERROR(SUMPRODUCT(((E554="N")*(D554&lt;&gt;"")* (F554&lt;&gt;""))+((I554="N")*(H554&lt;&gt;"")* (J554&lt;&gt;""))+((M554="N")*(L554&lt;&gt;"")* (N554&lt;&gt;""))+((Q554="N")*(P554&lt;&gt;"")* (R554&lt;&gt;""))),0)</f>
        <v/>
      </c>
      <c r="X554" s="50">
        <f>IFERROR(U554/4,0)</f>
        <v/>
      </c>
    </row>
    <row r="555" ht="18" customHeight="1">
      <c r="B555" s="46">
        <f>'📥 ข้อมูลนักเรียน'!B9</f>
        <v/>
      </c>
      <c r="C555" s="51">
        <f>'📥 ข้อมูลนักเรียน'!C9</f>
        <v/>
      </c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37">
        <f>IFERROR(SUMPRODUCT(((D555=D549)*(E555="Y")*(F555=F549)*(G555="Y")*(D555&lt;&gt;"")* (F555&lt;&gt;""))+((H555=H549)*(I555="Y")*(J555=J549)*(K555="Y")*(H555&lt;&gt;"")* (J555&lt;&gt;""))+((L555=L549)*(M555="Y")*(N555=N549)*(O555="Y")*(L555&lt;&gt;"")* (N555&lt;&gt;""))+((P555=P549)*(Q555="Y")*(R555=R549)*(S555="Y")*(P555&lt;&gt;"")* (R555&lt;&gt;""))),0)</f>
        <v/>
      </c>
      <c r="U555" s="49">
        <f>IFERROR(SUMPRODUCT(((D555&lt;&gt;D549)*(E555="Y")*(F555&lt;&gt;F549)*(G555="Y")*(D555&lt;&gt;"")* (F555&lt;&gt;""))+((H555&lt;&gt;H549)*(I555="Y")*(J555&lt;&gt;J549)*(K555="Y")*(H555&lt;&gt;"")* (J555&lt;&gt;""))+((L555&lt;&gt;L549)*(M555="Y")*(N555&lt;&gt;N549)*(O555="Y")*(L555&lt;&gt;"")* (N555&lt;&gt;""))+((P555&lt;&gt;P549)*(Q555="Y")*(R555&lt;&gt;R549)*(S555="Y")*(P555&lt;&gt;"")* (R555&lt;&gt;""))),0)</f>
        <v/>
      </c>
      <c r="V555" s="37">
        <f>IFERROR(SUMPRODUCT(((D555=D549)*(E555="Y")*(F555&lt;&gt;F549)*(G555="Y")*(D555&lt;&gt;"")* (F555&lt;&gt;""))+((H555=H549)*(I555="Y")*(J555&lt;&gt;J549)*(K555="Y")*(H555&lt;&gt;"")* (J555&lt;&gt;""))+((L555=L549)*(M555="Y")*(N555&lt;&gt;N549)*(O555="Y")*(L555&lt;&gt;"")* (N555&lt;&gt;""))+((P555=P549)*(Q555="Y")*(R555&lt;&gt;R549)*(S555="Y")*(P555&lt;&gt;"")* (R555&lt;&gt;""))),0)</f>
        <v/>
      </c>
      <c r="W555" s="37">
        <f>IFERROR(SUMPRODUCT(((E555="N")*(D555&lt;&gt;"")* (F555&lt;&gt;""))+((I555="N")*(H555&lt;&gt;"")* (J555&lt;&gt;""))+((M555="N")*(L555&lt;&gt;"")* (N555&lt;&gt;""))+((Q555="N")*(P555&lt;&gt;"")* (R555&lt;&gt;""))),0)</f>
        <v/>
      </c>
      <c r="X555" s="50">
        <f>IFERROR(U555/4,0)</f>
        <v/>
      </c>
    </row>
    <row r="556" ht="18" customHeight="1">
      <c r="B556" s="46">
        <f>'📥 ข้อมูลนักเรียน'!B10</f>
        <v/>
      </c>
      <c r="C556" s="47">
        <f>'📥 ข้อมูลนักเรียน'!C10</f>
        <v/>
      </c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37">
        <f>IFERROR(SUMPRODUCT(((D556=D549)*(E556="Y")*(F556=F549)*(G556="Y")*(D556&lt;&gt;"")* (F556&lt;&gt;""))+((H556=H549)*(I556="Y")*(J556=J549)*(K556="Y")*(H556&lt;&gt;"")* (J556&lt;&gt;""))+((L556=L549)*(M556="Y")*(N556=N549)*(O556="Y")*(L556&lt;&gt;"")* (N556&lt;&gt;""))+((P556=P549)*(Q556="Y")*(R556=R549)*(S556="Y")*(P556&lt;&gt;"")* (R556&lt;&gt;""))),0)</f>
        <v/>
      </c>
      <c r="U556" s="49">
        <f>IFERROR(SUMPRODUCT(((D556&lt;&gt;D549)*(E556="Y")*(F556&lt;&gt;F549)*(G556="Y")*(D556&lt;&gt;"")* (F556&lt;&gt;""))+((H556&lt;&gt;H549)*(I556="Y")*(J556&lt;&gt;J549)*(K556="Y")*(H556&lt;&gt;"")* (J556&lt;&gt;""))+((L556&lt;&gt;L549)*(M556="Y")*(N556&lt;&gt;N549)*(O556="Y")*(L556&lt;&gt;"")* (N556&lt;&gt;""))+((P556&lt;&gt;P549)*(Q556="Y")*(R556&lt;&gt;R549)*(S556="Y")*(P556&lt;&gt;"")* (R556&lt;&gt;""))),0)</f>
        <v/>
      </c>
      <c r="V556" s="37">
        <f>IFERROR(SUMPRODUCT(((D556=D549)*(E556="Y")*(F556&lt;&gt;F549)*(G556="Y")*(D556&lt;&gt;"")* (F556&lt;&gt;""))+((H556=H549)*(I556="Y")*(J556&lt;&gt;J549)*(K556="Y")*(H556&lt;&gt;"")* (J556&lt;&gt;""))+((L556=L549)*(M556="Y")*(N556&lt;&gt;N549)*(O556="Y")*(L556&lt;&gt;"")* (N556&lt;&gt;""))+((P556=P549)*(Q556="Y")*(R556&lt;&gt;R549)*(S556="Y")*(P556&lt;&gt;"")* (R556&lt;&gt;""))),0)</f>
        <v/>
      </c>
      <c r="W556" s="37">
        <f>IFERROR(SUMPRODUCT(((E556="N")*(D556&lt;&gt;"")* (F556&lt;&gt;""))+((I556="N")*(H556&lt;&gt;"")* (J556&lt;&gt;""))+((M556="N")*(L556&lt;&gt;"")* (N556&lt;&gt;""))+((Q556="N")*(P556&lt;&gt;"")* (R556&lt;&gt;""))),0)</f>
        <v/>
      </c>
      <c r="X556" s="50">
        <f>IFERROR(U556/4,0)</f>
        <v/>
      </c>
    </row>
    <row r="557" ht="18" customHeight="1">
      <c r="B557" s="46">
        <f>'📥 ข้อมูลนักเรียน'!B11</f>
        <v/>
      </c>
      <c r="C557" s="51">
        <f>'📥 ข้อมูลนักเรียน'!C11</f>
        <v/>
      </c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37">
        <f>IFERROR(SUMPRODUCT(((D557=D549)*(E557="Y")*(F557=F549)*(G557="Y")*(D557&lt;&gt;"")* (F557&lt;&gt;""))+((H557=H549)*(I557="Y")*(J557=J549)*(K557="Y")*(H557&lt;&gt;"")* (J557&lt;&gt;""))+((L557=L549)*(M557="Y")*(N557=N549)*(O557="Y")*(L557&lt;&gt;"")* (N557&lt;&gt;""))+((P557=P549)*(Q557="Y")*(R557=R549)*(S557="Y")*(P557&lt;&gt;"")* (R557&lt;&gt;""))),0)</f>
        <v/>
      </c>
      <c r="U557" s="49">
        <f>IFERROR(SUMPRODUCT(((D557&lt;&gt;D549)*(E557="Y")*(F557&lt;&gt;F549)*(G557="Y")*(D557&lt;&gt;"")* (F557&lt;&gt;""))+((H557&lt;&gt;H549)*(I557="Y")*(J557&lt;&gt;J549)*(K557="Y")*(H557&lt;&gt;"")* (J557&lt;&gt;""))+((L557&lt;&gt;L549)*(M557="Y")*(N557&lt;&gt;N549)*(O557="Y")*(L557&lt;&gt;"")* (N557&lt;&gt;""))+((P557&lt;&gt;P549)*(Q557="Y")*(R557&lt;&gt;R549)*(S557="Y")*(P557&lt;&gt;"")* (R557&lt;&gt;""))),0)</f>
        <v/>
      </c>
      <c r="V557" s="37">
        <f>IFERROR(SUMPRODUCT(((D557=D549)*(E557="Y")*(F557&lt;&gt;F549)*(G557="Y")*(D557&lt;&gt;"")* (F557&lt;&gt;""))+((H557=H549)*(I557="Y")*(J557&lt;&gt;J549)*(K557="Y")*(H557&lt;&gt;"")* (J557&lt;&gt;""))+((L557=L549)*(M557="Y")*(N557&lt;&gt;N549)*(O557="Y")*(L557&lt;&gt;"")* (N557&lt;&gt;""))+((P557=P549)*(Q557="Y")*(R557&lt;&gt;R549)*(S557="Y")*(P557&lt;&gt;"")* (R557&lt;&gt;""))),0)</f>
        <v/>
      </c>
      <c r="W557" s="37">
        <f>IFERROR(SUMPRODUCT(((E557="N")*(D557&lt;&gt;"")* (F557&lt;&gt;""))+((I557="N")*(H557&lt;&gt;"")* (J557&lt;&gt;""))+((M557="N")*(L557&lt;&gt;"")* (N557&lt;&gt;""))+((Q557="N")*(P557&lt;&gt;"")* (R557&lt;&gt;""))),0)</f>
        <v/>
      </c>
      <c r="X557" s="50">
        <f>IFERROR(U557/4,0)</f>
        <v/>
      </c>
    </row>
    <row r="558" ht="18" customHeight="1">
      <c r="B558" s="46">
        <f>'📥 ข้อมูลนักเรียน'!B12</f>
        <v/>
      </c>
      <c r="C558" s="47">
        <f>'📥 ข้อมูลนักเรียน'!C12</f>
        <v/>
      </c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37">
        <f>IFERROR(SUMPRODUCT(((D558=D549)*(E558="Y")*(F558=F549)*(G558="Y")*(D558&lt;&gt;"")* (F558&lt;&gt;""))+((H558=H549)*(I558="Y")*(J558=J549)*(K558="Y")*(H558&lt;&gt;"")* (J558&lt;&gt;""))+((L558=L549)*(M558="Y")*(N558=N549)*(O558="Y")*(L558&lt;&gt;"")* (N558&lt;&gt;""))+((P558=P549)*(Q558="Y")*(R558=R549)*(S558="Y")*(P558&lt;&gt;"")* (R558&lt;&gt;""))),0)</f>
        <v/>
      </c>
      <c r="U558" s="49">
        <f>IFERROR(SUMPRODUCT(((D558&lt;&gt;D549)*(E558="Y")*(F558&lt;&gt;F549)*(G558="Y")*(D558&lt;&gt;"")* (F558&lt;&gt;""))+((H558&lt;&gt;H549)*(I558="Y")*(J558&lt;&gt;J549)*(K558="Y")*(H558&lt;&gt;"")* (J558&lt;&gt;""))+((L558&lt;&gt;L549)*(M558="Y")*(N558&lt;&gt;N549)*(O558="Y")*(L558&lt;&gt;"")* (N558&lt;&gt;""))+((P558&lt;&gt;P549)*(Q558="Y")*(R558&lt;&gt;R549)*(S558="Y")*(P558&lt;&gt;"")* (R558&lt;&gt;""))),0)</f>
        <v/>
      </c>
      <c r="V558" s="37">
        <f>IFERROR(SUMPRODUCT(((D558=D549)*(E558="Y")*(F558&lt;&gt;F549)*(G558="Y")*(D558&lt;&gt;"")* (F558&lt;&gt;""))+((H558=H549)*(I558="Y")*(J558&lt;&gt;J549)*(K558="Y")*(H558&lt;&gt;"")* (J558&lt;&gt;""))+((L558=L549)*(M558="Y")*(N558&lt;&gt;N549)*(O558="Y")*(L558&lt;&gt;"")* (N558&lt;&gt;""))+((P558=P549)*(Q558="Y")*(R558&lt;&gt;R549)*(S558="Y")*(P558&lt;&gt;"")* (R558&lt;&gt;""))),0)</f>
        <v/>
      </c>
      <c r="W558" s="37">
        <f>IFERROR(SUMPRODUCT(((E558="N")*(D558&lt;&gt;"")* (F558&lt;&gt;""))+((I558="N")*(H558&lt;&gt;"")* (J558&lt;&gt;""))+((M558="N")*(L558&lt;&gt;"")* (N558&lt;&gt;""))+((Q558="N")*(P558&lt;&gt;"")* (R558&lt;&gt;""))),0)</f>
        <v/>
      </c>
      <c r="X558" s="50">
        <f>IFERROR(U558/4,0)</f>
        <v/>
      </c>
    </row>
    <row r="559" ht="18" customHeight="1">
      <c r="B559" s="46">
        <f>'📥 ข้อมูลนักเรียน'!B13</f>
        <v/>
      </c>
      <c r="C559" s="51">
        <f>'📥 ข้อมูลนักเรียน'!C13</f>
        <v/>
      </c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37">
        <f>IFERROR(SUMPRODUCT(((D559=D549)*(E559="Y")*(F559=F549)*(G559="Y")*(D559&lt;&gt;"")* (F559&lt;&gt;""))+((H559=H549)*(I559="Y")*(J559=J549)*(K559="Y")*(H559&lt;&gt;"")* (J559&lt;&gt;""))+((L559=L549)*(M559="Y")*(N559=N549)*(O559="Y")*(L559&lt;&gt;"")* (N559&lt;&gt;""))+((P559=P549)*(Q559="Y")*(R559=R549)*(S559="Y")*(P559&lt;&gt;"")* (R559&lt;&gt;""))),0)</f>
        <v/>
      </c>
      <c r="U559" s="49">
        <f>IFERROR(SUMPRODUCT(((D559&lt;&gt;D549)*(E559="Y")*(F559&lt;&gt;F549)*(G559="Y")*(D559&lt;&gt;"")* (F559&lt;&gt;""))+((H559&lt;&gt;H549)*(I559="Y")*(J559&lt;&gt;J549)*(K559="Y")*(H559&lt;&gt;"")* (J559&lt;&gt;""))+((L559&lt;&gt;L549)*(M559="Y")*(N559&lt;&gt;N549)*(O559="Y")*(L559&lt;&gt;"")* (N559&lt;&gt;""))+((P559&lt;&gt;P549)*(Q559="Y")*(R559&lt;&gt;R549)*(S559="Y")*(P559&lt;&gt;"")* (R559&lt;&gt;""))),0)</f>
        <v/>
      </c>
      <c r="V559" s="37">
        <f>IFERROR(SUMPRODUCT(((D559=D549)*(E559="Y")*(F559&lt;&gt;F549)*(G559="Y")*(D559&lt;&gt;"")* (F559&lt;&gt;""))+((H559=H549)*(I559="Y")*(J559&lt;&gt;J549)*(K559="Y")*(H559&lt;&gt;"")* (J559&lt;&gt;""))+((L559=L549)*(M559="Y")*(N559&lt;&gt;N549)*(O559="Y")*(L559&lt;&gt;"")* (N559&lt;&gt;""))+((P559=P549)*(Q559="Y")*(R559&lt;&gt;R549)*(S559="Y")*(P559&lt;&gt;"")* (R559&lt;&gt;""))),0)</f>
        <v/>
      </c>
      <c r="W559" s="37">
        <f>IFERROR(SUMPRODUCT(((E559="N")*(D559&lt;&gt;"")* (F559&lt;&gt;""))+((I559="N")*(H559&lt;&gt;"")* (J559&lt;&gt;""))+((M559="N")*(L559&lt;&gt;"")* (N559&lt;&gt;""))+((Q559="N")*(P559&lt;&gt;"")* (R559&lt;&gt;""))),0)</f>
        <v/>
      </c>
      <c r="X559" s="50">
        <f>IFERROR(U559/4,0)</f>
        <v/>
      </c>
    </row>
    <row r="560" ht="18" customHeight="1">
      <c r="B560" s="46">
        <f>'📥 ข้อมูลนักเรียน'!B14</f>
        <v/>
      </c>
      <c r="C560" s="47">
        <f>'📥 ข้อมูลนักเรียน'!C14</f>
        <v/>
      </c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37">
        <f>IFERROR(SUMPRODUCT(((D560=D549)*(E560="Y")*(F560=F549)*(G560="Y")*(D560&lt;&gt;"")* (F560&lt;&gt;""))+((H560=H549)*(I560="Y")*(J560=J549)*(K560="Y")*(H560&lt;&gt;"")* (J560&lt;&gt;""))+((L560=L549)*(M560="Y")*(N560=N549)*(O560="Y")*(L560&lt;&gt;"")* (N560&lt;&gt;""))+((P560=P549)*(Q560="Y")*(R560=R549)*(S560="Y")*(P560&lt;&gt;"")* (R560&lt;&gt;""))),0)</f>
        <v/>
      </c>
      <c r="U560" s="49">
        <f>IFERROR(SUMPRODUCT(((D560&lt;&gt;D549)*(E560="Y")*(F560&lt;&gt;F549)*(G560="Y")*(D560&lt;&gt;"")* (F560&lt;&gt;""))+((H560&lt;&gt;H549)*(I560="Y")*(J560&lt;&gt;J549)*(K560="Y")*(H560&lt;&gt;"")* (J560&lt;&gt;""))+((L560&lt;&gt;L549)*(M560="Y")*(N560&lt;&gt;N549)*(O560="Y")*(L560&lt;&gt;"")* (N560&lt;&gt;""))+((P560&lt;&gt;P549)*(Q560="Y")*(R560&lt;&gt;R549)*(S560="Y")*(P560&lt;&gt;"")* (R560&lt;&gt;""))),0)</f>
        <v/>
      </c>
      <c r="V560" s="37">
        <f>IFERROR(SUMPRODUCT(((D560=D549)*(E560="Y")*(F560&lt;&gt;F549)*(G560="Y")*(D560&lt;&gt;"")* (F560&lt;&gt;""))+((H560=H549)*(I560="Y")*(J560&lt;&gt;J549)*(K560="Y")*(H560&lt;&gt;"")* (J560&lt;&gt;""))+((L560=L549)*(M560="Y")*(N560&lt;&gt;N549)*(O560="Y")*(L560&lt;&gt;"")* (N560&lt;&gt;""))+((P560=P549)*(Q560="Y")*(R560&lt;&gt;R549)*(S560="Y")*(P560&lt;&gt;"")* (R560&lt;&gt;""))),0)</f>
        <v/>
      </c>
      <c r="W560" s="37">
        <f>IFERROR(SUMPRODUCT(((E560="N")*(D560&lt;&gt;"")* (F560&lt;&gt;""))+((I560="N")*(H560&lt;&gt;"")* (J560&lt;&gt;""))+((M560="N")*(L560&lt;&gt;"")* (N560&lt;&gt;""))+((Q560="N")*(P560&lt;&gt;"")* (R560&lt;&gt;""))),0)</f>
        <v/>
      </c>
      <c r="X560" s="50">
        <f>IFERROR(U560/4,0)</f>
        <v/>
      </c>
    </row>
    <row r="561" ht="18" customHeight="1">
      <c r="B561" s="46">
        <f>'📥 ข้อมูลนักเรียน'!B15</f>
        <v/>
      </c>
      <c r="C561" s="51">
        <f>'📥 ข้อมูลนักเรียน'!C15</f>
        <v/>
      </c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37">
        <f>IFERROR(SUMPRODUCT(((D561=D549)*(E561="Y")*(F561=F549)*(G561="Y")*(D561&lt;&gt;"")* (F561&lt;&gt;""))+((H561=H549)*(I561="Y")*(J561=J549)*(K561="Y")*(H561&lt;&gt;"")* (J561&lt;&gt;""))+((L561=L549)*(M561="Y")*(N561=N549)*(O561="Y")*(L561&lt;&gt;"")* (N561&lt;&gt;""))+((P561=P549)*(Q561="Y")*(R561=R549)*(S561="Y")*(P561&lt;&gt;"")* (R561&lt;&gt;""))),0)</f>
        <v/>
      </c>
      <c r="U561" s="49">
        <f>IFERROR(SUMPRODUCT(((D561&lt;&gt;D549)*(E561="Y")*(F561&lt;&gt;F549)*(G561="Y")*(D561&lt;&gt;"")* (F561&lt;&gt;""))+((H561&lt;&gt;H549)*(I561="Y")*(J561&lt;&gt;J549)*(K561="Y")*(H561&lt;&gt;"")* (J561&lt;&gt;""))+((L561&lt;&gt;L549)*(M561="Y")*(N561&lt;&gt;N549)*(O561="Y")*(L561&lt;&gt;"")* (N561&lt;&gt;""))+((P561&lt;&gt;P549)*(Q561="Y")*(R561&lt;&gt;R549)*(S561="Y")*(P561&lt;&gt;"")* (R561&lt;&gt;""))),0)</f>
        <v/>
      </c>
      <c r="V561" s="37">
        <f>IFERROR(SUMPRODUCT(((D561=D549)*(E561="Y")*(F561&lt;&gt;F549)*(G561="Y")*(D561&lt;&gt;"")* (F561&lt;&gt;""))+((H561=H549)*(I561="Y")*(J561&lt;&gt;J549)*(K561="Y")*(H561&lt;&gt;"")* (J561&lt;&gt;""))+((L561=L549)*(M561="Y")*(N561&lt;&gt;N549)*(O561="Y")*(L561&lt;&gt;"")* (N561&lt;&gt;""))+((P561=P549)*(Q561="Y")*(R561&lt;&gt;R549)*(S561="Y")*(P561&lt;&gt;"")* (R561&lt;&gt;""))),0)</f>
        <v/>
      </c>
      <c r="W561" s="37">
        <f>IFERROR(SUMPRODUCT(((E561="N")*(D561&lt;&gt;"")* (F561&lt;&gt;""))+((I561="N")*(H561&lt;&gt;"")* (J561&lt;&gt;""))+((M561="N")*(L561&lt;&gt;"")* (N561&lt;&gt;""))+((Q561="N")*(P561&lt;&gt;"")* (R561&lt;&gt;""))),0)</f>
        <v/>
      </c>
      <c r="X561" s="50">
        <f>IFERROR(U561/4,0)</f>
        <v/>
      </c>
    </row>
    <row r="562" ht="18" customHeight="1">
      <c r="B562" s="46">
        <f>'📥 ข้อมูลนักเรียน'!B16</f>
        <v/>
      </c>
      <c r="C562" s="47">
        <f>'📥 ข้อมูลนักเรียน'!C16</f>
        <v/>
      </c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37">
        <f>IFERROR(SUMPRODUCT(((D562=D549)*(E562="Y")*(F562=F549)*(G562="Y")*(D562&lt;&gt;"")* (F562&lt;&gt;""))+((H562=H549)*(I562="Y")*(J562=J549)*(K562="Y")*(H562&lt;&gt;"")* (J562&lt;&gt;""))+((L562=L549)*(M562="Y")*(N562=N549)*(O562="Y")*(L562&lt;&gt;"")* (N562&lt;&gt;""))+((P562=P549)*(Q562="Y")*(R562=R549)*(S562="Y")*(P562&lt;&gt;"")* (R562&lt;&gt;""))),0)</f>
        <v/>
      </c>
      <c r="U562" s="49">
        <f>IFERROR(SUMPRODUCT(((D562&lt;&gt;D549)*(E562="Y")*(F562&lt;&gt;F549)*(G562="Y")*(D562&lt;&gt;"")* (F562&lt;&gt;""))+((H562&lt;&gt;H549)*(I562="Y")*(J562&lt;&gt;J549)*(K562="Y")*(H562&lt;&gt;"")* (J562&lt;&gt;""))+((L562&lt;&gt;L549)*(M562="Y")*(N562&lt;&gt;N549)*(O562="Y")*(L562&lt;&gt;"")* (N562&lt;&gt;""))+((P562&lt;&gt;P549)*(Q562="Y")*(R562&lt;&gt;R549)*(S562="Y")*(P562&lt;&gt;"")* (R562&lt;&gt;""))),0)</f>
        <v/>
      </c>
      <c r="V562" s="37">
        <f>IFERROR(SUMPRODUCT(((D562=D549)*(E562="Y")*(F562&lt;&gt;F549)*(G562="Y")*(D562&lt;&gt;"")* (F562&lt;&gt;""))+((H562=H549)*(I562="Y")*(J562&lt;&gt;J549)*(K562="Y")*(H562&lt;&gt;"")* (J562&lt;&gt;""))+((L562=L549)*(M562="Y")*(N562&lt;&gt;N549)*(O562="Y")*(L562&lt;&gt;"")* (N562&lt;&gt;""))+((P562=P549)*(Q562="Y")*(R562&lt;&gt;R549)*(S562="Y")*(P562&lt;&gt;"")* (R562&lt;&gt;""))),0)</f>
        <v/>
      </c>
      <c r="W562" s="37">
        <f>IFERROR(SUMPRODUCT(((E562="N")*(D562&lt;&gt;"")* (F562&lt;&gt;""))+((I562="N")*(H562&lt;&gt;"")* (J562&lt;&gt;""))+((M562="N")*(L562&lt;&gt;"")* (N562&lt;&gt;""))+((Q562="N")*(P562&lt;&gt;"")* (R562&lt;&gt;""))),0)</f>
        <v/>
      </c>
      <c r="X562" s="50">
        <f>IFERROR(U562/4,0)</f>
        <v/>
      </c>
    </row>
    <row r="563" ht="18" customHeight="1">
      <c r="B563" s="46">
        <f>'📥 ข้อมูลนักเรียน'!B17</f>
        <v/>
      </c>
      <c r="C563" s="51">
        <f>'📥 ข้อมูลนักเรียน'!C17</f>
        <v/>
      </c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37">
        <f>IFERROR(SUMPRODUCT(((D563=D549)*(E563="Y")*(F563=F549)*(G563="Y")*(D563&lt;&gt;"")* (F563&lt;&gt;""))+((H563=H549)*(I563="Y")*(J563=J549)*(K563="Y")*(H563&lt;&gt;"")* (J563&lt;&gt;""))+((L563=L549)*(M563="Y")*(N563=N549)*(O563="Y")*(L563&lt;&gt;"")* (N563&lt;&gt;""))+((P563=P549)*(Q563="Y")*(R563=R549)*(S563="Y")*(P563&lt;&gt;"")* (R563&lt;&gt;""))),0)</f>
        <v/>
      </c>
      <c r="U563" s="49">
        <f>IFERROR(SUMPRODUCT(((D563&lt;&gt;D549)*(E563="Y")*(F563&lt;&gt;F549)*(G563="Y")*(D563&lt;&gt;"")* (F563&lt;&gt;""))+((H563&lt;&gt;H549)*(I563="Y")*(J563&lt;&gt;J549)*(K563="Y")*(H563&lt;&gt;"")* (J563&lt;&gt;""))+((L563&lt;&gt;L549)*(M563="Y")*(N563&lt;&gt;N549)*(O563="Y")*(L563&lt;&gt;"")* (N563&lt;&gt;""))+((P563&lt;&gt;P549)*(Q563="Y")*(R563&lt;&gt;R549)*(S563="Y")*(P563&lt;&gt;"")* (R563&lt;&gt;""))),0)</f>
        <v/>
      </c>
      <c r="V563" s="37">
        <f>IFERROR(SUMPRODUCT(((D563=D549)*(E563="Y")*(F563&lt;&gt;F549)*(G563="Y")*(D563&lt;&gt;"")* (F563&lt;&gt;""))+((H563=H549)*(I563="Y")*(J563&lt;&gt;J549)*(K563="Y")*(H563&lt;&gt;"")* (J563&lt;&gt;""))+((L563=L549)*(M563="Y")*(N563&lt;&gt;N549)*(O563="Y")*(L563&lt;&gt;"")* (N563&lt;&gt;""))+((P563=P549)*(Q563="Y")*(R563&lt;&gt;R549)*(S563="Y")*(P563&lt;&gt;"")* (R563&lt;&gt;""))),0)</f>
        <v/>
      </c>
      <c r="W563" s="37">
        <f>IFERROR(SUMPRODUCT(((E563="N")*(D563&lt;&gt;"")* (F563&lt;&gt;""))+((I563="N")*(H563&lt;&gt;"")* (J563&lt;&gt;""))+((M563="N")*(L563&lt;&gt;"")* (N563&lt;&gt;""))+((Q563="N")*(P563&lt;&gt;"")* (R563&lt;&gt;""))),0)</f>
        <v/>
      </c>
      <c r="X563" s="50">
        <f>IFERROR(U563/4,0)</f>
        <v/>
      </c>
    </row>
    <row r="564" ht="18" customHeight="1">
      <c r="B564" s="46">
        <f>'📥 ข้อมูลนักเรียน'!B18</f>
        <v/>
      </c>
      <c r="C564" s="47">
        <f>'📥 ข้อมูลนักเรียน'!C18</f>
        <v/>
      </c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37">
        <f>IFERROR(SUMPRODUCT(((D564=D549)*(E564="Y")*(F564=F549)*(G564="Y")*(D564&lt;&gt;"")*(F564&lt;&gt;""))+((H564=H549)*(I564="Y")*(J564=J549)*(K564="Y")*(H564&lt;&gt;"")*(J564&lt;&gt;""))+((L564=L549)*(M564="Y")*(N564=N549)*(O564="Y")*(L564&lt;&gt;"")*(N564&lt;&gt;""))+((P564=P549)*(Q564="Y")*(R564=R549)*(S564="Y")*(P564&lt;&gt;"")*(R564&lt;&gt;""))),0)</f>
        <v/>
      </c>
      <c r="U564" s="49">
        <f>IFERROR(SUMPRODUCT(((D564&lt;&gt;D549)*(E564="Y")*(F564&lt;&gt;F549)*(G564="Y")*(D564&lt;&gt;"")*(F564&lt;&gt;""))+((H564&lt;&gt;H549)*(I564="Y")*(J564&lt;&gt;J549)*(K564="Y")*(H564&lt;&gt;"")*(J564&lt;&gt;""))+((L564&lt;&gt;L549)*(M564="Y")*(N564&lt;&gt;N549)*(O564="Y")*(L564&lt;&gt;"")*(N564&lt;&gt;""))+((P564&lt;&gt;P549)*(Q564="Y")*(R564&lt;&gt;R549)*(S564="Y")*(P564&lt;&gt;"")*(R564&lt;&gt;""))),0)</f>
        <v/>
      </c>
      <c r="V564" s="37">
        <f>IFERROR(SUMPRODUCT(((D564=D549)*(E564="Y")*(F564&lt;&gt;F549)*(G564="Y")*(D564&lt;&gt;"")*(F564&lt;&gt;""))+((H564=H549)*(I564="Y")*(J564&lt;&gt;J549)*(K564="Y")*(H564&lt;&gt;"")*(J564&lt;&gt;""))+((L564=L549)*(M564="Y")*(N564&lt;&gt;N549)*(O564="Y")*(L564&lt;&gt;"")*(N564&lt;&gt;""))+((P564=P549)*(Q564="Y")*(R564&lt;&gt;R549)*(S564="Y")*(P564&lt;&gt;"")*(R564&lt;&gt;""))),0)</f>
        <v/>
      </c>
      <c r="W564" s="37">
        <f>IFERROR(SUMPRODUCT(((E564="N")*(D564&lt;&gt;"")*(F564&lt;&gt;""))+((I564="N")*(H564&lt;&gt;"")*(J564&lt;&gt;""))+((M564="N")*(L564&lt;&gt;"")*(N564&lt;&gt;""))+((Q564="N")*(P564&lt;&gt;"")*(R564&lt;&gt;""))),0)</f>
        <v/>
      </c>
      <c r="X564" s="50">
        <f>IFERROR(U564/4,0)</f>
        <v/>
      </c>
    </row>
    <row r="565" ht="18" customHeight="1">
      <c r="B565" s="46">
        <f>'📥 ข้อมูลนักเรียน'!B19</f>
        <v/>
      </c>
      <c r="C565" s="51">
        <f>'📥 ข้อมูลนักเรียน'!C19</f>
        <v/>
      </c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37">
        <f>IFERROR(SUMPRODUCT(((D565=D549)*(E565="Y")*(F565=F549)*(G565="Y")*(D565&lt;&gt;"")*(F565&lt;&gt;""))+((H565=H549)*(I565="Y")*(J565=J549)*(K565="Y")*(H565&lt;&gt;"")*(J565&lt;&gt;""))+((L565=L549)*(M565="Y")*(N565=N549)*(O565="Y")*(L565&lt;&gt;"")*(N565&lt;&gt;""))+((P565=P549)*(Q565="Y")*(R565=R549)*(S565="Y")*(P565&lt;&gt;"")*(R565&lt;&gt;""))),0)</f>
        <v/>
      </c>
      <c r="U565" s="49">
        <f>IFERROR(SUMPRODUCT(((D565&lt;&gt;D549)*(E565="Y")*(F565&lt;&gt;F549)*(G565="Y")*(D565&lt;&gt;"")*(F565&lt;&gt;""))+((H565&lt;&gt;H549)*(I565="Y")*(J565&lt;&gt;J549)*(K565="Y")*(H565&lt;&gt;"")*(J565&lt;&gt;""))+((L565&lt;&gt;L549)*(M565="Y")*(N565&lt;&gt;N549)*(O565="Y")*(L565&lt;&gt;"")*(N565&lt;&gt;""))+((P565&lt;&gt;P549)*(Q565="Y")*(R565&lt;&gt;R549)*(S565="Y")*(P565&lt;&gt;"")*(R565&lt;&gt;""))),0)</f>
        <v/>
      </c>
      <c r="V565" s="37">
        <f>IFERROR(SUMPRODUCT(((D565=D549)*(E565="Y")*(F565&lt;&gt;F549)*(G565="Y")*(D565&lt;&gt;"")*(F565&lt;&gt;""))+((H565=H549)*(I565="Y")*(J565&lt;&gt;J549)*(K565="Y")*(H565&lt;&gt;"")*(J565&lt;&gt;""))+((L565=L549)*(M565="Y")*(N565&lt;&gt;N549)*(O565="Y")*(L565&lt;&gt;"")*(N565&lt;&gt;""))+((P565=P549)*(Q565="Y")*(R565&lt;&gt;R549)*(S565="Y")*(P565&lt;&gt;"")*(R565&lt;&gt;""))),0)</f>
        <v/>
      </c>
      <c r="W565" s="37">
        <f>IFERROR(SUMPRODUCT(((E565="N")*(D565&lt;&gt;"")*(F565&lt;&gt;""))+((I565="N")*(H565&lt;&gt;"")*(J565&lt;&gt;""))+((M565="N")*(L565&lt;&gt;"")*(N565&lt;&gt;""))+((Q565="N")*(P565&lt;&gt;"")*(R565&lt;&gt;""))),0)</f>
        <v/>
      </c>
      <c r="X565" s="50">
        <f>IFERROR(U565/4,0)</f>
        <v/>
      </c>
    </row>
    <row r="566" ht="18" customHeight="1">
      <c r="B566" s="46">
        <f>'📥 ข้อมูลนักเรียน'!B20</f>
        <v/>
      </c>
      <c r="C566" s="47">
        <f>'📥 ข้อมูลนักเรียน'!C20</f>
        <v/>
      </c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37">
        <f>IFERROR(SUMPRODUCT(((D566=D549)*(E566="Y")*(F566=F549)*(G566="Y")*(D566&lt;&gt;"")*(F566&lt;&gt;""))+((H566=H549)*(I566="Y")*(J566=J549)*(K566="Y")*(H566&lt;&gt;"")*(J566&lt;&gt;""))+((L566=L549)*(M566="Y")*(N566=N549)*(O566="Y")*(L566&lt;&gt;"")*(N566&lt;&gt;""))+((P566=P549)*(Q566="Y")*(R566=R549)*(S566="Y")*(P566&lt;&gt;"")*(R566&lt;&gt;""))),0)</f>
        <v/>
      </c>
      <c r="U566" s="49">
        <f>IFERROR(SUMPRODUCT(((D566&lt;&gt;D549)*(E566="Y")*(F566&lt;&gt;F549)*(G566="Y")*(D566&lt;&gt;"")*(F566&lt;&gt;""))+((H566&lt;&gt;H549)*(I566="Y")*(J566&lt;&gt;J549)*(K566="Y")*(H566&lt;&gt;"")*(J566&lt;&gt;""))+((L566&lt;&gt;L549)*(M566="Y")*(N566&lt;&gt;N549)*(O566="Y")*(L566&lt;&gt;"")*(N566&lt;&gt;""))+((P566&lt;&gt;P549)*(Q566="Y")*(R566&lt;&gt;R549)*(S566="Y")*(P566&lt;&gt;"")*(R566&lt;&gt;""))),0)</f>
        <v/>
      </c>
      <c r="V566" s="37">
        <f>IFERROR(SUMPRODUCT(((D566=D549)*(E566="Y")*(F566&lt;&gt;F549)*(G566="Y")*(D566&lt;&gt;"")*(F566&lt;&gt;""))+((H566=H549)*(I566="Y")*(J566&lt;&gt;J549)*(K566="Y")*(H566&lt;&gt;"")*(J566&lt;&gt;""))+((L566=L549)*(M566="Y")*(N566&lt;&gt;N549)*(O566="Y")*(L566&lt;&gt;"")*(N566&lt;&gt;""))+((P566=P549)*(Q566="Y")*(R566&lt;&gt;R549)*(S566="Y")*(P566&lt;&gt;"")*(R566&lt;&gt;""))),0)</f>
        <v/>
      </c>
      <c r="W566" s="37">
        <f>IFERROR(SUMPRODUCT(((E566="N")*(D566&lt;&gt;"")*(F566&lt;&gt;""))+((I566="N")*(H566&lt;&gt;"")*(J566&lt;&gt;""))+((M566="N")*(L566&lt;&gt;"")*(N566&lt;&gt;""))+((Q566="N")*(P566&lt;&gt;"")*(R566&lt;&gt;""))),0)</f>
        <v/>
      </c>
      <c r="X566" s="50">
        <f>IFERROR(U566/4,0)</f>
        <v/>
      </c>
    </row>
    <row r="567" ht="18" customHeight="1">
      <c r="B567" s="46">
        <f>'📥 ข้อมูลนักเรียน'!B21</f>
        <v/>
      </c>
      <c r="C567" s="51">
        <f>'📥 ข้อมูลนักเรียน'!C21</f>
        <v/>
      </c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37">
        <f>IFERROR(SUMPRODUCT(((D567=D549)*(E567="Y")*(F567=F549)*(G567="Y")*(D567&lt;&gt;"")*(F567&lt;&gt;""))+((H567=H549)*(I567="Y")*(J567=J549)*(K567="Y")*(H567&lt;&gt;"")*(J567&lt;&gt;""))+((L567=L549)*(M567="Y")*(N567=N549)*(O567="Y")*(L567&lt;&gt;"")*(N567&lt;&gt;""))+((P567=P549)*(Q567="Y")*(R567=R549)*(S567="Y")*(P567&lt;&gt;"")*(R567&lt;&gt;""))),0)</f>
        <v/>
      </c>
      <c r="U567" s="49">
        <f>IFERROR(SUMPRODUCT(((D567&lt;&gt;D549)*(E567="Y")*(F567&lt;&gt;F549)*(G567="Y")*(D567&lt;&gt;"")*(F567&lt;&gt;""))+((H567&lt;&gt;H549)*(I567="Y")*(J567&lt;&gt;J549)*(K567="Y")*(H567&lt;&gt;"")*(J567&lt;&gt;""))+((L567&lt;&gt;L549)*(M567="Y")*(N567&lt;&gt;N549)*(O567="Y")*(L567&lt;&gt;"")*(N567&lt;&gt;""))+((P567&lt;&gt;P549)*(Q567="Y")*(R567&lt;&gt;R549)*(S567="Y")*(P567&lt;&gt;"")*(R567&lt;&gt;""))),0)</f>
        <v/>
      </c>
      <c r="V567" s="37">
        <f>IFERROR(SUMPRODUCT(((D567=D549)*(E567="Y")*(F567&lt;&gt;F549)*(G567="Y")*(D567&lt;&gt;"")*(F567&lt;&gt;""))+((H567=H549)*(I567="Y")*(J567&lt;&gt;J549)*(K567="Y")*(H567&lt;&gt;"")*(J567&lt;&gt;""))+((L567=L549)*(M567="Y")*(N567&lt;&gt;N549)*(O567="Y")*(L567&lt;&gt;"")*(N567&lt;&gt;""))+((P567=P549)*(Q567="Y")*(R567&lt;&gt;R549)*(S567="Y")*(P567&lt;&gt;"")*(R567&lt;&gt;""))),0)</f>
        <v/>
      </c>
      <c r="W567" s="37">
        <f>IFERROR(SUMPRODUCT(((E567="N")*(D567&lt;&gt;"")*(F567&lt;&gt;""))+((I567="N")*(H567&lt;&gt;"")*(J567&lt;&gt;""))+((M567="N")*(L567&lt;&gt;"")*(N567&lt;&gt;""))+((Q567="N")*(P567&lt;&gt;"")*(R567&lt;&gt;""))),0)</f>
        <v/>
      </c>
      <c r="X567" s="50">
        <f>IFERROR(U567/4,0)</f>
        <v/>
      </c>
    </row>
    <row r="568" ht="18" customHeight="1">
      <c r="B568" s="46">
        <f>'📥 ข้อมูลนักเรียน'!B22</f>
        <v/>
      </c>
      <c r="C568" s="47">
        <f>'📥 ข้อมูลนักเรียน'!C22</f>
        <v/>
      </c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37">
        <f>IFERROR(SUMPRODUCT(((D568=D549)*(E568="Y")*(F568=F549)*(G568="Y")*(D568&lt;&gt;"")*(F568&lt;&gt;""))+((H568=H549)*(I568="Y")*(J568=J549)*(K568="Y")*(H568&lt;&gt;"")*(J568&lt;&gt;""))+((L568=L549)*(M568="Y")*(N568=N549)*(O568="Y")*(L568&lt;&gt;"")*(N568&lt;&gt;""))+((P568=P549)*(Q568="Y")*(R568=R549)*(S568="Y")*(P568&lt;&gt;"")*(R568&lt;&gt;""))),0)</f>
        <v/>
      </c>
      <c r="U568" s="49">
        <f>IFERROR(SUMPRODUCT(((D568&lt;&gt;D549)*(E568="Y")*(F568&lt;&gt;F549)*(G568="Y")*(D568&lt;&gt;"")*(F568&lt;&gt;""))+((H568&lt;&gt;H549)*(I568="Y")*(J568&lt;&gt;J549)*(K568="Y")*(H568&lt;&gt;"")*(J568&lt;&gt;""))+((L568&lt;&gt;L549)*(M568="Y")*(N568&lt;&gt;N549)*(O568="Y")*(L568&lt;&gt;"")*(N568&lt;&gt;""))+((P568&lt;&gt;P549)*(Q568="Y")*(R568&lt;&gt;R549)*(S568="Y")*(P568&lt;&gt;"")*(R568&lt;&gt;""))),0)</f>
        <v/>
      </c>
      <c r="V568" s="37">
        <f>IFERROR(SUMPRODUCT(((D568=D549)*(E568="Y")*(F568&lt;&gt;F549)*(G568="Y")*(D568&lt;&gt;"")*(F568&lt;&gt;""))+((H568=H549)*(I568="Y")*(J568&lt;&gt;J549)*(K568="Y")*(H568&lt;&gt;"")*(J568&lt;&gt;""))+((L568=L549)*(M568="Y")*(N568&lt;&gt;N549)*(O568="Y")*(L568&lt;&gt;"")*(N568&lt;&gt;""))+((P568=P549)*(Q568="Y")*(R568&lt;&gt;R549)*(S568="Y")*(P568&lt;&gt;"")*(R568&lt;&gt;""))),0)</f>
        <v/>
      </c>
      <c r="W568" s="37">
        <f>IFERROR(SUMPRODUCT(((E568="N")*(D568&lt;&gt;"")*(F568&lt;&gt;""))+((I568="N")*(H568&lt;&gt;"")*(J568&lt;&gt;""))+((M568="N")*(L568&lt;&gt;"")*(N568&lt;&gt;""))+((Q568="N")*(P568&lt;&gt;"")*(R568&lt;&gt;""))),0)</f>
        <v/>
      </c>
      <c r="X568" s="50">
        <f>IFERROR(U568/4,0)</f>
        <v/>
      </c>
    </row>
    <row r="569" ht="18" customHeight="1">
      <c r="B569" s="46">
        <f>'📥 ข้อมูลนักเรียน'!B23</f>
        <v/>
      </c>
      <c r="C569" s="51">
        <f>'📥 ข้อมูลนักเรียน'!C23</f>
        <v/>
      </c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37">
        <f>IFERROR(SUMPRODUCT(((D569=D549)*(E569="Y")*(F569=F549)*(G569="Y")*(D569&lt;&gt;"")*(F569&lt;&gt;""))+((H569=H549)*(I569="Y")*(J569=J549)*(K569="Y")*(H569&lt;&gt;"")*(J569&lt;&gt;""))+((L569=L549)*(M569="Y")*(N569=N549)*(O569="Y")*(L569&lt;&gt;"")*(N569&lt;&gt;""))+((P569=P549)*(Q569="Y")*(R569=R549)*(S569="Y")*(P569&lt;&gt;"")*(R569&lt;&gt;""))),0)</f>
        <v/>
      </c>
      <c r="U569" s="49">
        <f>IFERROR(SUMPRODUCT(((D569&lt;&gt;D549)*(E569="Y")*(F569&lt;&gt;F549)*(G569="Y")*(D569&lt;&gt;"")*(F569&lt;&gt;""))+((H569&lt;&gt;H549)*(I569="Y")*(J569&lt;&gt;J549)*(K569="Y")*(H569&lt;&gt;"")*(J569&lt;&gt;""))+((L569&lt;&gt;L549)*(M569="Y")*(N569&lt;&gt;N549)*(O569="Y")*(L569&lt;&gt;"")*(N569&lt;&gt;""))+((P569&lt;&gt;P549)*(Q569="Y")*(R569&lt;&gt;R549)*(S569="Y")*(P569&lt;&gt;"")*(R569&lt;&gt;""))),0)</f>
        <v/>
      </c>
      <c r="V569" s="37">
        <f>IFERROR(SUMPRODUCT(((D569=D549)*(E569="Y")*(F569&lt;&gt;F549)*(G569="Y")*(D569&lt;&gt;"")*(F569&lt;&gt;""))+((H569=H549)*(I569="Y")*(J569&lt;&gt;J549)*(K569="Y")*(H569&lt;&gt;"")*(J569&lt;&gt;""))+((L569=L549)*(M569="Y")*(N569&lt;&gt;N549)*(O569="Y")*(L569&lt;&gt;"")*(N569&lt;&gt;""))+((P569=P549)*(Q569="Y")*(R569&lt;&gt;R549)*(S569="Y")*(P569&lt;&gt;"")*(R569&lt;&gt;""))),0)</f>
        <v/>
      </c>
      <c r="W569" s="37">
        <f>IFERROR(SUMPRODUCT(((E569="N")*(D569&lt;&gt;"")*(F569&lt;&gt;""))+((I569="N")*(H569&lt;&gt;"")*(J569&lt;&gt;""))+((M569="N")*(L569&lt;&gt;"")*(N569&lt;&gt;""))+((Q569="N")*(P569&lt;&gt;"")*(R569&lt;&gt;""))),0)</f>
        <v/>
      </c>
      <c r="X569" s="50">
        <f>IFERROR(U569/4,0)</f>
        <v/>
      </c>
    </row>
    <row r="570" ht="18" customHeight="1">
      <c r="B570" s="46">
        <f>'📥 ข้อมูลนักเรียน'!B24</f>
        <v/>
      </c>
      <c r="C570" s="47">
        <f>'📥 ข้อมูลนักเรียน'!C24</f>
        <v/>
      </c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37">
        <f>IFERROR(SUMPRODUCT(((D570=D549)*(E570="Y")*(F570=F549)*(G570="Y")*(D570&lt;&gt;"")*(F570&lt;&gt;""))+((H570=H549)*(I570="Y")*(J570=J549)*(K570="Y")*(H570&lt;&gt;"")*(J570&lt;&gt;""))+((L570=L549)*(M570="Y")*(N570=N549)*(O570="Y")*(L570&lt;&gt;"")*(N570&lt;&gt;""))+((P570=P549)*(Q570="Y")*(R570=R549)*(S570="Y")*(P570&lt;&gt;"")*(R570&lt;&gt;""))),0)</f>
        <v/>
      </c>
      <c r="U570" s="49">
        <f>IFERROR(SUMPRODUCT(((D570&lt;&gt;D549)*(E570="Y")*(F570&lt;&gt;F549)*(G570="Y")*(D570&lt;&gt;"")*(F570&lt;&gt;""))+((H570&lt;&gt;H549)*(I570="Y")*(J570&lt;&gt;J549)*(K570="Y")*(H570&lt;&gt;"")*(J570&lt;&gt;""))+((L570&lt;&gt;L549)*(M570="Y")*(N570&lt;&gt;N549)*(O570="Y")*(L570&lt;&gt;"")*(N570&lt;&gt;""))+((P570&lt;&gt;P549)*(Q570="Y")*(R570&lt;&gt;R549)*(S570="Y")*(P570&lt;&gt;"")*(R570&lt;&gt;""))),0)</f>
        <v/>
      </c>
      <c r="V570" s="37">
        <f>IFERROR(SUMPRODUCT(((D570=D549)*(E570="Y")*(F570&lt;&gt;F549)*(G570="Y")*(D570&lt;&gt;"")*(F570&lt;&gt;""))+((H570=H549)*(I570="Y")*(J570&lt;&gt;J549)*(K570="Y")*(H570&lt;&gt;"")*(J570&lt;&gt;""))+((L570=L549)*(M570="Y")*(N570&lt;&gt;N549)*(O570="Y")*(L570&lt;&gt;"")*(N570&lt;&gt;""))+((P570=P549)*(Q570="Y")*(R570&lt;&gt;R549)*(S570="Y")*(P570&lt;&gt;"")*(R570&lt;&gt;""))),0)</f>
        <v/>
      </c>
      <c r="W570" s="37">
        <f>IFERROR(SUMPRODUCT(((E570="N")*(D570&lt;&gt;"")*(F570&lt;&gt;""))+((I570="N")*(H570&lt;&gt;"")*(J570&lt;&gt;""))+((M570="N")*(L570&lt;&gt;"")*(N570&lt;&gt;""))+((Q570="N")*(P570&lt;&gt;"")*(R570&lt;&gt;""))),0)</f>
        <v/>
      </c>
      <c r="X570" s="50">
        <f>IFERROR(U570/4,0)</f>
        <v/>
      </c>
    </row>
    <row r="571" ht="18" customHeight="1">
      <c r="B571" s="46">
        <f>'📥 ข้อมูลนักเรียน'!B25</f>
        <v/>
      </c>
      <c r="C571" s="51">
        <f>'📥 ข้อมูลนักเรียน'!C25</f>
        <v/>
      </c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37">
        <f>IFERROR(SUMPRODUCT(((D571=D549)*(E571="Y")*(F571=F549)*(G571="Y")*(D571&lt;&gt;"")*(F571&lt;&gt;""))+((H571=H549)*(I571="Y")*(J571=J549)*(K571="Y")*(H571&lt;&gt;"")*(J571&lt;&gt;""))+((L571=L549)*(M571="Y")*(N571=N549)*(O571="Y")*(L571&lt;&gt;"")*(N571&lt;&gt;""))+((P571=P549)*(Q571="Y")*(R571=R549)*(S571="Y")*(P571&lt;&gt;"")*(R571&lt;&gt;""))),0)</f>
        <v/>
      </c>
      <c r="U571" s="49">
        <f>IFERROR(SUMPRODUCT(((D571&lt;&gt;D549)*(E571="Y")*(F571&lt;&gt;F549)*(G571="Y")*(D571&lt;&gt;"")*(F571&lt;&gt;""))+((H571&lt;&gt;H549)*(I571="Y")*(J571&lt;&gt;J549)*(K571="Y")*(H571&lt;&gt;"")*(J571&lt;&gt;""))+((L571&lt;&gt;L549)*(M571="Y")*(N571&lt;&gt;N549)*(O571="Y")*(L571&lt;&gt;"")*(N571&lt;&gt;""))+((P571&lt;&gt;P549)*(Q571="Y")*(R571&lt;&gt;R549)*(S571="Y")*(P571&lt;&gt;"")*(R571&lt;&gt;""))),0)</f>
        <v/>
      </c>
      <c r="V571" s="37">
        <f>IFERROR(SUMPRODUCT(((D571=D549)*(E571="Y")*(F571&lt;&gt;F549)*(G571="Y")*(D571&lt;&gt;"")*(F571&lt;&gt;""))+((H571=H549)*(I571="Y")*(J571&lt;&gt;J549)*(K571="Y")*(H571&lt;&gt;"")*(J571&lt;&gt;""))+((L571=L549)*(M571="Y")*(N571&lt;&gt;N549)*(O571="Y")*(L571&lt;&gt;"")*(N571&lt;&gt;""))+((P571=P549)*(Q571="Y")*(R571&lt;&gt;R549)*(S571="Y")*(P571&lt;&gt;"")*(R571&lt;&gt;""))),0)</f>
        <v/>
      </c>
      <c r="W571" s="37">
        <f>IFERROR(SUMPRODUCT(((E571="N")*(D571&lt;&gt;"")*(F571&lt;&gt;""))+((I571="N")*(H571&lt;&gt;"")*(J571&lt;&gt;""))+((M571="N")*(L571&lt;&gt;"")*(N571&lt;&gt;""))+((Q571="N")*(P571&lt;&gt;"")*(R571&lt;&gt;""))),0)</f>
        <v/>
      </c>
      <c r="X571" s="50">
        <f>IFERROR(U571/4,0)</f>
        <v/>
      </c>
    </row>
    <row r="572" ht="18" customHeight="1">
      <c r="B572" s="46">
        <f>'📥 ข้อมูลนักเรียน'!B26</f>
        <v/>
      </c>
      <c r="C572" s="47">
        <f>'📥 ข้อมูลนักเรียน'!C26</f>
        <v/>
      </c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37">
        <f>IFERROR(SUMPRODUCT(((D572=D549)*(E572="Y")*(F572=F549)*(G572="Y")*(D572&lt;&gt;"")*(F572&lt;&gt;""))+((H572=H549)*(I572="Y")*(J572=J549)*(K572="Y")*(H572&lt;&gt;"")*(J572&lt;&gt;""))+((L572=L549)*(M572="Y")*(N572=N549)*(O572="Y")*(L572&lt;&gt;"")*(N572&lt;&gt;""))+((P572=P549)*(Q572="Y")*(R572=R549)*(S572="Y")*(P572&lt;&gt;"")*(R572&lt;&gt;""))),0)</f>
        <v/>
      </c>
      <c r="U572" s="49">
        <f>IFERROR(SUMPRODUCT(((D572&lt;&gt;D549)*(E572="Y")*(F572&lt;&gt;F549)*(G572="Y")*(D572&lt;&gt;"")*(F572&lt;&gt;""))+((H572&lt;&gt;H549)*(I572="Y")*(J572&lt;&gt;J549)*(K572="Y")*(H572&lt;&gt;"")*(J572&lt;&gt;""))+((L572&lt;&gt;L549)*(M572="Y")*(N572&lt;&gt;N549)*(O572="Y")*(L572&lt;&gt;"")*(N572&lt;&gt;""))+((P572&lt;&gt;P549)*(Q572="Y")*(R572&lt;&gt;R549)*(S572="Y")*(P572&lt;&gt;"")*(R572&lt;&gt;""))),0)</f>
        <v/>
      </c>
      <c r="V572" s="37">
        <f>IFERROR(SUMPRODUCT(((D572=D549)*(E572="Y")*(F572&lt;&gt;F549)*(G572="Y")*(D572&lt;&gt;"")*(F572&lt;&gt;""))+((H572=H549)*(I572="Y")*(J572&lt;&gt;J549)*(K572="Y")*(H572&lt;&gt;"")*(J572&lt;&gt;""))+((L572=L549)*(M572="Y")*(N572&lt;&gt;N549)*(O572="Y")*(L572&lt;&gt;"")*(N572&lt;&gt;""))+((P572=P549)*(Q572="Y")*(R572&lt;&gt;R549)*(S572="Y")*(P572&lt;&gt;"")*(R572&lt;&gt;""))),0)</f>
        <v/>
      </c>
      <c r="W572" s="37">
        <f>IFERROR(SUMPRODUCT(((E572="N")*(D572&lt;&gt;"")*(F572&lt;&gt;""))+((I572="N")*(H572&lt;&gt;"")*(J572&lt;&gt;""))+((M572="N")*(L572&lt;&gt;"")*(N572&lt;&gt;""))+((Q572="N")*(P572&lt;&gt;"")*(R572&lt;&gt;""))),0)</f>
        <v/>
      </c>
      <c r="X572" s="50">
        <f>IFERROR(U572/4,0)</f>
        <v/>
      </c>
    </row>
    <row r="573" ht="18" customHeight="1">
      <c r="B573" s="46">
        <f>'📥 ข้อมูลนักเรียน'!B27</f>
        <v/>
      </c>
      <c r="C573" s="51">
        <f>'📥 ข้อมูลนักเรียน'!C27</f>
        <v/>
      </c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37">
        <f>IFERROR(SUMPRODUCT(((D573=D549)*(E573="Y")*(F573=F549)*(G573="Y")*(D573&lt;&gt;"")*(F573&lt;&gt;""))+((H573=H549)*(I573="Y")*(J573=J549)*(K573="Y")*(H573&lt;&gt;"")*(J573&lt;&gt;""))+((L573=L549)*(M573="Y")*(N573=N549)*(O573="Y")*(L573&lt;&gt;"")*(N573&lt;&gt;""))+((P573=P549)*(Q573="Y")*(R573=R549)*(S573="Y")*(P573&lt;&gt;"")*(R573&lt;&gt;""))),0)</f>
        <v/>
      </c>
      <c r="U573" s="49">
        <f>IFERROR(SUMPRODUCT(((D573&lt;&gt;D549)*(E573="Y")*(F573&lt;&gt;F549)*(G573="Y")*(D573&lt;&gt;"")*(F573&lt;&gt;""))+((H573&lt;&gt;H549)*(I573="Y")*(J573&lt;&gt;J549)*(K573="Y")*(H573&lt;&gt;"")*(J573&lt;&gt;""))+((L573&lt;&gt;L549)*(M573="Y")*(N573&lt;&gt;N549)*(O573="Y")*(L573&lt;&gt;"")*(N573&lt;&gt;""))+((P573&lt;&gt;P549)*(Q573="Y")*(R573&lt;&gt;R549)*(S573="Y")*(P573&lt;&gt;"")*(R573&lt;&gt;""))),0)</f>
        <v/>
      </c>
      <c r="V573" s="37">
        <f>IFERROR(SUMPRODUCT(((D573=D549)*(E573="Y")*(F573&lt;&gt;F549)*(G573="Y")*(D573&lt;&gt;"")*(F573&lt;&gt;""))+((H573=H549)*(I573="Y")*(J573&lt;&gt;J549)*(K573="Y")*(H573&lt;&gt;"")*(J573&lt;&gt;""))+((L573=L549)*(M573="Y")*(N573&lt;&gt;N549)*(O573="Y")*(L573&lt;&gt;"")*(N573&lt;&gt;""))+((P573=P549)*(Q573="Y")*(R573&lt;&gt;R549)*(S573="Y")*(P573&lt;&gt;"")*(R573&lt;&gt;""))),0)</f>
        <v/>
      </c>
      <c r="W573" s="37">
        <f>IFERROR(SUMPRODUCT(((E573="N")*(D573&lt;&gt;"")*(F573&lt;&gt;""))+((I573="N")*(H573&lt;&gt;"")*(J573&lt;&gt;""))+((M573="N")*(L573&lt;&gt;"")*(N573&lt;&gt;""))+((Q573="N")*(P573&lt;&gt;"")*(R573&lt;&gt;""))),0)</f>
        <v/>
      </c>
      <c r="X573" s="50">
        <f>IFERROR(U573/4,0)</f>
        <v/>
      </c>
    </row>
    <row r="574" ht="18" customHeight="1">
      <c r="B574" s="46">
        <f>'📥 ข้อมูลนักเรียน'!B28</f>
        <v/>
      </c>
      <c r="C574" s="47">
        <f>'📥 ข้อมูลนักเรียน'!C28</f>
        <v/>
      </c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37">
        <f>IFERROR(SUMPRODUCT(((D574=D549)*(E574="Y")*(F574=F549)*(G574="Y")*(D574&lt;&gt;"")*(F574&lt;&gt;""))+((H574=H549)*(I574="Y")*(J574=J549)*(K574="Y")*(H574&lt;&gt;"")*(J574&lt;&gt;""))+((L574=L549)*(M574="Y")*(N574=N549)*(O574="Y")*(L574&lt;&gt;"")*(N574&lt;&gt;""))+((P574=P549)*(Q574="Y")*(R574=R549)*(S574="Y")*(P574&lt;&gt;"")*(R574&lt;&gt;""))),0)</f>
        <v/>
      </c>
      <c r="U574" s="49">
        <f>IFERROR(SUMPRODUCT(((D574&lt;&gt;D549)*(E574="Y")*(F574&lt;&gt;F549)*(G574="Y")*(D574&lt;&gt;"")*(F574&lt;&gt;""))+((H574&lt;&gt;H549)*(I574="Y")*(J574&lt;&gt;J549)*(K574="Y")*(H574&lt;&gt;"")*(J574&lt;&gt;""))+((L574&lt;&gt;L549)*(M574="Y")*(N574&lt;&gt;N549)*(O574="Y")*(L574&lt;&gt;"")*(N574&lt;&gt;""))+((P574&lt;&gt;P549)*(Q574="Y")*(R574&lt;&gt;R549)*(S574="Y")*(P574&lt;&gt;"")*(R574&lt;&gt;""))),0)</f>
        <v/>
      </c>
      <c r="V574" s="37">
        <f>IFERROR(SUMPRODUCT(((D574=D549)*(E574="Y")*(F574&lt;&gt;F549)*(G574="Y")*(D574&lt;&gt;"")*(F574&lt;&gt;""))+((H574=H549)*(I574="Y")*(J574&lt;&gt;J549)*(K574="Y")*(H574&lt;&gt;"")*(J574&lt;&gt;""))+((L574=L549)*(M574="Y")*(N574&lt;&gt;N549)*(O574="Y")*(L574&lt;&gt;"")*(N574&lt;&gt;""))+((P574=P549)*(Q574="Y")*(R574&lt;&gt;R549)*(S574="Y")*(P574&lt;&gt;"")*(R574&lt;&gt;""))),0)</f>
        <v/>
      </c>
      <c r="W574" s="37">
        <f>IFERROR(SUMPRODUCT(((E574="N")*(D574&lt;&gt;"")*(F574&lt;&gt;""))+((I574="N")*(H574&lt;&gt;"")*(J574&lt;&gt;""))+((M574="N")*(L574&lt;&gt;"")*(N574&lt;&gt;""))+((Q574="N")*(P574&lt;&gt;"")*(R574&lt;&gt;""))),0)</f>
        <v/>
      </c>
      <c r="X574" s="50">
        <f>IFERROR(U574/4,0)</f>
        <v/>
      </c>
    </row>
    <row r="575" ht="18" customHeight="1">
      <c r="B575" s="46">
        <f>'📥 ข้อมูลนักเรียน'!B29</f>
        <v/>
      </c>
      <c r="C575" s="51">
        <f>'📥 ข้อมูลนักเรียน'!C29</f>
        <v/>
      </c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37">
        <f>IFERROR(SUMPRODUCT(((D575=D549)*(E575="Y")*(F575=F549)*(G575="Y")*(D575&lt;&gt;"")*(F575&lt;&gt;""))+((H575=H549)*(I575="Y")*(J575=J549)*(K575="Y")*(H575&lt;&gt;"")*(J575&lt;&gt;""))+((L575=L549)*(M575="Y")*(N575=N549)*(O575="Y")*(L575&lt;&gt;"")*(N575&lt;&gt;""))+((P575=P549)*(Q575="Y")*(R575=R549)*(S575="Y")*(P575&lt;&gt;"")*(R575&lt;&gt;""))),0)</f>
        <v/>
      </c>
      <c r="U575" s="49">
        <f>IFERROR(SUMPRODUCT(((D575&lt;&gt;D549)*(E575="Y")*(F575&lt;&gt;F549)*(G575="Y")*(D575&lt;&gt;"")*(F575&lt;&gt;""))+((H575&lt;&gt;H549)*(I575="Y")*(J575&lt;&gt;J549)*(K575="Y")*(H575&lt;&gt;"")*(J575&lt;&gt;""))+((L575&lt;&gt;L549)*(M575="Y")*(N575&lt;&gt;N549)*(O575="Y")*(L575&lt;&gt;"")*(N575&lt;&gt;""))+((P575&lt;&gt;P549)*(Q575="Y")*(R575&lt;&gt;R549)*(S575="Y")*(P575&lt;&gt;"")*(R575&lt;&gt;""))),0)</f>
        <v/>
      </c>
      <c r="V575" s="37">
        <f>IFERROR(SUMPRODUCT(((D575=D549)*(E575="Y")*(F575&lt;&gt;F549)*(G575="Y")*(D575&lt;&gt;"")*(F575&lt;&gt;""))+((H575=H549)*(I575="Y")*(J575&lt;&gt;J549)*(K575="Y")*(H575&lt;&gt;"")*(J575&lt;&gt;""))+((L575=L549)*(M575="Y")*(N575&lt;&gt;N549)*(O575="Y")*(L575&lt;&gt;"")*(N575&lt;&gt;""))+((P575=P549)*(Q575="Y")*(R575&lt;&gt;R549)*(S575="Y")*(P575&lt;&gt;"")*(R575&lt;&gt;""))),0)</f>
        <v/>
      </c>
      <c r="W575" s="37">
        <f>IFERROR(SUMPRODUCT(((E575="N")*(D575&lt;&gt;"")*(F575&lt;&gt;""))+((I575="N")*(H575&lt;&gt;"")*(J575&lt;&gt;""))+((M575="N")*(L575&lt;&gt;"")*(N575&lt;&gt;""))+((Q575="N")*(P575&lt;&gt;"")*(R575&lt;&gt;""))),0)</f>
        <v/>
      </c>
      <c r="X575" s="50">
        <f>IFERROR(U575/4,0)</f>
        <v/>
      </c>
    </row>
    <row r="576" ht="18" customHeight="1">
      <c r="B576" s="46">
        <f>'📥 ข้อมูลนักเรียน'!B30</f>
        <v/>
      </c>
      <c r="C576" s="47">
        <f>'📥 ข้อมูลนักเรียน'!C30</f>
        <v/>
      </c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37">
        <f>IFERROR(SUMPRODUCT(((D576=D549)*(E576="Y")*(F576=F549)*(G576="Y")*(D576&lt;&gt;"")*(F576&lt;&gt;""))+((H576=H549)*(I576="Y")*(J576=J549)*(K576="Y")*(H576&lt;&gt;"")*(J576&lt;&gt;""))+((L576=L549)*(M576="Y")*(N576=N549)*(O576="Y")*(L576&lt;&gt;"")*(N576&lt;&gt;""))+((P576=P549)*(Q576="Y")*(R576=R549)*(S576="Y")*(P576&lt;&gt;"")*(R576&lt;&gt;""))),0)</f>
        <v/>
      </c>
      <c r="U576" s="49">
        <f>IFERROR(SUMPRODUCT(((D576&lt;&gt;D549)*(E576="Y")*(F576&lt;&gt;F549)*(G576="Y")*(D576&lt;&gt;"")*(F576&lt;&gt;""))+((H576&lt;&gt;H549)*(I576="Y")*(J576&lt;&gt;J549)*(K576="Y")*(H576&lt;&gt;"")*(J576&lt;&gt;""))+((L576&lt;&gt;L549)*(M576="Y")*(N576&lt;&gt;N549)*(O576="Y")*(L576&lt;&gt;"")*(N576&lt;&gt;""))+((P576&lt;&gt;P549)*(Q576="Y")*(R576&lt;&gt;R549)*(S576="Y")*(P576&lt;&gt;"")*(R576&lt;&gt;""))),0)</f>
        <v/>
      </c>
      <c r="V576" s="37">
        <f>IFERROR(SUMPRODUCT(((D576=D549)*(E576="Y")*(F576&lt;&gt;F549)*(G576="Y")*(D576&lt;&gt;"")*(F576&lt;&gt;""))+((H576=H549)*(I576="Y")*(J576&lt;&gt;J549)*(K576="Y")*(H576&lt;&gt;"")*(J576&lt;&gt;""))+((L576=L549)*(M576="Y")*(N576&lt;&gt;N549)*(O576="Y")*(L576&lt;&gt;"")*(N576&lt;&gt;""))+((P576=P549)*(Q576="Y")*(R576&lt;&gt;R549)*(S576="Y")*(P576&lt;&gt;"")*(R576&lt;&gt;""))),0)</f>
        <v/>
      </c>
      <c r="W576" s="37">
        <f>IFERROR(SUMPRODUCT(((E576="N")*(D576&lt;&gt;"")*(F576&lt;&gt;""))+((I576="N")*(H576&lt;&gt;"")*(J576&lt;&gt;""))+((M576="N")*(L576&lt;&gt;"")*(N576&lt;&gt;""))+((Q576="N")*(P576&lt;&gt;"")*(R576&lt;&gt;""))),0)</f>
        <v/>
      </c>
      <c r="X576" s="50">
        <f>IFERROR(U576/4,0)</f>
        <v/>
      </c>
    </row>
    <row r="577" ht="18" customHeight="1">
      <c r="B577" s="46">
        <f>'📥 ข้อมูลนักเรียน'!B31</f>
        <v/>
      </c>
      <c r="C577" s="51">
        <f>'📥 ข้อมูลนักเรียน'!C31</f>
        <v/>
      </c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37">
        <f>IFERROR(SUMPRODUCT(((D577=D549)*(E577="Y")*(F577=F549)*(G577="Y")*(D577&lt;&gt;"")*(F577&lt;&gt;""))+((H577=H549)*(I577="Y")*(J577=J549)*(K577="Y")*(H577&lt;&gt;"")*(J577&lt;&gt;""))+((L577=L549)*(M577="Y")*(N577=N549)*(O577="Y")*(L577&lt;&gt;"")*(N577&lt;&gt;""))+((P577=P549)*(Q577="Y")*(R577=R549)*(S577="Y")*(P577&lt;&gt;"")*(R577&lt;&gt;""))),0)</f>
        <v/>
      </c>
      <c r="U577" s="49">
        <f>IFERROR(SUMPRODUCT(((D577&lt;&gt;D549)*(E577="Y")*(F577&lt;&gt;F549)*(G577="Y")*(D577&lt;&gt;"")*(F577&lt;&gt;""))+((H577&lt;&gt;H549)*(I577="Y")*(J577&lt;&gt;J549)*(K577="Y")*(H577&lt;&gt;"")*(J577&lt;&gt;""))+((L577&lt;&gt;L549)*(M577="Y")*(N577&lt;&gt;N549)*(O577="Y")*(L577&lt;&gt;"")*(N577&lt;&gt;""))+((P577&lt;&gt;P549)*(Q577="Y")*(R577&lt;&gt;R549)*(S577="Y")*(P577&lt;&gt;"")*(R577&lt;&gt;""))),0)</f>
        <v/>
      </c>
      <c r="V577" s="37">
        <f>IFERROR(SUMPRODUCT(((D577=D549)*(E577="Y")*(F577&lt;&gt;F549)*(G577="Y")*(D577&lt;&gt;"")*(F577&lt;&gt;""))+((H577=H549)*(I577="Y")*(J577&lt;&gt;J549)*(K577="Y")*(H577&lt;&gt;"")*(J577&lt;&gt;""))+((L577=L549)*(M577="Y")*(N577&lt;&gt;N549)*(O577="Y")*(L577&lt;&gt;"")*(N577&lt;&gt;""))+((P577=P549)*(Q577="Y")*(R577&lt;&gt;R549)*(S577="Y")*(P577&lt;&gt;"")*(R577&lt;&gt;""))),0)</f>
        <v/>
      </c>
      <c r="W577" s="37">
        <f>IFERROR(SUMPRODUCT(((E577="N")*(D577&lt;&gt;"")*(F577&lt;&gt;""))+((I577="N")*(H577&lt;&gt;"")*(J577&lt;&gt;""))+((M577="N")*(L577&lt;&gt;"")*(N577&lt;&gt;""))+((Q577="N")*(P577&lt;&gt;"")*(R577&lt;&gt;""))),0)</f>
        <v/>
      </c>
      <c r="X577" s="50">
        <f>IFERROR(U577/4,0)</f>
        <v/>
      </c>
    </row>
    <row r="578" ht="18" customHeight="1">
      <c r="B578" s="46">
        <f>'📥 ข้อมูลนักเรียน'!B32</f>
        <v/>
      </c>
      <c r="C578" s="47">
        <f>'📥 ข้อมูลนักเรียน'!C32</f>
        <v/>
      </c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37">
        <f>IFERROR(SUMPRODUCT(((D578=D549)*(E578="Y")*(F578=F549)*(G578="Y")*(D578&lt;&gt;"")*(F578&lt;&gt;""))+((H578=H549)*(I578="Y")*(J578=J549)*(K578="Y")*(H578&lt;&gt;"")*(J578&lt;&gt;""))+((L578=L549)*(M578="Y")*(N578=N549)*(O578="Y")*(L578&lt;&gt;"")*(N578&lt;&gt;""))+((P578=P549)*(Q578="Y")*(R578=R549)*(S578="Y")*(P578&lt;&gt;"")*(R578&lt;&gt;""))),0)</f>
        <v/>
      </c>
      <c r="U578" s="49">
        <f>IFERROR(SUMPRODUCT(((D578&lt;&gt;D549)*(E578="Y")*(F578&lt;&gt;F549)*(G578="Y")*(D578&lt;&gt;"")*(F578&lt;&gt;""))+((H578&lt;&gt;H549)*(I578="Y")*(J578&lt;&gt;J549)*(K578="Y")*(H578&lt;&gt;"")*(J578&lt;&gt;""))+((L578&lt;&gt;L549)*(M578="Y")*(N578&lt;&gt;N549)*(O578="Y")*(L578&lt;&gt;"")*(N578&lt;&gt;""))+((P578&lt;&gt;P549)*(Q578="Y")*(R578&lt;&gt;R549)*(S578="Y")*(P578&lt;&gt;"")*(R578&lt;&gt;""))),0)</f>
        <v/>
      </c>
      <c r="V578" s="37">
        <f>IFERROR(SUMPRODUCT(((D578=D549)*(E578="Y")*(F578&lt;&gt;F549)*(G578="Y")*(D578&lt;&gt;"")*(F578&lt;&gt;""))+((H578=H549)*(I578="Y")*(J578&lt;&gt;J549)*(K578="Y")*(H578&lt;&gt;"")*(J578&lt;&gt;""))+((L578=L549)*(M578="Y")*(N578&lt;&gt;N549)*(O578="Y")*(L578&lt;&gt;"")*(N578&lt;&gt;""))+((P578=P549)*(Q578="Y")*(R578&lt;&gt;R549)*(S578="Y")*(P578&lt;&gt;"")*(R578&lt;&gt;""))),0)</f>
        <v/>
      </c>
      <c r="W578" s="37">
        <f>IFERROR(SUMPRODUCT(((E578="N")*(D578&lt;&gt;"")*(F578&lt;&gt;""))+((I578="N")*(H578&lt;&gt;"")*(J578&lt;&gt;""))+((M578="N")*(L578&lt;&gt;"")*(N578&lt;&gt;""))+((Q578="N")*(P578&lt;&gt;"")*(R578&lt;&gt;""))),0)</f>
        <v/>
      </c>
      <c r="X578" s="50">
        <f>IFERROR(U578/4,0)</f>
        <v/>
      </c>
    </row>
    <row r="579" ht="18" customHeight="1">
      <c r="B579" s="46">
        <f>'📥 ข้อมูลนักเรียน'!B33</f>
        <v/>
      </c>
      <c r="C579" s="51">
        <f>'📥 ข้อมูลนักเรียน'!C33</f>
        <v/>
      </c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37">
        <f>IFERROR(SUMPRODUCT(((D579=D549)*(E579="Y")*(F579=F549)*(G579="Y")*(D579&lt;&gt;"")*(F579&lt;&gt;""))+((H579=H549)*(I579="Y")*(J579=J549)*(K579="Y")*(H579&lt;&gt;"")*(J579&lt;&gt;""))+((L579=L549)*(M579="Y")*(N579=N549)*(O579="Y")*(L579&lt;&gt;"")*(N579&lt;&gt;""))+((P579=P549)*(Q579="Y")*(R579=R549)*(S579="Y")*(P579&lt;&gt;"")*(R579&lt;&gt;""))),0)</f>
        <v/>
      </c>
      <c r="U579" s="49">
        <f>IFERROR(SUMPRODUCT(((D579&lt;&gt;D549)*(E579="Y")*(F579&lt;&gt;F549)*(G579="Y")*(D579&lt;&gt;"")*(F579&lt;&gt;""))+((H579&lt;&gt;H549)*(I579="Y")*(J579&lt;&gt;J549)*(K579="Y")*(H579&lt;&gt;"")*(J579&lt;&gt;""))+((L579&lt;&gt;L549)*(M579="Y")*(N579&lt;&gt;N549)*(O579="Y")*(L579&lt;&gt;"")*(N579&lt;&gt;""))+((P579&lt;&gt;P549)*(Q579="Y")*(R579&lt;&gt;R549)*(S579="Y")*(P579&lt;&gt;"")*(R579&lt;&gt;""))),0)</f>
        <v/>
      </c>
      <c r="V579" s="37">
        <f>IFERROR(SUMPRODUCT(((D579=D549)*(E579="Y")*(F579&lt;&gt;F549)*(G579="Y")*(D579&lt;&gt;"")*(F579&lt;&gt;""))+((H579=H549)*(I579="Y")*(J579&lt;&gt;J549)*(K579="Y")*(H579&lt;&gt;"")*(J579&lt;&gt;""))+((L579=L549)*(M579="Y")*(N579&lt;&gt;N549)*(O579="Y")*(L579&lt;&gt;"")*(N579&lt;&gt;""))+((P579=P549)*(Q579="Y")*(R579&lt;&gt;R549)*(S579="Y")*(P579&lt;&gt;"")*(R579&lt;&gt;""))),0)</f>
        <v/>
      </c>
      <c r="W579" s="37">
        <f>IFERROR(SUMPRODUCT(((E579="N")*(D579&lt;&gt;"")*(F579&lt;&gt;""))+((I579="N")*(H579&lt;&gt;"")*(J579&lt;&gt;""))+((M579="N")*(L579&lt;&gt;"")*(N579&lt;&gt;""))+((Q579="N")*(P579&lt;&gt;"")*(R579&lt;&gt;""))),0)</f>
        <v/>
      </c>
      <c r="X579" s="50">
        <f>IFERROR(U579/4,0)</f>
        <v/>
      </c>
    </row>
    <row r="580" ht="18" customHeight="1">
      <c r="B580" s="46">
        <f>'📥 ข้อมูลนักเรียน'!B34</f>
        <v/>
      </c>
      <c r="C580" s="47">
        <f>'📥 ข้อมูลนักเรียน'!C34</f>
        <v/>
      </c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37">
        <f>IFERROR(SUMPRODUCT(((D580=D549)*(E580="Y")*(F580=F549)*(G580="Y")*(D580&lt;&gt;"")*(F580&lt;&gt;""))+((H580=H549)*(I580="Y")*(J580=J549)*(K580="Y")*(H580&lt;&gt;"")*(J580&lt;&gt;""))+((L580=L549)*(M580="Y")*(N580=N549)*(O580="Y")*(L580&lt;&gt;"")*(N580&lt;&gt;""))+((P580=P549)*(Q580="Y")*(R580=R549)*(S580="Y")*(P580&lt;&gt;"")*(R580&lt;&gt;""))),0)</f>
        <v/>
      </c>
      <c r="U580" s="49">
        <f>IFERROR(SUMPRODUCT(((D580&lt;&gt;D549)*(E580="Y")*(F580&lt;&gt;F549)*(G580="Y")*(D580&lt;&gt;"")*(F580&lt;&gt;""))+((H580&lt;&gt;H549)*(I580="Y")*(J580&lt;&gt;J549)*(K580="Y")*(H580&lt;&gt;"")*(J580&lt;&gt;""))+((L580&lt;&gt;L549)*(M580="Y")*(N580&lt;&gt;N549)*(O580="Y")*(L580&lt;&gt;"")*(N580&lt;&gt;""))+((P580&lt;&gt;P549)*(Q580="Y")*(R580&lt;&gt;R549)*(S580="Y")*(P580&lt;&gt;"")*(R580&lt;&gt;""))),0)</f>
        <v/>
      </c>
      <c r="V580" s="37">
        <f>IFERROR(SUMPRODUCT(((D580=D549)*(E580="Y")*(F580&lt;&gt;F549)*(G580="Y")*(D580&lt;&gt;"")*(F580&lt;&gt;""))+((H580=H549)*(I580="Y")*(J580&lt;&gt;J549)*(K580="Y")*(H580&lt;&gt;"")*(J580&lt;&gt;""))+((L580=L549)*(M580="Y")*(N580&lt;&gt;N549)*(O580="Y")*(L580&lt;&gt;"")*(N580&lt;&gt;""))+((P580=P549)*(Q580="Y")*(R580&lt;&gt;R549)*(S580="Y")*(P580&lt;&gt;"")*(R580&lt;&gt;""))),0)</f>
        <v/>
      </c>
      <c r="W580" s="37">
        <f>IFERROR(SUMPRODUCT(((E580="N")*(D580&lt;&gt;"")*(F580&lt;&gt;""))+((I580="N")*(H580&lt;&gt;"")*(J580&lt;&gt;""))+((M580="N")*(L580&lt;&gt;"")*(N580&lt;&gt;""))+((Q580="N")*(P580&lt;&gt;"")*(R580&lt;&gt;""))),0)</f>
        <v/>
      </c>
      <c r="X580" s="50">
        <f>IFERROR(U580/4,0)</f>
        <v/>
      </c>
    </row>
    <row r="581" ht="18" customHeight="1">
      <c r="B581" s="46">
        <f>'📥 ข้อมูลนักเรียน'!B35</f>
        <v/>
      </c>
      <c r="C581" s="51">
        <f>'📥 ข้อมูลนักเรียน'!C35</f>
        <v/>
      </c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37">
        <f>IFERROR(SUMPRODUCT(((D581=D549)*(E581="Y")*(F581=F549)*(G581="Y")*(D581&lt;&gt;"")*(F581&lt;&gt;""))+((H581=H549)*(I581="Y")*(J581=J549)*(K581="Y")*(H581&lt;&gt;"")*(J581&lt;&gt;""))+((L581=L549)*(M581="Y")*(N581=N549)*(O581="Y")*(L581&lt;&gt;"")*(N581&lt;&gt;""))+((P581=P549)*(Q581="Y")*(R581=R549)*(S581="Y")*(P581&lt;&gt;"")*(R581&lt;&gt;""))),0)</f>
        <v/>
      </c>
      <c r="U581" s="49">
        <f>IFERROR(SUMPRODUCT(((D581&lt;&gt;D549)*(E581="Y")*(F581&lt;&gt;F549)*(G581="Y")*(D581&lt;&gt;"")*(F581&lt;&gt;""))+((H581&lt;&gt;H549)*(I581="Y")*(J581&lt;&gt;J549)*(K581="Y")*(H581&lt;&gt;"")*(J581&lt;&gt;""))+((L581&lt;&gt;L549)*(M581="Y")*(N581&lt;&gt;N549)*(O581="Y")*(L581&lt;&gt;"")*(N581&lt;&gt;""))+((P581&lt;&gt;P549)*(Q581="Y")*(R581&lt;&gt;R549)*(S581="Y")*(P581&lt;&gt;"")*(R581&lt;&gt;""))),0)</f>
        <v/>
      </c>
      <c r="V581" s="37">
        <f>IFERROR(SUMPRODUCT(((D581=D549)*(E581="Y")*(F581&lt;&gt;F549)*(G581="Y")*(D581&lt;&gt;"")*(F581&lt;&gt;""))+((H581=H549)*(I581="Y")*(J581&lt;&gt;J549)*(K581="Y")*(H581&lt;&gt;"")*(J581&lt;&gt;""))+((L581=L549)*(M581="Y")*(N581&lt;&gt;N549)*(O581="Y")*(L581&lt;&gt;"")*(N581&lt;&gt;""))+((P581=P549)*(Q581="Y")*(R581&lt;&gt;R549)*(S581="Y")*(P581&lt;&gt;"")*(R581&lt;&gt;""))),0)</f>
        <v/>
      </c>
      <c r="W581" s="37">
        <f>IFERROR(SUMPRODUCT(((E581="N")*(D581&lt;&gt;"")*(F581&lt;&gt;""))+((I581="N")*(H581&lt;&gt;"")*(J581&lt;&gt;""))+((M581="N")*(L581&lt;&gt;"")*(N581&lt;&gt;""))+((Q581="N")*(P581&lt;&gt;"")*(R581&lt;&gt;""))),0)</f>
        <v/>
      </c>
      <c r="X581" s="50">
        <f>IFERROR(U581/4,0)</f>
        <v/>
      </c>
    </row>
    <row r="582" ht="18" customHeight="1">
      <c r="B582" s="46">
        <f>'📥 ข้อมูลนักเรียน'!B36</f>
        <v/>
      </c>
      <c r="C582" s="47">
        <f>'📥 ข้อมูลนักเรียน'!C36</f>
        <v/>
      </c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37">
        <f>IFERROR(SUMPRODUCT(((D582=D549)*(E582="Y")*(F582=F549)*(G582="Y")*(D582&lt;&gt;"")*(F582&lt;&gt;""))+((H582=H549)*(I582="Y")*(J582=J549)*(K582="Y")*(H582&lt;&gt;"")*(J582&lt;&gt;""))+((L582=L549)*(M582="Y")*(N582=N549)*(O582="Y")*(L582&lt;&gt;"")*(N582&lt;&gt;""))+((P582=P549)*(Q582="Y")*(R582=R549)*(S582="Y")*(P582&lt;&gt;"")*(R582&lt;&gt;""))),0)</f>
        <v/>
      </c>
      <c r="U582" s="49">
        <f>IFERROR(SUMPRODUCT(((D582&lt;&gt;D549)*(E582="Y")*(F582&lt;&gt;F549)*(G582="Y")*(D582&lt;&gt;"")*(F582&lt;&gt;""))+((H582&lt;&gt;H549)*(I582="Y")*(J582&lt;&gt;J549)*(K582="Y")*(H582&lt;&gt;"")*(J582&lt;&gt;""))+((L582&lt;&gt;L549)*(M582="Y")*(N582&lt;&gt;N549)*(O582="Y")*(L582&lt;&gt;"")*(N582&lt;&gt;""))+((P582&lt;&gt;P549)*(Q582="Y")*(R582&lt;&gt;R549)*(S582="Y")*(P582&lt;&gt;"")*(R582&lt;&gt;""))),0)</f>
        <v/>
      </c>
      <c r="V582" s="37">
        <f>IFERROR(SUMPRODUCT(((D582=D549)*(E582="Y")*(F582&lt;&gt;F549)*(G582="Y")*(D582&lt;&gt;"")*(F582&lt;&gt;""))+((H582=H549)*(I582="Y")*(J582&lt;&gt;J549)*(K582="Y")*(H582&lt;&gt;"")*(J582&lt;&gt;""))+((L582=L549)*(M582="Y")*(N582&lt;&gt;N549)*(O582="Y")*(L582&lt;&gt;"")*(N582&lt;&gt;""))+((P582=P549)*(Q582="Y")*(R582&lt;&gt;R549)*(S582="Y")*(P582&lt;&gt;"")*(R582&lt;&gt;""))),0)</f>
        <v/>
      </c>
      <c r="W582" s="37">
        <f>IFERROR(SUMPRODUCT(((E582="N")*(D582&lt;&gt;"")*(F582&lt;&gt;""))+((I582="N")*(H582&lt;&gt;"")*(J582&lt;&gt;""))+((M582="N")*(L582&lt;&gt;"")*(N582&lt;&gt;""))+((Q582="N")*(P582&lt;&gt;"")*(R582&lt;&gt;""))),0)</f>
        <v/>
      </c>
      <c r="X582" s="50">
        <f>IFERROR(U582/4,0)</f>
        <v/>
      </c>
    </row>
    <row r="583" ht="18" customHeight="1">
      <c r="B583" s="46">
        <f>'📥 ข้อมูลนักเรียน'!B37</f>
        <v/>
      </c>
      <c r="C583" s="51">
        <f>'📥 ข้อมูลนักเรียน'!C37</f>
        <v/>
      </c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37">
        <f>IFERROR(SUMPRODUCT(((D583=D549)*(E583="Y")*(F583=F549)*(G583="Y")*(D583&lt;&gt;"")*(F583&lt;&gt;""))+((H583=H549)*(I583="Y")*(J583=J549)*(K583="Y")*(H583&lt;&gt;"")*(J583&lt;&gt;""))+((L583=L549)*(M583="Y")*(N583=N549)*(O583="Y")*(L583&lt;&gt;"")*(N583&lt;&gt;""))+((P583=P549)*(Q583="Y")*(R583=R549)*(S583="Y")*(P583&lt;&gt;"")*(R583&lt;&gt;""))),0)</f>
        <v/>
      </c>
      <c r="U583" s="49">
        <f>IFERROR(SUMPRODUCT(((D583&lt;&gt;D549)*(E583="Y")*(F583&lt;&gt;F549)*(G583="Y")*(D583&lt;&gt;"")*(F583&lt;&gt;""))+((H583&lt;&gt;H549)*(I583="Y")*(J583&lt;&gt;J549)*(K583="Y")*(H583&lt;&gt;"")*(J583&lt;&gt;""))+((L583&lt;&gt;L549)*(M583="Y")*(N583&lt;&gt;N549)*(O583="Y")*(L583&lt;&gt;"")*(N583&lt;&gt;""))+((P583&lt;&gt;P549)*(Q583="Y")*(R583&lt;&gt;R549)*(S583="Y")*(P583&lt;&gt;"")*(R583&lt;&gt;""))),0)</f>
        <v/>
      </c>
      <c r="V583" s="37">
        <f>IFERROR(SUMPRODUCT(((D583=D549)*(E583="Y")*(F583&lt;&gt;F549)*(G583="Y")*(D583&lt;&gt;"")*(F583&lt;&gt;""))+((H583=H549)*(I583="Y")*(J583&lt;&gt;J549)*(K583="Y")*(H583&lt;&gt;"")*(J583&lt;&gt;""))+((L583=L549)*(M583="Y")*(N583&lt;&gt;N549)*(O583="Y")*(L583&lt;&gt;"")*(N583&lt;&gt;""))+((P583=P549)*(Q583="Y")*(R583&lt;&gt;R549)*(S583="Y")*(P583&lt;&gt;"")*(R583&lt;&gt;""))),0)</f>
        <v/>
      </c>
      <c r="W583" s="37">
        <f>IFERROR(SUMPRODUCT(((E583="N")*(D583&lt;&gt;"")*(F583&lt;&gt;""))+((I583="N")*(H583&lt;&gt;"")*(J583&lt;&gt;""))+((M583="N")*(L583&lt;&gt;"")*(N583&lt;&gt;""))+((Q583="N")*(P583&lt;&gt;"")*(R583&lt;&gt;""))),0)</f>
        <v/>
      </c>
      <c r="X583" s="50">
        <f>IFERROR(U583/4,0)</f>
        <v/>
      </c>
    </row>
    <row r="584" ht="18" customHeight="1">
      <c r="B584" s="46">
        <f>'📥 ข้อมูลนักเรียน'!B38</f>
        <v/>
      </c>
      <c r="C584" s="47">
        <f>'📥 ข้อมูลนักเรียน'!C38</f>
        <v/>
      </c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37">
        <f>IFERROR(SUMPRODUCT(((D584=D549)*(E584="Y")*(F584=F549)*(G584="Y")*(D584&lt;&gt;"")*(F584&lt;&gt;""))+((H584=H549)*(I584="Y")*(J584=J549)*(K584="Y")*(H584&lt;&gt;"")*(J584&lt;&gt;""))+((L584=L549)*(M584="Y")*(N584=N549)*(O584="Y")*(L584&lt;&gt;"")*(N584&lt;&gt;""))+((P584=P549)*(Q584="Y")*(R584=R549)*(S584="Y")*(P584&lt;&gt;"")*(R584&lt;&gt;""))),0)</f>
        <v/>
      </c>
      <c r="U584" s="49">
        <f>IFERROR(SUMPRODUCT(((D584&lt;&gt;D549)*(E584="Y")*(F584&lt;&gt;F549)*(G584="Y")*(D584&lt;&gt;"")*(F584&lt;&gt;""))+((H584&lt;&gt;H549)*(I584="Y")*(J584&lt;&gt;J549)*(K584="Y")*(H584&lt;&gt;"")*(J584&lt;&gt;""))+((L584&lt;&gt;L549)*(M584="Y")*(N584&lt;&gt;N549)*(O584="Y")*(L584&lt;&gt;"")*(N584&lt;&gt;""))+((P584&lt;&gt;P549)*(Q584="Y")*(R584&lt;&gt;R549)*(S584="Y")*(P584&lt;&gt;"")*(R584&lt;&gt;""))),0)</f>
        <v/>
      </c>
      <c r="V584" s="37">
        <f>IFERROR(SUMPRODUCT(((D584=D549)*(E584="Y")*(F584&lt;&gt;F549)*(G584="Y")*(D584&lt;&gt;"")*(F584&lt;&gt;""))+((H584=H549)*(I584="Y")*(J584&lt;&gt;J549)*(K584="Y")*(H584&lt;&gt;"")*(J584&lt;&gt;""))+((L584=L549)*(M584="Y")*(N584&lt;&gt;N549)*(O584="Y")*(L584&lt;&gt;"")*(N584&lt;&gt;""))+((P584=P549)*(Q584="Y")*(R584&lt;&gt;R549)*(S584="Y")*(P584&lt;&gt;"")*(R584&lt;&gt;""))),0)</f>
        <v/>
      </c>
      <c r="W584" s="37">
        <f>IFERROR(SUMPRODUCT(((E584="N")*(D584&lt;&gt;"")*(F584&lt;&gt;""))+((I584="N")*(H584&lt;&gt;"")*(J584&lt;&gt;""))+((M584="N")*(L584&lt;&gt;"")*(N584&lt;&gt;""))+((Q584="N")*(P584&lt;&gt;"")*(R584&lt;&gt;""))),0)</f>
        <v/>
      </c>
      <c r="X584" s="50">
        <f>IFERROR(U584/4,0)</f>
        <v/>
      </c>
    </row>
    <row r="585" ht="24" customHeight="1">
      <c r="B585" s="226" t="inlineStr">
        <is>
          <t>สรุป Post แผน 8</t>
        </is>
      </c>
      <c r="C585" s="369" t="n"/>
      <c r="T585" s="52">
        <f>IFERROR(AVERAGE(T550:T584)*4,0)</f>
        <v/>
      </c>
      <c r="U585" s="53">
        <f>IFERROR(AVERAGE(U550:U584)*4,0)</f>
        <v/>
      </c>
      <c r="V585" s="54">
        <f>IFERROR(AVERAGE(V550:V584)*4,0)</f>
        <v/>
      </c>
      <c r="W585" s="55">
        <f>IFERROR(AVERAGE(W550:W584)*4,0)</f>
        <v/>
      </c>
      <c r="X585" s="56">
        <f>IFERROR(AVERAGE(X550:X584),0)</f>
        <v/>
      </c>
    </row>
    <row r="586" ht="7.5" customHeight="1"/>
    <row r="587" ht="21.75" customHeight="1">
      <c r="B587" s="251" t="inlineStr">
        <is>
          <t>▌ แผนที่ 9  |  คาบที่ 17–18  |  Misconception: M1, M2, M3, M4, M5  |  ข้อที่ 33–36  |  ⚠️ POST ONLY (ไม่มี Pre)</t>
        </is>
      </c>
      <c r="C587" s="383" t="n"/>
      <c r="D587" s="383" t="n"/>
      <c r="E587" s="383" t="n"/>
      <c r="F587" s="383" t="n"/>
      <c r="G587" s="383" t="n"/>
      <c r="H587" s="383" t="n"/>
      <c r="I587" s="383" t="n"/>
      <c r="J587" s="383" t="n"/>
      <c r="K587" s="383" t="n"/>
      <c r="L587" s="383" t="n"/>
      <c r="M587" s="383" t="n"/>
      <c r="N587" s="383" t="n"/>
      <c r="O587" s="383" t="n"/>
      <c r="P587" s="383" t="n"/>
      <c r="Q587" s="383" t="n"/>
      <c r="R587" s="383" t="n"/>
      <c r="S587" s="383" t="n"/>
      <c r="T587" s="383" t="n"/>
      <c r="U587" s="383" t="n"/>
      <c r="V587" s="383" t="n"/>
      <c r="W587" s="383" t="n"/>
      <c r="X587" s="383" t="n"/>
    </row>
    <row r="588" ht="15.75" customHeight="1">
      <c r="B588" s="252" t="inlineStr">
        <is>
          <t xml:space="preserve">   📍 ทบทวนบูรณาการ M1–M5 รวม (Post only)</t>
        </is>
      </c>
    </row>
    <row r="589" ht="19.5" customHeight="1">
      <c r="B589" s="241" t="inlineStr">
        <is>
          <t>🟢 POST-test — หลังสอน  (แผน 9 ข้อ 33–36)</t>
        </is>
      </c>
    </row>
    <row r="590" ht="27.75" customHeight="1">
      <c r="B590" s="27" t="inlineStr">
        <is>
          <t>ที่</t>
        </is>
      </c>
      <c r="C590" s="27" t="inlineStr">
        <is>
          <t>ชื่อนักเรียน</t>
        </is>
      </c>
      <c r="D590" s="242" t="inlineStr">
        <is>
          <t>ข้อ 33</t>
        </is>
      </c>
      <c r="E590" s="369" t="n"/>
      <c r="F590" s="369" t="n"/>
      <c r="G590" s="369" t="n"/>
      <c r="H590" s="242" t="inlineStr">
        <is>
          <t>ข้อ 34</t>
        </is>
      </c>
      <c r="I590" s="369" t="n"/>
      <c r="J590" s="369" t="n"/>
      <c r="K590" s="369" t="n"/>
      <c r="L590" s="242" t="inlineStr">
        <is>
          <t>ข้อ 35</t>
        </is>
      </c>
      <c r="M590" s="369" t="n"/>
      <c r="N590" s="369" t="n"/>
      <c r="O590" s="369" t="n"/>
      <c r="P590" s="242" t="inlineStr">
        <is>
          <t>ข้อ 36</t>
        </is>
      </c>
      <c r="Q590" s="369" t="n"/>
      <c r="R590" s="369" t="n"/>
      <c r="S590" s="369" t="n"/>
      <c r="T590" s="57" t="inlineStr">
        <is>
          <t>Sound
✅</t>
        </is>
      </c>
      <c r="U590" s="57" t="inlineStr">
        <is>
          <t>Misc
❌</t>
        </is>
      </c>
      <c r="V590" s="57" t="inlineStr">
        <is>
          <t>Guess
🎲</t>
        </is>
      </c>
      <c r="W590" s="57" t="inlineStr">
        <is>
          <t>NoK
❓</t>
        </is>
      </c>
      <c r="X590" s="57" t="inlineStr">
        <is>
          <t>% Misc
(Auto)</t>
        </is>
      </c>
    </row>
    <row r="591" ht="27.75" customHeight="1">
      <c r="B591" s="58" t="n"/>
      <c r="C591" s="59" t="inlineStr">
        <is>
          <t>← กรอกเฉลย T1 และ T3</t>
        </is>
      </c>
      <c r="D591" s="60" t="inlineStr">
        <is>
          <t>T1
(ก-ง)</t>
        </is>
      </c>
      <c r="E591" s="60" t="inlineStr">
        <is>
          <t>T2
(Y/N)</t>
        </is>
      </c>
      <c r="F591" s="60" t="inlineStr">
        <is>
          <t>T3
(ก-ง)</t>
        </is>
      </c>
      <c r="G591" s="60" t="inlineStr">
        <is>
          <t>T4
(Y/N)</t>
        </is>
      </c>
      <c r="H591" s="60" t="inlineStr">
        <is>
          <t>T1
(ก-ง)</t>
        </is>
      </c>
      <c r="I591" s="60" t="inlineStr">
        <is>
          <t>T2
(Y/N)</t>
        </is>
      </c>
      <c r="J591" s="60" t="inlineStr">
        <is>
          <t>T3
(ก-ง)</t>
        </is>
      </c>
      <c r="K591" s="60" t="inlineStr">
        <is>
          <t>T4
(Y/N)</t>
        </is>
      </c>
      <c r="L591" s="60" t="inlineStr">
        <is>
          <t>T1
(ก-ง)</t>
        </is>
      </c>
      <c r="M591" s="60" t="inlineStr">
        <is>
          <t>T2
(Y/N)</t>
        </is>
      </c>
      <c r="N591" s="60" t="inlineStr">
        <is>
          <t>T3
(ก-ง)</t>
        </is>
      </c>
      <c r="O591" s="60" t="inlineStr">
        <is>
          <t>T4
(Y/N)</t>
        </is>
      </c>
      <c r="P591" s="60" t="inlineStr">
        <is>
          <t>T1
(ก-ง)</t>
        </is>
      </c>
      <c r="Q591" s="60" t="inlineStr">
        <is>
          <t>T2
(Y/N)</t>
        </is>
      </c>
      <c r="R591" s="60" t="inlineStr">
        <is>
          <t>T3
(ก-ง)</t>
        </is>
      </c>
      <c r="S591" s="60" t="inlineStr">
        <is>
          <t>T4
(Y/N)</t>
        </is>
      </c>
      <c r="T591" s="61" t="inlineStr">
        <is>
          <t>—</t>
        </is>
      </c>
      <c r="U591" s="61" t="inlineStr">
        <is>
          <t>—</t>
        </is>
      </c>
      <c r="V591" s="61" t="inlineStr">
        <is>
          <t>—</t>
        </is>
      </c>
      <c r="W591" s="61" t="inlineStr">
        <is>
          <t>—</t>
        </is>
      </c>
      <c r="X591" s="61" t="inlineStr">
        <is>
          <t>—</t>
        </is>
      </c>
    </row>
    <row r="592" ht="18" customHeight="1">
      <c r="B592" s="44" t="inlineStr">
        <is>
          <t>KEY</t>
        </is>
      </c>
      <c r="C592" s="45" t="inlineStr">
        <is>
          <t>← กรอกเฉลยที่ถูกต้อง</t>
        </is>
      </c>
      <c r="D592" s="9" t="n"/>
      <c r="E592" s="21" t="inlineStr">
        <is>
          <t>—</t>
        </is>
      </c>
      <c r="F592" s="9" t="n"/>
      <c r="G592" s="21" t="inlineStr">
        <is>
          <t>—</t>
        </is>
      </c>
      <c r="H592" s="9" t="n"/>
      <c r="I592" s="21" t="inlineStr">
        <is>
          <t>—</t>
        </is>
      </c>
      <c r="J592" s="9" t="n"/>
      <c r="K592" s="21" t="inlineStr">
        <is>
          <t>—</t>
        </is>
      </c>
      <c r="L592" s="9" t="n"/>
      <c r="M592" s="21" t="inlineStr">
        <is>
          <t>—</t>
        </is>
      </c>
      <c r="N592" s="9" t="n"/>
      <c r="O592" s="21" t="inlineStr">
        <is>
          <t>—</t>
        </is>
      </c>
      <c r="P592" s="9" t="n"/>
      <c r="Q592" s="21" t="inlineStr">
        <is>
          <t>—</t>
        </is>
      </c>
      <c r="R592" s="9" t="n"/>
      <c r="S592" s="21" t="inlineStr">
        <is>
          <t>—</t>
        </is>
      </c>
      <c r="T592" s="21" t="inlineStr">
        <is>
          <t>—</t>
        </is>
      </c>
      <c r="U592" s="21" t="inlineStr">
        <is>
          <t>—</t>
        </is>
      </c>
      <c r="V592" s="21" t="inlineStr">
        <is>
          <t>—</t>
        </is>
      </c>
      <c r="W592" s="21" t="inlineStr">
        <is>
          <t>—</t>
        </is>
      </c>
      <c r="X592" s="21" t="inlineStr">
        <is>
          <t>—</t>
        </is>
      </c>
    </row>
    <row r="593" ht="18" customHeight="1">
      <c r="B593" s="46">
        <f>'📥 ข้อมูลนักเรียน'!B4</f>
        <v/>
      </c>
      <c r="C593" s="47">
        <f>'📥 ข้อมูลนักเรียน'!C4</f>
        <v/>
      </c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37">
        <f>IFERROR(SUMPRODUCT(((D593=D592)*(E593="Y")*(F593=F592)*(G593="Y")*(D593&lt;&gt;"")* (F593&lt;&gt;""))+((H593=H592)*(I593="Y")*(J593=J592)*(K593="Y")*(H593&lt;&gt;"")* (J593&lt;&gt;""))+((L593=L592)*(M593="Y")*(N593=N592)*(O593="Y")*(L593&lt;&gt;"")* (N593&lt;&gt;""))+((P593=P592)*(Q593="Y")*(R593=R592)*(S593="Y")*(P593&lt;&gt;"")* (R593&lt;&gt;""))),0)</f>
        <v/>
      </c>
      <c r="U593" s="49">
        <f>IFERROR(SUMPRODUCT(((D593&lt;&gt;D592)*(E593="Y")*(F593&lt;&gt;F592)*(G593="Y")*(D593&lt;&gt;"")* (F593&lt;&gt;""))+((H593&lt;&gt;H592)*(I593="Y")*(J593&lt;&gt;J592)*(K593="Y")*(H593&lt;&gt;"")* (J593&lt;&gt;""))+((L593&lt;&gt;L592)*(M593="Y")*(N593&lt;&gt;N592)*(O593="Y")*(L593&lt;&gt;"")* (N593&lt;&gt;""))+((P593&lt;&gt;P592)*(Q593="Y")*(R593&lt;&gt;R592)*(S593="Y")*(P593&lt;&gt;"")* (R593&lt;&gt;""))),0)</f>
        <v/>
      </c>
      <c r="V593" s="37">
        <f>IFERROR(SUMPRODUCT(((D593=D592)*(E593="Y")*(F593&lt;&gt;F592)*(G593="Y")*(D593&lt;&gt;"")* (F593&lt;&gt;""))+((H593=H592)*(I593="Y")*(J593&lt;&gt;J592)*(K593="Y")*(H593&lt;&gt;"")* (J593&lt;&gt;""))+((L593=L592)*(M593="Y")*(N593&lt;&gt;N592)*(O593="Y")*(L593&lt;&gt;"")* (N593&lt;&gt;""))+((P593=P592)*(Q593="Y")*(R593&lt;&gt;R592)*(S593="Y")*(P593&lt;&gt;"")* (R593&lt;&gt;""))),0)</f>
        <v/>
      </c>
      <c r="W593" s="37">
        <f>IFERROR(SUMPRODUCT(((E593="N")*(D593&lt;&gt;"")* (F593&lt;&gt;""))+((I593="N")*(H593&lt;&gt;"")* (J593&lt;&gt;""))+((M593="N")*(L593&lt;&gt;"")* (N593&lt;&gt;""))+((Q593="N")*(P593&lt;&gt;"")* (R593&lt;&gt;""))),0)</f>
        <v/>
      </c>
      <c r="X593" s="50">
        <f>IFERROR(U593/4,0)</f>
        <v/>
      </c>
    </row>
    <row r="594" ht="18" customHeight="1">
      <c r="B594" s="46">
        <f>'📥 ข้อมูลนักเรียน'!B5</f>
        <v/>
      </c>
      <c r="C594" s="51">
        <f>'📥 ข้อมูลนักเรียน'!C5</f>
        <v/>
      </c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37">
        <f>IFERROR(SUMPRODUCT(((D594=D592)*(E594="Y")*(F594=F592)*(G594="Y")*(D594&lt;&gt;"")* (F594&lt;&gt;""))+((H594=H592)*(I594="Y")*(J594=J592)*(K594="Y")*(H594&lt;&gt;"")* (J594&lt;&gt;""))+((L594=L592)*(M594="Y")*(N594=N592)*(O594="Y")*(L594&lt;&gt;"")* (N594&lt;&gt;""))+((P594=P592)*(Q594="Y")*(R594=R592)*(S594="Y")*(P594&lt;&gt;"")* (R594&lt;&gt;""))),0)</f>
        <v/>
      </c>
      <c r="U594" s="49">
        <f>IFERROR(SUMPRODUCT(((D594&lt;&gt;D592)*(E594="Y")*(F594&lt;&gt;F592)*(G594="Y")*(D594&lt;&gt;"")* (F594&lt;&gt;""))+((H594&lt;&gt;H592)*(I594="Y")*(J594&lt;&gt;J592)*(K594="Y")*(H594&lt;&gt;"")* (J594&lt;&gt;""))+((L594&lt;&gt;L592)*(M594="Y")*(N594&lt;&gt;N592)*(O594="Y")*(L594&lt;&gt;"")* (N594&lt;&gt;""))+((P594&lt;&gt;P592)*(Q594="Y")*(R594&lt;&gt;R592)*(S594="Y")*(P594&lt;&gt;"")* (R594&lt;&gt;""))),0)</f>
        <v/>
      </c>
      <c r="V594" s="37">
        <f>IFERROR(SUMPRODUCT(((D594=D592)*(E594="Y")*(F594&lt;&gt;F592)*(G594="Y")*(D594&lt;&gt;"")* (F594&lt;&gt;""))+((H594=H592)*(I594="Y")*(J594&lt;&gt;J592)*(K594="Y")*(H594&lt;&gt;"")* (J594&lt;&gt;""))+((L594=L592)*(M594="Y")*(N594&lt;&gt;N592)*(O594="Y")*(L594&lt;&gt;"")* (N594&lt;&gt;""))+((P594=P592)*(Q594="Y")*(R594&lt;&gt;R592)*(S594="Y")*(P594&lt;&gt;"")* (R594&lt;&gt;""))),0)</f>
        <v/>
      </c>
      <c r="W594" s="37">
        <f>IFERROR(SUMPRODUCT(((E594="N")*(D594&lt;&gt;"")* (F594&lt;&gt;""))+((I594="N")*(H594&lt;&gt;"")* (J594&lt;&gt;""))+((M594="N")*(L594&lt;&gt;"")* (N594&lt;&gt;""))+((Q594="N")*(P594&lt;&gt;"")* (R594&lt;&gt;""))),0)</f>
        <v/>
      </c>
      <c r="X594" s="50">
        <f>IFERROR(U594/4,0)</f>
        <v/>
      </c>
    </row>
    <row r="595" ht="18" customHeight="1">
      <c r="B595" s="46">
        <f>'📥 ข้อมูลนักเรียน'!B6</f>
        <v/>
      </c>
      <c r="C595" s="47">
        <f>'📥 ข้อมูลนักเรียน'!C6</f>
        <v/>
      </c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37">
        <f>IFERROR(SUMPRODUCT(((D595=D592)*(E595="Y")*(F595=F592)*(G595="Y")*(D595&lt;&gt;"")* (F595&lt;&gt;""))+((H595=H592)*(I595="Y")*(J595=J592)*(K595="Y")*(H595&lt;&gt;"")* (J595&lt;&gt;""))+((L595=L592)*(M595="Y")*(N595=N592)*(O595="Y")*(L595&lt;&gt;"")* (N595&lt;&gt;""))+((P595=P592)*(Q595="Y")*(R595=R592)*(S595="Y")*(P595&lt;&gt;"")* (R595&lt;&gt;""))),0)</f>
        <v/>
      </c>
      <c r="U595" s="49">
        <f>IFERROR(SUMPRODUCT(((D595&lt;&gt;D592)*(E595="Y")*(F595&lt;&gt;F592)*(G595="Y")*(D595&lt;&gt;"")* (F595&lt;&gt;""))+((H595&lt;&gt;H592)*(I595="Y")*(J595&lt;&gt;J592)*(K595="Y")*(H595&lt;&gt;"")* (J595&lt;&gt;""))+((L595&lt;&gt;L592)*(M595="Y")*(N595&lt;&gt;N592)*(O595="Y")*(L595&lt;&gt;"")* (N595&lt;&gt;""))+((P595&lt;&gt;P592)*(Q595="Y")*(R595&lt;&gt;R592)*(S595="Y")*(P595&lt;&gt;"")* (R595&lt;&gt;""))),0)</f>
        <v/>
      </c>
      <c r="V595" s="37">
        <f>IFERROR(SUMPRODUCT(((D595=D592)*(E595="Y")*(F595&lt;&gt;F592)*(G595="Y")*(D595&lt;&gt;"")* (F595&lt;&gt;""))+((H595=H592)*(I595="Y")*(J595&lt;&gt;J592)*(K595="Y")*(H595&lt;&gt;"")* (J595&lt;&gt;""))+((L595=L592)*(M595="Y")*(N595&lt;&gt;N592)*(O595="Y")*(L595&lt;&gt;"")* (N595&lt;&gt;""))+((P595=P592)*(Q595="Y")*(R595&lt;&gt;R592)*(S595="Y")*(P595&lt;&gt;"")* (R595&lt;&gt;""))),0)</f>
        <v/>
      </c>
      <c r="W595" s="37">
        <f>IFERROR(SUMPRODUCT(((E595="N")*(D595&lt;&gt;"")* (F595&lt;&gt;""))+((I595="N")*(H595&lt;&gt;"")* (J595&lt;&gt;""))+((M595="N")*(L595&lt;&gt;"")* (N595&lt;&gt;""))+((Q595="N")*(P595&lt;&gt;"")* (R595&lt;&gt;""))),0)</f>
        <v/>
      </c>
      <c r="X595" s="50">
        <f>IFERROR(U595/4,0)</f>
        <v/>
      </c>
    </row>
    <row r="596" ht="18" customHeight="1">
      <c r="B596" s="46">
        <f>'📥 ข้อมูลนักเรียน'!B7</f>
        <v/>
      </c>
      <c r="C596" s="51">
        <f>'📥 ข้อมูลนักเรียน'!C7</f>
        <v/>
      </c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37">
        <f>IFERROR(SUMPRODUCT(((D596=D592)*(E596="Y")*(F596=F592)*(G596="Y")*(D596&lt;&gt;"")* (F596&lt;&gt;""))+((H596=H592)*(I596="Y")*(J596=J592)*(K596="Y")*(H596&lt;&gt;"")* (J596&lt;&gt;""))+((L596=L592)*(M596="Y")*(N596=N592)*(O596="Y")*(L596&lt;&gt;"")* (N596&lt;&gt;""))+((P596=P592)*(Q596="Y")*(R596=R592)*(S596="Y")*(P596&lt;&gt;"")* (R596&lt;&gt;""))),0)</f>
        <v/>
      </c>
      <c r="U596" s="49">
        <f>IFERROR(SUMPRODUCT(((D596&lt;&gt;D592)*(E596="Y")*(F596&lt;&gt;F592)*(G596="Y")*(D596&lt;&gt;"")* (F596&lt;&gt;""))+((H596&lt;&gt;H592)*(I596="Y")*(J596&lt;&gt;J592)*(K596="Y")*(H596&lt;&gt;"")* (J596&lt;&gt;""))+((L596&lt;&gt;L592)*(M596="Y")*(N596&lt;&gt;N592)*(O596="Y")*(L596&lt;&gt;"")* (N596&lt;&gt;""))+((P596&lt;&gt;P592)*(Q596="Y")*(R596&lt;&gt;R592)*(S596="Y")*(P596&lt;&gt;"")* (R596&lt;&gt;""))),0)</f>
        <v/>
      </c>
      <c r="V596" s="37">
        <f>IFERROR(SUMPRODUCT(((D596=D592)*(E596="Y")*(F596&lt;&gt;F592)*(G596="Y")*(D596&lt;&gt;"")* (F596&lt;&gt;""))+((H596=H592)*(I596="Y")*(J596&lt;&gt;J592)*(K596="Y")*(H596&lt;&gt;"")* (J596&lt;&gt;""))+((L596=L592)*(M596="Y")*(N596&lt;&gt;N592)*(O596="Y")*(L596&lt;&gt;"")* (N596&lt;&gt;""))+((P596=P592)*(Q596="Y")*(R596&lt;&gt;R592)*(S596="Y")*(P596&lt;&gt;"")* (R596&lt;&gt;""))),0)</f>
        <v/>
      </c>
      <c r="W596" s="37">
        <f>IFERROR(SUMPRODUCT(((E596="N")*(D596&lt;&gt;"")* (F596&lt;&gt;""))+((I596="N")*(H596&lt;&gt;"")* (J596&lt;&gt;""))+((M596="N")*(L596&lt;&gt;"")* (N596&lt;&gt;""))+((Q596="N")*(P596&lt;&gt;"")* (R596&lt;&gt;""))),0)</f>
        <v/>
      </c>
      <c r="X596" s="50">
        <f>IFERROR(U596/4,0)</f>
        <v/>
      </c>
    </row>
    <row r="597" ht="18" customHeight="1">
      <c r="B597" s="46">
        <f>'📥 ข้อมูลนักเรียน'!B8</f>
        <v/>
      </c>
      <c r="C597" s="47">
        <f>'📥 ข้อมูลนักเรียน'!C8</f>
        <v/>
      </c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37">
        <f>IFERROR(SUMPRODUCT(((D597=D592)*(E597="Y")*(F597=F592)*(G597="Y")*(D597&lt;&gt;"")* (F597&lt;&gt;""))+((H597=H592)*(I597="Y")*(J597=J592)*(K597="Y")*(H597&lt;&gt;"")* (J597&lt;&gt;""))+((L597=L592)*(M597="Y")*(N597=N592)*(O597="Y")*(L597&lt;&gt;"")* (N597&lt;&gt;""))+((P597=P592)*(Q597="Y")*(R597=R592)*(S597="Y")*(P597&lt;&gt;"")* (R597&lt;&gt;""))),0)</f>
        <v/>
      </c>
      <c r="U597" s="49">
        <f>IFERROR(SUMPRODUCT(((D597&lt;&gt;D592)*(E597="Y")*(F597&lt;&gt;F592)*(G597="Y")*(D597&lt;&gt;"")* (F597&lt;&gt;""))+((H597&lt;&gt;H592)*(I597="Y")*(J597&lt;&gt;J592)*(K597="Y")*(H597&lt;&gt;"")* (J597&lt;&gt;""))+((L597&lt;&gt;L592)*(M597="Y")*(N597&lt;&gt;N592)*(O597="Y")*(L597&lt;&gt;"")* (N597&lt;&gt;""))+((P597&lt;&gt;P592)*(Q597="Y")*(R597&lt;&gt;R592)*(S597="Y")*(P597&lt;&gt;"")* (R597&lt;&gt;""))),0)</f>
        <v/>
      </c>
      <c r="V597" s="37">
        <f>IFERROR(SUMPRODUCT(((D597=D592)*(E597="Y")*(F597&lt;&gt;F592)*(G597="Y")*(D597&lt;&gt;"")* (F597&lt;&gt;""))+((H597=H592)*(I597="Y")*(J597&lt;&gt;J592)*(K597="Y")*(H597&lt;&gt;"")* (J597&lt;&gt;""))+((L597=L592)*(M597="Y")*(N597&lt;&gt;N592)*(O597="Y")*(L597&lt;&gt;"")* (N597&lt;&gt;""))+((P597=P592)*(Q597="Y")*(R597&lt;&gt;R592)*(S597="Y")*(P597&lt;&gt;"")* (R597&lt;&gt;""))),0)</f>
        <v/>
      </c>
      <c r="W597" s="37">
        <f>IFERROR(SUMPRODUCT(((E597="N")*(D597&lt;&gt;"")* (F597&lt;&gt;""))+((I597="N")*(H597&lt;&gt;"")* (J597&lt;&gt;""))+((M597="N")*(L597&lt;&gt;"")* (N597&lt;&gt;""))+((Q597="N")*(P597&lt;&gt;"")* (R597&lt;&gt;""))),0)</f>
        <v/>
      </c>
      <c r="X597" s="50">
        <f>IFERROR(U597/4,0)</f>
        <v/>
      </c>
    </row>
    <row r="598" ht="18" customHeight="1">
      <c r="B598" s="46">
        <f>'📥 ข้อมูลนักเรียน'!B9</f>
        <v/>
      </c>
      <c r="C598" s="51">
        <f>'📥 ข้อมูลนักเรียน'!C9</f>
        <v/>
      </c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37">
        <f>IFERROR(SUMPRODUCT(((D598=D592)*(E598="Y")*(F598=F592)*(G598="Y")*(D598&lt;&gt;"")* (F598&lt;&gt;""))+((H598=H592)*(I598="Y")*(J598=J592)*(K598="Y")*(H598&lt;&gt;"")* (J598&lt;&gt;""))+((L598=L592)*(M598="Y")*(N598=N592)*(O598="Y")*(L598&lt;&gt;"")* (N598&lt;&gt;""))+((P598=P592)*(Q598="Y")*(R598=R592)*(S598="Y")*(P598&lt;&gt;"")* (R598&lt;&gt;""))),0)</f>
        <v/>
      </c>
      <c r="U598" s="49">
        <f>IFERROR(SUMPRODUCT(((D598&lt;&gt;D592)*(E598="Y")*(F598&lt;&gt;F592)*(G598="Y")*(D598&lt;&gt;"")* (F598&lt;&gt;""))+((H598&lt;&gt;H592)*(I598="Y")*(J598&lt;&gt;J592)*(K598="Y")*(H598&lt;&gt;"")* (J598&lt;&gt;""))+((L598&lt;&gt;L592)*(M598="Y")*(N598&lt;&gt;N592)*(O598="Y")*(L598&lt;&gt;"")* (N598&lt;&gt;""))+((P598&lt;&gt;P592)*(Q598="Y")*(R598&lt;&gt;R592)*(S598="Y")*(P598&lt;&gt;"")* (R598&lt;&gt;""))),0)</f>
        <v/>
      </c>
      <c r="V598" s="37">
        <f>IFERROR(SUMPRODUCT(((D598=D592)*(E598="Y")*(F598&lt;&gt;F592)*(G598="Y")*(D598&lt;&gt;"")* (F598&lt;&gt;""))+((H598=H592)*(I598="Y")*(J598&lt;&gt;J592)*(K598="Y")*(H598&lt;&gt;"")* (J598&lt;&gt;""))+((L598=L592)*(M598="Y")*(N598&lt;&gt;N592)*(O598="Y")*(L598&lt;&gt;"")* (N598&lt;&gt;""))+((P598=P592)*(Q598="Y")*(R598&lt;&gt;R592)*(S598="Y")*(P598&lt;&gt;"")* (R598&lt;&gt;""))),0)</f>
        <v/>
      </c>
      <c r="W598" s="37">
        <f>IFERROR(SUMPRODUCT(((E598="N")*(D598&lt;&gt;"")* (F598&lt;&gt;""))+((I598="N")*(H598&lt;&gt;"")* (J598&lt;&gt;""))+((M598="N")*(L598&lt;&gt;"")* (N598&lt;&gt;""))+((Q598="N")*(P598&lt;&gt;"")* (R598&lt;&gt;""))),0)</f>
        <v/>
      </c>
      <c r="X598" s="50">
        <f>IFERROR(U598/4,0)</f>
        <v/>
      </c>
    </row>
    <row r="599" ht="18" customHeight="1">
      <c r="B599" s="46">
        <f>'📥 ข้อมูลนักเรียน'!B10</f>
        <v/>
      </c>
      <c r="C599" s="47">
        <f>'📥 ข้อมูลนักเรียน'!C10</f>
        <v/>
      </c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37">
        <f>IFERROR(SUMPRODUCT(((D599=D592)*(E599="Y")*(F599=F592)*(G599="Y")*(D599&lt;&gt;"")* (F599&lt;&gt;""))+((H599=H592)*(I599="Y")*(J599=J592)*(K599="Y")*(H599&lt;&gt;"")* (J599&lt;&gt;""))+((L599=L592)*(M599="Y")*(N599=N592)*(O599="Y")*(L599&lt;&gt;"")* (N599&lt;&gt;""))+((P599=P592)*(Q599="Y")*(R599=R592)*(S599="Y")*(P599&lt;&gt;"")* (R599&lt;&gt;""))),0)</f>
        <v/>
      </c>
      <c r="U599" s="49">
        <f>IFERROR(SUMPRODUCT(((D599&lt;&gt;D592)*(E599="Y")*(F599&lt;&gt;F592)*(G599="Y")*(D599&lt;&gt;"")* (F599&lt;&gt;""))+((H599&lt;&gt;H592)*(I599="Y")*(J599&lt;&gt;J592)*(K599="Y")*(H599&lt;&gt;"")* (J599&lt;&gt;""))+((L599&lt;&gt;L592)*(M599="Y")*(N599&lt;&gt;N592)*(O599="Y")*(L599&lt;&gt;"")* (N599&lt;&gt;""))+((P599&lt;&gt;P592)*(Q599="Y")*(R599&lt;&gt;R592)*(S599="Y")*(P599&lt;&gt;"")* (R599&lt;&gt;""))),0)</f>
        <v/>
      </c>
      <c r="V599" s="37">
        <f>IFERROR(SUMPRODUCT(((D599=D592)*(E599="Y")*(F599&lt;&gt;F592)*(G599="Y")*(D599&lt;&gt;"")* (F599&lt;&gt;""))+((H599=H592)*(I599="Y")*(J599&lt;&gt;J592)*(K599="Y")*(H599&lt;&gt;"")* (J599&lt;&gt;""))+((L599=L592)*(M599="Y")*(N599&lt;&gt;N592)*(O599="Y")*(L599&lt;&gt;"")* (N599&lt;&gt;""))+((P599=P592)*(Q599="Y")*(R599&lt;&gt;R592)*(S599="Y")*(P599&lt;&gt;"")* (R599&lt;&gt;""))),0)</f>
        <v/>
      </c>
      <c r="W599" s="37">
        <f>IFERROR(SUMPRODUCT(((E599="N")*(D599&lt;&gt;"")* (F599&lt;&gt;""))+((I599="N")*(H599&lt;&gt;"")* (J599&lt;&gt;""))+((M599="N")*(L599&lt;&gt;"")* (N599&lt;&gt;""))+((Q599="N")*(P599&lt;&gt;"")* (R599&lt;&gt;""))),0)</f>
        <v/>
      </c>
      <c r="X599" s="50">
        <f>IFERROR(U599/4,0)</f>
        <v/>
      </c>
    </row>
    <row r="600" ht="18" customHeight="1">
      <c r="B600" s="46">
        <f>'📥 ข้อมูลนักเรียน'!B11</f>
        <v/>
      </c>
      <c r="C600" s="51">
        <f>'📥 ข้อมูลนักเรียน'!C11</f>
        <v/>
      </c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37">
        <f>IFERROR(SUMPRODUCT(((D600=D592)*(E600="Y")*(F600=F592)*(G600="Y")*(D600&lt;&gt;"")* (F600&lt;&gt;""))+((H600=H592)*(I600="Y")*(J600=J592)*(K600="Y")*(H600&lt;&gt;"")* (J600&lt;&gt;""))+((L600=L592)*(M600="Y")*(N600=N592)*(O600="Y")*(L600&lt;&gt;"")* (N600&lt;&gt;""))+((P600=P592)*(Q600="Y")*(R600=R592)*(S600="Y")*(P600&lt;&gt;"")* (R600&lt;&gt;""))),0)</f>
        <v/>
      </c>
      <c r="U600" s="49">
        <f>IFERROR(SUMPRODUCT(((D600&lt;&gt;D592)*(E600="Y")*(F600&lt;&gt;F592)*(G600="Y")*(D600&lt;&gt;"")* (F600&lt;&gt;""))+((H600&lt;&gt;H592)*(I600="Y")*(J600&lt;&gt;J592)*(K600="Y")*(H600&lt;&gt;"")* (J600&lt;&gt;""))+((L600&lt;&gt;L592)*(M600="Y")*(N600&lt;&gt;N592)*(O600="Y")*(L600&lt;&gt;"")* (N600&lt;&gt;""))+((P600&lt;&gt;P592)*(Q600="Y")*(R600&lt;&gt;R592)*(S600="Y")*(P600&lt;&gt;"")* (R600&lt;&gt;""))),0)</f>
        <v/>
      </c>
      <c r="V600" s="37">
        <f>IFERROR(SUMPRODUCT(((D600=D592)*(E600="Y")*(F600&lt;&gt;F592)*(G600="Y")*(D600&lt;&gt;"")* (F600&lt;&gt;""))+((H600=H592)*(I600="Y")*(J600&lt;&gt;J592)*(K600="Y")*(H600&lt;&gt;"")* (J600&lt;&gt;""))+((L600=L592)*(M600="Y")*(N600&lt;&gt;N592)*(O600="Y")*(L600&lt;&gt;"")* (N600&lt;&gt;""))+((P600=P592)*(Q600="Y")*(R600&lt;&gt;R592)*(S600="Y")*(P600&lt;&gt;"")* (R600&lt;&gt;""))),0)</f>
        <v/>
      </c>
      <c r="W600" s="37">
        <f>IFERROR(SUMPRODUCT(((E600="N")*(D600&lt;&gt;"")* (F600&lt;&gt;""))+((I600="N")*(H600&lt;&gt;"")* (J600&lt;&gt;""))+((M600="N")*(L600&lt;&gt;"")* (N600&lt;&gt;""))+((Q600="N")*(P600&lt;&gt;"")* (R600&lt;&gt;""))),0)</f>
        <v/>
      </c>
      <c r="X600" s="50">
        <f>IFERROR(U600/4,0)</f>
        <v/>
      </c>
    </row>
    <row r="601" ht="18" customHeight="1">
      <c r="B601" s="46">
        <f>'📥 ข้อมูลนักเรียน'!B12</f>
        <v/>
      </c>
      <c r="C601" s="47">
        <f>'📥 ข้อมูลนักเรียน'!C12</f>
        <v/>
      </c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37">
        <f>IFERROR(SUMPRODUCT(((D601=D592)*(E601="Y")*(F601=F592)*(G601="Y")*(D601&lt;&gt;"")* (F601&lt;&gt;""))+((H601=H592)*(I601="Y")*(J601=J592)*(K601="Y")*(H601&lt;&gt;"")* (J601&lt;&gt;""))+((L601=L592)*(M601="Y")*(N601=N592)*(O601="Y")*(L601&lt;&gt;"")* (N601&lt;&gt;""))+((P601=P592)*(Q601="Y")*(R601=R592)*(S601="Y")*(P601&lt;&gt;"")* (R601&lt;&gt;""))),0)</f>
        <v/>
      </c>
      <c r="U601" s="49">
        <f>IFERROR(SUMPRODUCT(((D601&lt;&gt;D592)*(E601="Y")*(F601&lt;&gt;F592)*(G601="Y")*(D601&lt;&gt;"")* (F601&lt;&gt;""))+((H601&lt;&gt;H592)*(I601="Y")*(J601&lt;&gt;J592)*(K601="Y")*(H601&lt;&gt;"")* (J601&lt;&gt;""))+((L601&lt;&gt;L592)*(M601="Y")*(N601&lt;&gt;N592)*(O601="Y")*(L601&lt;&gt;"")* (N601&lt;&gt;""))+((P601&lt;&gt;P592)*(Q601="Y")*(R601&lt;&gt;R592)*(S601="Y")*(P601&lt;&gt;"")* (R601&lt;&gt;""))),0)</f>
        <v/>
      </c>
      <c r="V601" s="37">
        <f>IFERROR(SUMPRODUCT(((D601=D592)*(E601="Y")*(F601&lt;&gt;F592)*(G601="Y")*(D601&lt;&gt;"")* (F601&lt;&gt;""))+((H601=H592)*(I601="Y")*(J601&lt;&gt;J592)*(K601="Y")*(H601&lt;&gt;"")* (J601&lt;&gt;""))+((L601=L592)*(M601="Y")*(N601&lt;&gt;N592)*(O601="Y")*(L601&lt;&gt;"")* (N601&lt;&gt;""))+((P601=P592)*(Q601="Y")*(R601&lt;&gt;R592)*(S601="Y")*(P601&lt;&gt;"")* (R601&lt;&gt;""))),0)</f>
        <v/>
      </c>
      <c r="W601" s="37">
        <f>IFERROR(SUMPRODUCT(((E601="N")*(D601&lt;&gt;"")* (F601&lt;&gt;""))+((I601="N")*(H601&lt;&gt;"")* (J601&lt;&gt;""))+((M601="N")*(L601&lt;&gt;"")* (N601&lt;&gt;""))+((Q601="N")*(P601&lt;&gt;"")* (R601&lt;&gt;""))),0)</f>
        <v/>
      </c>
      <c r="X601" s="50">
        <f>IFERROR(U601/4,0)</f>
        <v/>
      </c>
    </row>
    <row r="602" ht="18" customHeight="1">
      <c r="B602" s="46">
        <f>'📥 ข้อมูลนักเรียน'!B13</f>
        <v/>
      </c>
      <c r="C602" s="51">
        <f>'📥 ข้อมูลนักเรียน'!C13</f>
        <v/>
      </c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37">
        <f>IFERROR(SUMPRODUCT(((D602=D592)*(E602="Y")*(F602=F592)*(G602="Y")*(D602&lt;&gt;"")* (F602&lt;&gt;""))+((H602=H592)*(I602="Y")*(J602=J592)*(K602="Y")*(H602&lt;&gt;"")* (J602&lt;&gt;""))+((L602=L592)*(M602="Y")*(N602=N592)*(O602="Y")*(L602&lt;&gt;"")* (N602&lt;&gt;""))+((P602=P592)*(Q602="Y")*(R602=R592)*(S602="Y")*(P602&lt;&gt;"")* (R602&lt;&gt;""))),0)</f>
        <v/>
      </c>
      <c r="U602" s="49">
        <f>IFERROR(SUMPRODUCT(((D602&lt;&gt;D592)*(E602="Y")*(F602&lt;&gt;F592)*(G602="Y")*(D602&lt;&gt;"")* (F602&lt;&gt;""))+((H602&lt;&gt;H592)*(I602="Y")*(J602&lt;&gt;J592)*(K602="Y")*(H602&lt;&gt;"")* (J602&lt;&gt;""))+((L602&lt;&gt;L592)*(M602="Y")*(N602&lt;&gt;N592)*(O602="Y")*(L602&lt;&gt;"")* (N602&lt;&gt;""))+((P602&lt;&gt;P592)*(Q602="Y")*(R602&lt;&gt;R592)*(S602="Y")*(P602&lt;&gt;"")* (R602&lt;&gt;""))),0)</f>
        <v/>
      </c>
      <c r="V602" s="37">
        <f>IFERROR(SUMPRODUCT(((D602=D592)*(E602="Y")*(F602&lt;&gt;F592)*(G602="Y")*(D602&lt;&gt;"")* (F602&lt;&gt;""))+((H602=H592)*(I602="Y")*(J602&lt;&gt;J592)*(K602="Y")*(H602&lt;&gt;"")* (J602&lt;&gt;""))+((L602=L592)*(M602="Y")*(N602&lt;&gt;N592)*(O602="Y")*(L602&lt;&gt;"")* (N602&lt;&gt;""))+((P602=P592)*(Q602="Y")*(R602&lt;&gt;R592)*(S602="Y")*(P602&lt;&gt;"")* (R602&lt;&gt;""))),0)</f>
        <v/>
      </c>
      <c r="W602" s="37">
        <f>IFERROR(SUMPRODUCT(((E602="N")*(D602&lt;&gt;"")* (F602&lt;&gt;""))+((I602="N")*(H602&lt;&gt;"")* (J602&lt;&gt;""))+((M602="N")*(L602&lt;&gt;"")* (N602&lt;&gt;""))+((Q602="N")*(P602&lt;&gt;"")* (R602&lt;&gt;""))),0)</f>
        <v/>
      </c>
      <c r="X602" s="50">
        <f>IFERROR(U602/4,0)</f>
        <v/>
      </c>
    </row>
    <row r="603" ht="18" customHeight="1">
      <c r="B603" s="46">
        <f>'📥 ข้อมูลนักเรียน'!B14</f>
        <v/>
      </c>
      <c r="C603" s="47">
        <f>'📥 ข้อมูลนักเรียน'!C14</f>
        <v/>
      </c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37">
        <f>IFERROR(SUMPRODUCT(((D603=D592)*(E603="Y")*(F603=F592)*(G603="Y")*(D603&lt;&gt;"")* (F603&lt;&gt;""))+((H603=H592)*(I603="Y")*(J603=J592)*(K603="Y")*(H603&lt;&gt;"")* (J603&lt;&gt;""))+((L603=L592)*(M603="Y")*(N603=N592)*(O603="Y")*(L603&lt;&gt;"")* (N603&lt;&gt;""))+((P603=P592)*(Q603="Y")*(R603=R592)*(S603="Y")*(P603&lt;&gt;"")* (R603&lt;&gt;""))),0)</f>
        <v/>
      </c>
      <c r="U603" s="49">
        <f>IFERROR(SUMPRODUCT(((D603&lt;&gt;D592)*(E603="Y")*(F603&lt;&gt;F592)*(G603="Y")*(D603&lt;&gt;"")* (F603&lt;&gt;""))+((H603&lt;&gt;H592)*(I603="Y")*(J603&lt;&gt;J592)*(K603="Y")*(H603&lt;&gt;"")* (J603&lt;&gt;""))+((L603&lt;&gt;L592)*(M603="Y")*(N603&lt;&gt;N592)*(O603="Y")*(L603&lt;&gt;"")* (N603&lt;&gt;""))+((P603&lt;&gt;P592)*(Q603="Y")*(R603&lt;&gt;R592)*(S603="Y")*(P603&lt;&gt;"")* (R603&lt;&gt;""))),0)</f>
        <v/>
      </c>
      <c r="V603" s="37">
        <f>IFERROR(SUMPRODUCT(((D603=D592)*(E603="Y")*(F603&lt;&gt;F592)*(G603="Y")*(D603&lt;&gt;"")* (F603&lt;&gt;""))+((H603=H592)*(I603="Y")*(J603&lt;&gt;J592)*(K603="Y")*(H603&lt;&gt;"")* (J603&lt;&gt;""))+((L603=L592)*(M603="Y")*(N603&lt;&gt;N592)*(O603="Y")*(L603&lt;&gt;"")* (N603&lt;&gt;""))+((P603=P592)*(Q603="Y")*(R603&lt;&gt;R592)*(S603="Y")*(P603&lt;&gt;"")* (R603&lt;&gt;""))),0)</f>
        <v/>
      </c>
      <c r="W603" s="37">
        <f>IFERROR(SUMPRODUCT(((E603="N")*(D603&lt;&gt;"")* (F603&lt;&gt;""))+((I603="N")*(H603&lt;&gt;"")* (J603&lt;&gt;""))+((M603="N")*(L603&lt;&gt;"")* (N603&lt;&gt;""))+((Q603="N")*(P603&lt;&gt;"")* (R603&lt;&gt;""))),0)</f>
        <v/>
      </c>
      <c r="X603" s="50">
        <f>IFERROR(U603/4,0)</f>
        <v/>
      </c>
    </row>
    <row r="604" ht="18" customHeight="1">
      <c r="B604" s="46">
        <f>'📥 ข้อมูลนักเรียน'!B15</f>
        <v/>
      </c>
      <c r="C604" s="51">
        <f>'📥 ข้อมูลนักเรียน'!C15</f>
        <v/>
      </c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37">
        <f>IFERROR(SUMPRODUCT(((D604=D592)*(E604="Y")*(F604=F592)*(G604="Y")*(D604&lt;&gt;"")* (F604&lt;&gt;""))+((H604=H592)*(I604="Y")*(J604=J592)*(K604="Y")*(H604&lt;&gt;"")* (J604&lt;&gt;""))+((L604=L592)*(M604="Y")*(N604=N592)*(O604="Y")*(L604&lt;&gt;"")* (N604&lt;&gt;""))+((P604=P592)*(Q604="Y")*(R604=R592)*(S604="Y")*(P604&lt;&gt;"")* (R604&lt;&gt;""))),0)</f>
        <v/>
      </c>
      <c r="U604" s="49">
        <f>IFERROR(SUMPRODUCT(((D604&lt;&gt;D592)*(E604="Y")*(F604&lt;&gt;F592)*(G604="Y")*(D604&lt;&gt;"")* (F604&lt;&gt;""))+((H604&lt;&gt;H592)*(I604="Y")*(J604&lt;&gt;J592)*(K604="Y")*(H604&lt;&gt;"")* (J604&lt;&gt;""))+((L604&lt;&gt;L592)*(M604="Y")*(N604&lt;&gt;N592)*(O604="Y")*(L604&lt;&gt;"")* (N604&lt;&gt;""))+((P604&lt;&gt;P592)*(Q604="Y")*(R604&lt;&gt;R592)*(S604="Y")*(P604&lt;&gt;"")* (R604&lt;&gt;""))),0)</f>
        <v/>
      </c>
      <c r="V604" s="37">
        <f>IFERROR(SUMPRODUCT(((D604=D592)*(E604="Y")*(F604&lt;&gt;F592)*(G604="Y")*(D604&lt;&gt;"")* (F604&lt;&gt;""))+((H604=H592)*(I604="Y")*(J604&lt;&gt;J592)*(K604="Y")*(H604&lt;&gt;"")* (J604&lt;&gt;""))+((L604=L592)*(M604="Y")*(N604&lt;&gt;N592)*(O604="Y")*(L604&lt;&gt;"")* (N604&lt;&gt;""))+((P604=P592)*(Q604="Y")*(R604&lt;&gt;R592)*(S604="Y")*(P604&lt;&gt;"")* (R604&lt;&gt;""))),0)</f>
        <v/>
      </c>
      <c r="W604" s="37">
        <f>IFERROR(SUMPRODUCT(((E604="N")*(D604&lt;&gt;"")* (F604&lt;&gt;""))+((I604="N")*(H604&lt;&gt;"")* (J604&lt;&gt;""))+((M604="N")*(L604&lt;&gt;"")* (N604&lt;&gt;""))+((Q604="N")*(P604&lt;&gt;"")* (R604&lt;&gt;""))),0)</f>
        <v/>
      </c>
      <c r="X604" s="50">
        <f>IFERROR(U604/4,0)</f>
        <v/>
      </c>
    </row>
    <row r="605" ht="18" customHeight="1">
      <c r="B605" s="46">
        <f>'📥 ข้อมูลนักเรียน'!B16</f>
        <v/>
      </c>
      <c r="C605" s="47">
        <f>'📥 ข้อมูลนักเรียน'!C16</f>
        <v/>
      </c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37">
        <f>IFERROR(SUMPRODUCT(((D605=D592)*(E605="Y")*(F605=F592)*(G605="Y")*(D605&lt;&gt;"")* (F605&lt;&gt;""))+((H605=H592)*(I605="Y")*(J605=J592)*(K605="Y")*(H605&lt;&gt;"")* (J605&lt;&gt;""))+((L605=L592)*(M605="Y")*(N605=N592)*(O605="Y")*(L605&lt;&gt;"")* (N605&lt;&gt;""))+((P605=P592)*(Q605="Y")*(R605=R592)*(S605="Y")*(P605&lt;&gt;"")* (R605&lt;&gt;""))),0)</f>
        <v/>
      </c>
      <c r="U605" s="49">
        <f>IFERROR(SUMPRODUCT(((D605&lt;&gt;D592)*(E605="Y")*(F605&lt;&gt;F592)*(G605="Y")*(D605&lt;&gt;"")* (F605&lt;&gt;""))+((H605&lt;&gt;H592)*(I605="Y")*(J605&lt;&gt;J592)*(K605="Y")*(H605&lt;&gt;"")* (J605&lt;&gt;""))+((L605&lt;&gt;L592)*(M605="Y")*(N605&lt;&gt;N592)*(O605="Y")*(L605&lt;&gt;"")* (N605&lt;&gt;""))+((P605&lt;&gt;P592)*(Q605="Y")*(R605&lt;&gt;R592)*(S605="Y")*(P605&lt;&gt;"")* (R605&lt;&gt;""))),0)</f>
        <v/>
      </c>
      <c r="V605" s="37">
        <f>IFERROR(SUMPRODUCT(((D605=D592)*(E605="Y")*(F605&lt;&gt;F592)*(G605="Y")*(D605&lt;&gt;"")* (F605&lt;&gt;""))+((H605=H592)*(I605="Y")*(J605&lt;&gt;J592)*(K605="Y")*(H605&lt;&gt;"")* (J605&lt;&gt;""))+((L605=L592)*(M605="Y")*(N605&lt;&gt;N592)*(O605="Y")*(L605&lt;&gt;"")* (N605&lt;&gt;""))+((P605=P592)*(Q605="Y")*(R605&lt;&gt;R592)*(S605="Y")*(P605&lt;&gt;"")* (R605&lt;&gt;""))),0)</f>
        <v/>
      </c>
      <c r="W605" s="37">
        <f>IFERROR(SUMPRODUCT(((E605="N")*(D605&lt;&gt;"")* (F605&lt;&gt;""))+((I605="N")*(H605&lt;&gt;"")* (J605&lt;&gt;""))+((M605="N")*(L605&lt;&gt;"")* (N605&lt;&gt;""))+((Q605="N")*(P605&lt;&gt;"")* (R605&lt;&gt;""))),0)</f>
        <v/>
      </c>
      <c r="X605" s="50">
        <f>IFERROR(U605/4,0)</f>
        <v/>
      </c>
    </row>
    <row r="606" ht="18" customHeight="1">
      <c r="B606" s="46">
        <f>'📥 ข้อมูลนักเรียน'!B17</f>
        <v/>
      </c>
      <c r="C606" s="51">
        <f>'📥 ข้อมูลนักเรียน'!C17</f>
        <v/>
      </c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37">
        <f>IFERROR(SUMPRODUCT(((D606=D592)*(E606="Y")*(F606=F592)*(G606="Y")*(D606&lt;&gt;"")* (F606&lt;&gt;""))+((H606=H592)*(I606="Y")*(J606=J592)*(K606="Y")*(H606&lt;&gt;"")* (J606&lt;&gt;""))+((L606=L592)*(M606="Y")*(N606=N592)*(O606="Y")*(L606&lt;&gt;"")* (N606&lt;&gt;""))+((P606=P592)*(Q606="Y")*(R606=R592)*(S606="Y")*(P606&lt;&gt;"")* (R606&lt;&gt;""))),0)</f>
        <v/>
      </c>
      <c r="U606" s="49">
        <f>IFERROR(SUMPRODUCT(((D606&lt;&gt;D592)*(E606="Y")*(F606&lt;&gt;F592)*(G606="Y")*(D606&lt;&gt;"")* (F606&lt;&gt;""))+((H606&lt;&gt;H592)*(I606="Y")*(J606&lt;&gt;J592)*(K606="Y")*(H606&lt;&gt;"")* (J606&lt;&gt;""))+((L606&lt;&gt;L592)*(M606="Y")*(N606&lt;&gt;N592)*(O606="Y")*(L606&lt;&gt;"")* (N606&lt;&gt;""))+((P606&lt;&gt;P592)*(Q606="Y")*(R606&lt;&gt;R592)*(S606="Y")*(P606&lt;&gt;"")* (R606&lt;&gt;""))),0)</f>
        <v/>
      </c>
      <c r="V606" s="37">
        <f>IFERROR(SUMPRODUCT(((D606=D592)*(E606="Y")*(F606&lt;&gt;F592)*(G606="Y")*(D606&lt;&gt;"")* (F606&lt;&gt;""))+((H606=H592)*(I606="Y")*(J606&lt;&gt;J592)*(K606="Y")*(H606&lt;&gt;"")* (J606&lt;&gt;""))+((L606=L592)*(M606="Y")*(N606&lt;&gt;N592)*(O606="Y")*(L606&lt;&gt;"")* (N606&lt;&gt;""))+((P606=P592)*(Q606="Y")*(R606&lt;&gt;R592)*(S606="Y")*(P606&lt;&gt;"")* (R606&lt;&gt;""))),0)</f>
        <v/>
      </c>
      <c r="W606" s="37">
        <f>IFERROR(SUMPRODUCT(((E606="N")*(D606&lt;&gt;"")* (F606&lt;&gt;""))+((I606="N")*(H606&lt;&gt;"")* (J606&lt;&gt;""))+((M606="N")*(L606&lt;&gt;"")* (N606&lt;&gt;""))+((Q606="N")*(P606&lt;&gt;"")* (R606&lt;&gt;""))),0)</f>
        <v/>
      </c>
      <c r="X606" s="50">
        <f>IFERROR(U606/4,0)</f>
        <v/>
      </c>
    </row>
    <row r="607" ht="18" customHeight="1">
      <c r="B607" s="46">
        <f>'📥 ข้อมูลนักเรียน'!B18</f>
        <v/>
      </c>
      <c r="C607" s="47">
        <f>'📥 ข้อมูลนักเรียน'!C18</f>
        <v/>
      </c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37">
        <f>IFERROR(SUMPRODUCT(((D607=D592)*(E607="Y")*(F607=F592)*(G607="Y")*(D607&lt;&gt;"")*(F607&lt;&gt;""))+((H607=H592)*(I607="Y")*(J607=J592)*(K607="Y")*(H607&lt;&gt;"")*(J607&lt;&gt;""))+((L607=L592)*(M607="Y")*(N607=N592)*(O607="Y")*(L607&lt;&gt;"")*(N607&lt;&gt;""))+((P607=P592)*(Q607="Y")*(R607=R592)*(S607="Y")*(P607&lt;&gt;"")*(R607&lt;&gt;""))),0)</f>
        <v/>
      </c>
      <c r="U607" s="49">
        <f>IFERROR(SUMPRODUCT(((D607&lt;&gt;D592)*(E607="Y")*(F607&lt;&gt;F592)*(G607="Y")*(D607&lt;&gt;"")*(F607&lt;&gt;""))+((H607&lt;&gt;H592)*(I607="Y")*(J607&lt;&gt;J592)*(K607="Y")*(H607&lt;&gt;"")*(J607&lt;&gt;""))+((L607&lt;&gt;L592)*(M607="Y")*(N607&lt;&gt;N592)*(O607="Y")*(L607&lt;&gt;"")*(N607&lt;&gt;""))+((P607&lt;&gt;P592)*(Q607="Y")*(R607&lt;&gt;R592)*(S607="Y")*(P607&lt;&gt;"")*(R607&lt;&gt;""))),0)</f>
        <v/>
      </c>
      <c r="V607" s="37">
        <f>IFERROR(SUMPRODUCT(((D607=D592)*(E607="Y")*(F607&lt;&gt;F592)*(G607="Y")*(D607&lt;&gt;"")*(F607&lt;&gt;""))+((H607=H592)*(I607="Y")*(J607&lt;&gt;J592)*(K607="Y")*(H607&lt;&gt;"")*(J607&lt;&gt;""))+((L607=L592)*(M607="Y")*(N607&lt;&gt;N592)*(O607="Y")*(L607&lt;&gt;"")*(N607&lt;&gt;""))+((P607=P592)*(Q607="Y")*(R607&lt;&gt;R592)*(S607="Y")*(P607&lt;&gt;"")*(R607&lt;&gt;""))),0)</f>
        <v/>
      </c>
      <c r="W607" s="37">
        <f>IFERROR(SUMPRODUCT(((E607="N")*(D607&lt;&gt;"")*(F607&lt;&gt;""))+((I607="N")*(H607&lt;&gt;"")*(J607&lt;&gt;""))+((M607="N")*(L607&lt;&gt;"")*(N607&lt;&gt;""))+((Q607="N")*(P607&lt;&gt;"")*(R607&lt;&gt;""))),0)</f>
        <v/>
      </c>
      <c r="X607" s="50">
        <f>IFERROR(U607/4,0)</f>
        <v/>
      </c>
    </row>
    <row r="608" ht="18" customHeight="1">
      <c r="B608" s="46">
        <f>'📥 ข้อมูลนักเรียน'!B19</f>
        <v/>
      </c>
      <c r="C608" s="51">
        <f>'📥 ข้อมูลนักเรียน'!C19</f>
        <v/>
      </c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37">
        <f>IFERROR(SUMPRODUCT(((D608=D592)*(E608="Y")*(F608=F592)*(G608="Y")*(D608&lt;&gt;"")*(F608&lt;&gt;""))+((H608=H592)*(I608="Y")*(J608=J592)*(K608="Y")*(H608&lt;&gt;"")*(J608&lt;&gt;""))+((L608=L592)*(M608="Y")*(N608=N592)*(O608="Y")*(L608&lt;&gt;"")*(N608&lt;&gt;""))+((P608=P592)*(Q608="Y")*(R608=R592)*(S608="Y")*(P608&lt;&gt;"")*(R608&lt;&gt;""))),0)</f>
        <v/>
      </c>
      <c r="U608" s="49">
        <f>IFERROR(SUMPRODUCT(((D608&lt;&gt;D592)*(E608="Y")*(F608&lt;&gt;F592)*(G608="Y")*(D608&lt;&gt;"")*(F608&lt;&gt;""))+((H608&lt;&gt;H592)*(I608="Y")*(J608&lt;&gt;J592)*(K608="Y")*(H608&lt;&gt;"")*(J608&lt;&gt;""))+((L608&lt;&gt;L592)*(M608="Y")*(N608&lt;&gt;N592)*(O608="Y")*(L608&lt;&gt;"")*(N608&lt;&gt;""))+((P608&lt;&gt;P592)*(Q608="Y")*(R608&lt;&gt;R592)*(S608="Y")*(P608&lt;&gt;"")*(R608&lt;&gt;""))),0)</f>
        <v/>
      </c>
      <c r="V608" s="37">
        <f>IFERROR(SUMPRODUCT(((D608=D592)*(E608="Y")*(F608&lt;&gt;F592)*(G608="Y")*(D608&lt;&gt;"")*(F608&lt;&gt;""))+((H608=H592)*(I608="Y")*(J608&lt;&gt;J592)*(K608="Y")*(H608&lt;&gt;"")*(J608&lt;&gt;""))+((L608=L592)*(M608="Y")*(N608&lt;&gt;N592)*(O608="Y")*(L608&lt;&gt;"")*(N608&lt;&gt;""))+((P608=P592)*(Q608="Y")*(R608&lt;&gt;R592)*(S608="Y")*(P608&lt;&gt;"")*(R608&lt;&gt;""))),0)</f>
        <v/>
      </c>
      <c r="W608" s="37">
        <f>IFERROR(SUMPRODUCT(((E608="N")*(D608&lt;&gt;"")*(F608&lt;&gt;""))+((I608="N")*(H608&lt;&gt;"")*(J608&lt;&gt;""))+((M608="N")*(L608&lt;&gt;"")*(N608&lt;&gt;""))+((Q608="N")*(P608&lt;&gt;"")*(R608&lt;&gt;""))),0)</f>
        <v/>
      </c>
      <c r="X608" s="50">
        <f>IFERROR(U608/4,0)</f>
        <v/>
      </c>
    </row>
    <row r="609" ht="18" customHeight="1">
      <c r="B609" s="46">
        <f>'📥 ข้อมูลนักเรียน'!B20</f>
        <v/>
      </c>
      <c r="C609" s="47">
        <f>'📥 ข้อมูลนักเรียน'!C20</f>
        <v/>
      </c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37">
        <f>IFERROR(SUMPRODUCT(((D609=D592)*(E609="Y")*(F609=F592)*(G609="Y")*(D609&lt;&gt;"")*(F609&lt;&gt;""))+((H609=H592)*(I609="Y")*(J609=J592)*(K609="Y")*(H609&lt;&gt;"")*(J609&lt;&gt;""))+((L609=L592)*(M609="Y")*(N609=N592)*(O609="Y")*(L609&lt;&gt;"")*(N609&lt;&gt;""))+((P609=P592)*(Q609="Y")*(R609=R592)*(S609="Y")*(P609&lt;&gt;"")*(R609&lt;&gt;""))),0)</f>
        <v/>
      </c>
      <c r="U609" s="49">
        <f>IFERROR(SUMPRODUCT(((D609&lt;&gt;D592)*(E609="Y")*(F609&lt;&gt;F592)*(G609="Y")*(D609&lt;&gt;"")*(F609&lt;&gt;""))+((H609&lt;&gt;H592)*(I609="Y")*(J609&lt;&gt;J592)*(K609="Y")*(H609&lt;&gt;"")*(J609&lt;&gt;""))+((L609&lt;&gt;L592)*(M609="Y")*(N609&lt;&gt;N592)*(O609="Y")*(L609&lt;&gt;"")*(N609&lt;&gt;""))+((P609&lt;&gt;P592)*(Q609="Y")*(R609&lt;&gt;R592)*(S609="Y")*(P609&lt;&gt;"")*(R609&lt;&gt;""))),0)</f>
        <v/>
      </c>
      <c r="V609" s="37">
        <f>IFERROR(SUMPRODUCT(((D609=D592)*(E609="Y")*(F609&lt;&gt;F592)*(G609="Y")*(D609&lt;&gt;"")*(F609&lt;&gt;""))+((H609=H592)*(I609="Y")*(J609&lt;&gt;J592)*(K609="Y")*(H609&lt;&gt;"")*(J609&lt;&gt;""))+((L609=L592)*(M609="Y")*(N609&lt;&gt;N592)*(O609="Y")*(L609&lt;&gt;"")*(N609&lt;&gt;""))+((P609=P592)*(Q609="Y")*(R609&lt;&gt;R592)*(S609="Y")*(P609&lt;&gt;"")*(R609&lt;&gt;""))),0)</f>
        <v/>
      </c>
      <c r="W609" s="37">
        <f>IFERROR(SUMPRODUCT(((E609="N")*(D609&lt;&gt;"")*(F609&lt;&gt;""))+((I609="N")*(H609&lt;&gt;"")*(J609&lt;&gt;""))+((M609="N")*(L609&lt;&gt;"")*(N609&lt;&gt;""))+((Q609="N")*(P609&lt;&gt;"")*(R609&lt;&gt;""))),0)</f>
        <v/>
      </c>
      <c r="X609" s="50">
        <f>IFERROR(U609/4,0)</f>
        <v/>
      </c>
    </row>
    <row r="610" ht="18" customHeight="1">
      <c r="B610" s="46">
        <f>'📥 ข้อมูลนักเรียน'!B21</f>
        <v/>
      </c>
      <c r="C610" s="51">
        <f>'📥 ข้อมูลนักเรียน'!C21</f>
        <v/>
      </c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37">
        <f>IFERROR(SUMPRODUCT(((D610=D592)*(E610="Y")*(F610=F592)*(G610="Y")*(D610&lt;&gt;"")*(F610&lt;&gt;""))+((H610=H592)*(I610="Y")*(J610=J592)*(K610="Y")*(H610&lt;&gt;"")*(J610&lt;&gt;""))+((L610=L592)*(M610="Y")*(N610=N592)*(O610="Y")*(L610&lt;&gt;"")*(N610&lt;&gt;""))+((P610=P592)*(Q610="Y")*(R610=R592)*(S610="Y")*(P610&lt;&gt;"")*(R610&lt;&gt;""))),0)</f>
        <v/>
      </c>
      <c r="U610" s="49">
        <f>IFERROR(SUMPRODUCT(((D610&lt;&gt;D592)*(E610="Y")*(F610&lt;&gt;F592)*(G610="Y")*(D610&lt;&gt;"")*(F610&lt;&gt;""))+((H610&lt;&gt;H592)*(I610="Y")*(J610&lt;&gt;J592)*(K610="Y")*(H610&lt;&gt;"")*(J610&lt;&gt;""))+((L610&lt;&gt;L592)*(M610="Y")*(N610&lt;&gt;N592)*(O610="Y")*(L610&lt;&gt;"")*(N610&lt;&gt;""))+((P610&lt;&gt;P592)*(Q610="Y")*(R610&lt;&gt;R592)*(S610="Y")*(P610&lt;&gt;"")*(R610&lt;&gt;""))),0)</f>
        <v/>
      </c>
      <c r="V610" s="37">
        <f>IFERROR(SUMPRODUCT(((D610=D592)*(E610="Y")*(F610&lt;&gt;F592)*(G610="Y")*(D610&lt;&gt;"")*(F610&lt;&gt;""))+((H610=H592)*(I610="Y")*(J610&lt;&gt;J592)*(K610="Y")*(H610&lt;&gt;"")*(J610&lt;&gt;""))+((L610=L592)*(M610="Y")*(N610&lt;&gt;N592)*(O610="Y")*(L610&lt;&gt;"")*(N610&lt;&gt;""))+((P610=P592)*(Q610="Y")*(R610&lt;&gt;R592)*(S610="Y")*(P610&lt;&gt;"")*(R610&lt;&gt;""))),0)</f>
        <v/>
      </c>
      <c r="W610" s="37">
        <f>IFERROR(SUMPRODUCT(((E610="N")*(D610&lt;&gt;"")*(F610&lt;&gt;""))+((I610="N")*(H610&lt;&gt;"")*(J610&lt;&gt;""))+((M610="N")*(L610&lt;&gt;"")*(N610&lt;&gt;""))+((Q610="N")*(P610&lt;&gt;"")*(R610&lt;&gt;""))),0)</f>
        <v/>
      </c>
      <c r="X610" s="50">
        <f>IFERROR(U610/4,0)</f>
        <v/>
      </c>
    </row>
    <row r="611" ht="18" customHeight="1">
      <c r="B611" s="46">
        <f>'📥 ข้อมูลนักเรียน'!B22</f>
        <v/>
      </c>
      <c r="C611" s="47">
        <f>'📥 ข้อมูลนักเรียน'!C22</f>
        <v/>
      </c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37">
        <f>IFERROR(SUMPRODUCT(((D611=D592)*(E611="Y")*(F611=F592)*(G611="Y")*(D611&lt;&gt;"")*(F611&lt;&gt;""))+((H611=H592)*(I611="Y")*(J611=J592)*(K611="Y")*(H611&lt;&gt;"")*(J611&lt;&gt;""))+((L611=L592)*(M611="Y")*(N611=N592)*(O611="Y")*(L611&lt;&gt;"")*(N611&lt;&gt;""))+((P611=P592)*(Q611="Y")*(R611=R592)*(S611="Y")*(P611&lt;&gt;"")*(R611&lt;&gt;""))),0)</f>
        <v/>
      </c>
      <c r="U611" s="49">
        <f>IFERROR(SUMPRODUCT(((D611&lt;&gt;D592)*(E611="Y")*(F611&lt;&gt;F592)*(G611="Y")*(D611&lt;&gt;"")*(F611&lt;&gt;""))+((H611&lt;&gt;H592)*(I611="Y")*(J611&lt;&gt;J592)*(K611="Y")*(H611&lt;&gt;"")*(J611&lt;&gt;""))+((L611&lt;&gt;L592)*(M611="Y")*(N611&lt;&gt;N592)*(O611="Y")*(L611&lt;&gt;"")*(N611&lt;&gt;""))+((P611&lt;&gt;P592)*(Q611="Y")*(R611&lt;&gt;R592)*(S611="Y")*(P611&lt;&gt;"")*(R611&lt;&gt;""))),0)</f>
        <v/>
      </c>
      <c r="V611" s="37">
        <f>IFERROR(SUMPRODUCT(((D611=D592)*(E611="Y")*(F611&lt;&gt;F592)*(G611="Y")*(D611&lt;&gt;"")*(F611&lt;&gt;""))+((H611=H592)*(I611="Y")*(J611&lt;&gt;J592)*(K611="Y")*(H611&lt;&gt;"")*(J611&lt;&gt;""))+((L611=L592)*(M611="Y")*(N611&lt;&gt;N592)*(O611="Y")*(L611&lt;&gt;"")*(N611&lt;&gt;""))+((P611=P592)*(Q611="Y")*(R611&lt;&gt;R592)*(S611="Y")*(P611&lt;&gt;"")*(R611&lt;&gt;""))),0)</f>
        <v/>
      </c>
      <c r="W611" s="37">
        <f>IFERROR(SUMPRODUCT(((E611="N")*(D611&lt;&gt;"")*(F611&lt;&gt;""))+((I611="N")*(H611&lt;&gt;"")*(J611&lt;&gt;""))+((M611="N")*(L611&lt;&gt;"")*(N611&lt;&gt;""))+((Q611="N")*(P611&lt;&gt;"")*(R611&lt;&gt;""))),0)</f>
        <v/>
      </c>
      <c r="X611" s="50">
        <f>IFERROR(U611/4,0)</f>
        <v/>
      </c>
    </row>
    <row r="612" ht="18" customHeight="1">
      <c r="B612" s="46">
        <f>'📥 ข้อมูลนักเรียน'!B23</f>
        <v/>
      </c>
      <c r="C612" s="51">
        <f>'📥 ข้อมูลนักเรียน'!C23</f>
        <v/>
      </c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37">
        <f>IFERROR(SUMPRODUCT(((D612=D592)*(E612="Y")*(F612=F592)*(G612="Y")*(D612&lt;&gt;"")*(F612&lt;&gt;""))+((H612=H592)*(I612="Y")*(J612=J592)*(K612="Y")*(H612&lt;&gt;"")*(J612&lt;&gt;""))+((L612=L592)*(M612="Y")*(N612=N592)*(O612="Y")*(L612&lt;&gt;"")*(N612&lt;&gt;""))+((P612=P592)*(Q612="Y")*(R612=R592)*(S612="Y")*(P612&lt;&gt;"")*(R612&lt;&gt;""))),0)</f>
        <v/>
      </c>
      <c r="U612" s="49">
        <f>IFERROR(SUMPRODUCT(((D612&lt;&gt;D592)*(E612="Y")*(F612&lt;&gt;F592)*(G612="Y")*(D612&lt;&gt;"")*(F612&lt;&gt;""))+((H612&lt;&gt;H592)*(I612="Y")*(J612&lt;&gt;J592)*(K612="Y")*(H612&lt;&gt;"")*(J612&lt;&gt;""))+((L612&lt;&gt;L592)*(M612="Y")*(N612&lt;&gt;N592)*(O612="Y")*(L612&lt;&gt;"")*(N612&lt;&gt;""))+((P612&lt;&gt;P592)*(Q612="Y")*(R612&lt;&gt;R592)*(S612="Y")*(P612&lt;&gt;"")*(R612&lt;&gt;""))),0)</f>
        <v/>
      </c>
      <c r="V612" s="37">
        <f>IFERROR(SUMPRODUCT(((D612=D592)*(E612="Y")*(F612&lt;&gt;F592)*(G612="Y")*(D612&lt;&gt;"")*(F612&lt;&gt;""))+((H612=H592)*(I612="Y")*(J612&lt;&gt;J592)*(K612="Y")*(H612&lt;&gt;"")*(J612&lt;&gt;""))+((L612=L592)*(M612="Y")*(N612&lt;&gt;N592)*(O612="Y")*(L612&lt;&gt;"")*(N612&lt;&gt;""))+((P612=P592)*(Q612="Y")*(R612&lt;&gt;R592)*(S612="Y")*(P612&lt;&gt;"")*(R612&lt;&gt;""))),0)</f>
        <v/>
      </c>
      <c r="W612" s="37">
        <f>IFERROR(SUMPRODUCT(((E612="N")*(D612&lt;&gt;"")*(F612&lt;&gt;""))+((I612="N")*(H612&lt;&gt;"")*(J612&lt;&gt;""))+((M612="N")*(L612&lt;&gt;"")*(N612&lt;&gt;""))+((Q612="N")*(P612&lt;&gt;"")*(R612&lt;&gt;""))),0)</f>
        <v/>
      </c>
      <c r="X612" s="50">
        <f>IFERROR(U612/4,0)</f>
        <v/>
      </c>
    </row>
    <row r="613" ht="18" customHeight="1">
      <c r="B613" s="46">
        <f>'📥 ข้อมูลนักเรียน'!B24</f>
        <v/>
      </c>
      <c r="C613" s="47">
        <f>'📥 ข้อมูลนักเรียน'!C24</f>
        <v/>
      </c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37">
        <f>IFERROR(SUMPRODUCT(((D613=D592)*(E613="Y")*(F613=F592)*(G613="Y")*(D613&lt;&gt;"")*(F613&lt;&gt;""))+((H613=H592)*(I613="Y")*(J613=J592)*(K613="Y")*(H613&lt;&gt;"")*(J613&lt;&gt;""))+((L613=L592)*(M613="Y")*(N613=N592)*(O613="Y")*(L613&lt;&gt;"")*(N613&lt;&gt;""))+((P613=P592)*(Q613="Y")*(R613=R592)*(S613="Y")*(P613&lt;&gt;"")*(R613&lt;&gt;""))),0)</f>
        <v/>
      </c>
      <c r="U613" s="49">
        <f>IFERROR(SUMPRODUCT(((D613&lt;&gt;D592)*(E613="Y")*(F613&lt;&gt;F592)*(G613="Y")*(D613&lt;&gt;"")*(F613&lt;&gt;""))+((H613&lt;&gt;H592)*(I613="Y")*(J613&lt;&gt;J592)*(K613="Y")*(H613&lt;&gt;"")*(J613&lt;&gt;""))+((L613&lt;&gt;L592)*(M613="Y")*(N613&lt;&gt;N592)*(O613="Y")*(L613&lt;&gt;"")*(N613&lt;&gt;""))+((P613&lt;&gt;P592)*(Q613="Y")*(R613&lt;&gt;R592)*(S613="Y")*(P613&lt;&gt;"")*(R613&lt;&gt;""))),0)</f>
        <v/>
      </c>
      <c r="V613" s="37">
        <f>IFERROR(SUMPRODUCT(((D613=D592)*(E613="Y")*(F613&lt;&gt;F592)*(G613="Y")*(D613&lt;&gt;"")*(F613&lt;&gt;""))+((H613=H592)*(I613="Y")*(J613&lt;&gt;J592)*(K613="Y")*(H613&lt;&gt;"")*(J613&lt;&gt;""))+((L613=L592)*(M613="Y")*(N613&lt;&gt;N592)*(O613="Y")*(L613&lt;&gt;"")*(N613&lt;&gt;""))+((P613=P592)*(Q613="Y")*(R613&lt;&gt;R592)*(S613="Y")*(P613&lt;&gt;"")*(R613&lt;&gt;""))),0)</f>
        <v/>
      </c>
      <c r="W613" s="37">
        <f>IFERROR(SUMPRODUCT(((E613="N")*(D613&lt;&gt;"")*(F613&lt;&gt;""))+((I613="N")*(H613&lt;&gt;"")*(J613&lt;&gt;""))+((M613="N")*(L613&lt;&gt;"")*(N613&lt;&gt;""))+((Q613="N")*(P613&lt;&gt;"")*(R613&lt;&gt;""))),0)</f>
        <v/>
      </c>
      <c r="X613" s="50">
        <f>IFERROR(U613/4,0)</f>
        <v/>
      </c>
    </row>
    <row r="614" ht="18" customHeight="1">
      <c r="B614" s="46">
        <f>'📥 ข้อมูลนักเรียน'!B25</f>
        <v/>
      </c>
      <c r="C614" s="51">
        <f>'📥 ข้อมูลนักเรียน'!C25</f>
        <v/>
      </c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37">
        <f>IFERROR(SUMPRODUCT(((D614=D592)*(E614="Y")*(F614=F592)*(G614="Y")*(D614&lt;&gt;"")*(F614&lt;&gt;""))+((H614=H592)*(I614="Y")*(J614=J592)*(K614="Y")*(H614&lt;&gt;"")*(J614&lt;&gt;""))+((L614=L592)*(M614="Y")*(N614=N592)*(O614="Y")*(L614&lt;&gt;"")*(N614&lt;&gt;""))+((P614=P592)*(Q614="Y")*(R614=R592)*(S614="Y")*(P614&lt;&gt;"")*(R614&lt;&gt;""))),0)</f>
        <v/>
      </c>
      <c r="U614" s="49">
        <f>IFERROR(SUMPRODUCT(((D614&lt;&gt;D592)*(E614="Y")*(F614&lt;&gt;F592)*(G614="Y")*(D614&lt;&gt;"")*(F614&lt;&gt;""))+((H614&lt;&gt;H592)*(I614="Y")*(J614&lt;&gt;J592)*(K614="Y")*(H614&lt;&gt;"")*(J614&lt;&gt;""))+((L614&lt;&gt;L592)*(M614="Y")*(N614&lt;&gt;N592)*(O614="Y")*(L614&lt;&gt;"")*(N614&lt;&gt;""))+((P614&lt;&gt;P592)*(Q614="Y")*(R614&lt;&gt;R592)*(S614="Y")*(P614&lt;&gt;"")*(R614&lt;&gt;""))),0)</f>
        <v/>
      </c>
      <c r="V614" s="37">
        <f>IFERROR(SUMPRODUCT(((D614=D592)*(E614="Y")*(F614&lt;&gt;F592)*(G614="Y")*(D614&lt;&gt;"")*(F614&lt;&gt;""))+((H614=H592)*(I614="Y")*(J614&lt;&gt;J592)*(K614="Y")*(H614&lt;&gt;"")*(J614&lt;&gt;""))+((L614=L592)*(M614="Y")*(N614&lt;&gt;N592)*(O614="Y")*(L614&lt;&gt;"")*(N614&lt;&gt;""))+((P614=P592)*(Q614="Y")*(R614&lt;&gt;R592)*(S614="Y")*(P614&lt;&gt;"")*(R614&lt;&gt;""))),0)</f>
        <v/>
      </c>
      <c r="W614" s="37">
        <f>IFERROR(SUMPRODUCT(((E614="N")*(D614&lt;&gt;"")*(F614&lt;&gt;""))+((I614="N")*(H614&lt;&gt;"")*(J614&lt;&gt;""))+((M614="N")*(L614&lt;&gt;"")*(N614&lt;&gt;""))+((Q614="N")*(P614&lt;&gt;"")*(R614&lt;&gt;""))),0)</f>
        <v/>
      </c>
      <c r="X614" s="50">
        <f>IFERROR(U614/4,0)</f>
        <v/>
      </c>
    </row>
    <row r="615" ht="18" customHeight="1">
      <c r="B615" s="46">
        <f>'📥 ข้อมูลนักเรียน'!B26</f>
        <v/>
      </c>
      <c r="C615" s="47">
        <f>'📥 ข้อมูลนักเรียน'!C26</f>
        <v/>
      </c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37">
        <f>IFERROR(SUMPRODUCT(((D615=D592)*(E615="Y")*(F615=F592)*(G615="Y")*(D615&lt;&gt;"")*(F615&lt;&gt;""))+((H615=H592)*(I615="Y")*(J615=J592)*(K615="Y")*(H615&lt;&gt;"")*(J615&lt;&gt;""))+((L615=L592)*(M615="Y")*(N615=N592)*(O615="Y")*(L615&lt;&gt;"")*(N615&lt;&gt;""))+((P615=P592)*(Q615="Y")*(R615=R592)*(S615="Y")*(P615&lt;&gt;"")*(R615&lt;&gt;""))),0)</f>
        <v/>
      </c>
      <c r="U615" s="49">
        <f>IFERROR(SUMPRODUCT(((D615&lt;&gt;D592)*(E615="Y")*(F615&lt;&gt;F592)*(G615="Y")*(D615&lt;&gt;"")*(F615&lt;&gt;""))+((H615&lt;&gt;H592)*(I615="Y")*(J615&lt;&gt;J592)*(K615="Y")*(H615&lt;&gt;"")*(J615&lt;&gt;""))+((L615&lt;&gt;L592)*(M615="Y")*(N615&lt;&gt;N592)*(O615="Y")*(L615&lt;&gt;"")*(N615&lt;&gt;""))+((P615&lt;&gt;P592)*(Q615="Y")*(R615&lt;&gt;R592)*(S615="Y")*(P615&lt;&gt;"")*(R615&lt;&gt;""))),0)</f>
        <v/>
      </c>
      <c r="V615" s="37">
        <f>IFERROR(SUMPRODUCT(((D615=D592)*(E615="Y")*(F615&lt;&gt;F592)*(G615="Y")*(D615&lt;&gt;"")*(F615&lt;&gt;""))+((H615=H592)*(I615="Y")*(J615&lt;&gt;J592)*(K615="Y")*(H615&lt;&gt;"")*(J615&lt;&gt;""))+((L615=L592)*(M615="Y")*(N615&lt;&gt;N592)*(O615="Y")*(L615&lt;&gt;"")*(N615&lt;&gt;""))+((P615=P592)*(Q615="Y")*(R615&lt;&gt;R592)*(S615="Y")*(P615&lt;&gt;"")*(R615&lt;&gt;""))),0)</f>
        <v/>
      </c>
      <c r="W615" s="37">
        <f>IFERROR(SUMPRODUCT(((E615="N")*(D615&lt;&gt;"")*(F615&lt;&gt;""))+((I615="N")*(H615&lt;&gt;"")*(J615&lt;&gt;""))+((M615="N")*(L615&lt;&gt;"")*(N615&lt;&gt;""))+((Q615="N")*(P615&lt;&gt;"")*(R615&lt;&gt;""))),0)</f>
        <v/>
      </c>
      <c r="X615" s="50">
        <f>IFERROR(U615/4,0)</f>
        <v/>
      </c>
    </row>
    <row r="616" ht="18" customHeight="1">
      <c r="B616" s="46">
        <f>'📥 ข้อมูลนักเรียน'!B27</f>
        <v/>
      </c>
      <c r="C616" s="51">
        <f>'📥 ข้อมูลนักเรียน'!C27</f>
        <v/>
      </c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37">
        <f>IFERROR(SUMPRODUCT(((D616=D592)*(E616="Y")*(F616=F592)*(G616="Y")*(D616&lt;&gt;"")*(F616&lt;&gt;""))+((H616=H592)*(I616="Y")*(J616=J592)*(K616="Y")*(H616&lt;&gt;"")*(J616&lt;&gt;""))+((L616=L592)*(M616="Y")*(N616=N592)*(O616="Y")*(L616&lt;&gt;"")*(N616&lt;&gt;""))+((P616=P592)*(Q616="Y")*(R616=R592)*(S616="Y")*(P616&lt;&gt;"")*(R616&lt;&gt;""))),0)</f>
        <v/>
      </c>
      <c r="U616" s="49">
        <f>IFERROR(SUMPRODUCT(((D616&lt;&gt;D592)*(E616="Y")*(F616&lt;&gt;F592)*(G616="Y")*(D616&lt;&gt;"")*(F616&lt;&gt;""))+((H616&lt;&gt;H592)*(I616="Y")*(J616&lt;&gt;J592)*(K616="Y")*(H616&lt;&gt;"")*(J616&lt;&gt;""))+((L616&lt;&gt;L592)*(M616="Y")*(N616&lt;&gt;N592)*(O616="Y")*(L616&lt;&gt;"")*(N616&lt;&gt;""))+((P616&lt;&gt;P592)*(Q616="Y")*(R616&lt;&gt;R592)*(S616="Y")*(P616&lt;&gt;"")*(R616&lt;&gt;""))),0)</f>
        <v/>
      </c>
      <c r="V616" s="37">
        <f>IFERROR(SUMPRODUCT(((D616=D592)*(E616="Y")*(F616&lt;&gt;F592)*(G616="Y")*(D616&lt;&gt;"")*(F616&lt;&gt;""))+((H616=H592)*(I616="Y")*(J616&lt;&gt;J592)*(K616="Y")*(H616&lt;&gt;"")*(J616&lt;&gt;""))+((L616=L592)*(M616="Y")*(N616&lt;&gt;N592)*(O616="Y")*(L616&lt;&gt;"")*(N616&lt;&gt;""))+((P616=P592)*(Q616="Y")*(R616&lt;&gt;R592)*(S616="Y")*(P616&lt;&gt;"")*(R616&lt;&gt;""))),0)</f>
        <v/>
      </c>
      <c r="W616" s="37">
        <f>IFERROR(SUMPRODUCT(((E616="N")*(D616&lt;&gt;"")*(F616&lt;&gt;""))+((I616="N")*(H616&lt;&gt;"")*(J616&lt;&gt;""))+((M616="N")*(L616&lt;&gt;"")*(N616&lt;&gt;""))+((Q616="N")*(P616&lt;&gt;"")*(R616&lt;&gt;""))),0)</f>
        <v/>
      </c>
      <c r="X616" s="50">
        <f>IFERROR(U616/4,0)</f>
        <v/>
      </c>
    </row>
    <row r="617" ht="18" customHeight="1">
      <c r="B617" s="46">
        <f>'📥 ข้อมูลนักเรียน'!B28</f>
        <v/>
      </c>
      <c r="C617" s="47">
        <f>'📥 ข้อมูลนักเรียน'!C28</f>
        <v/>
      </c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37">
        <f>IFERROR(SUMPRODUCT(((D617=D592)*(E617="Y")*(F617=F592)*(G617="Y")*(D617&lt;&gt;"")*(F617&lt;&gt;""))+((H617=H592)*(I617="Y")*(J617=J592)*(K617="Y")*(H617&lt;&gt;"")*(J617&lt;&gt;""))+((L617=L592)*(M617="Y")*(N617=N592)*(O617="Y")*(L617&lt;&gt;"")*(N617&lt;&gt;""))+((P617=P592)*(Q617="Y")*(R617=R592)*(S617="Y")*(P617&lt;&gt;"")*(R617&lt;&gt;""))),0)</f>
        <v/>
      </c>
      <c r="U617" s="49">
        <f>IFERROR(SUMPRODUCT(((D617&lt;&gt;D592)*(E617="Y")*(F617&lt;&gt;F592)*(G617="Y")*(D617&lt;&gt;"")*(F617&lt;&gt;""))+((H617&lt;&gt;H592)*(I617="Y")*(J617&lt;&gt;J592)*(K617="Y")*(H617&lt;&gt;"")*(J617&lt;&gt;""))+((L617&lt;&gt;L592)*(M617="Y")*(N617&lt;&gt;N592)*(O617="Y")*(L617&lt;&gt;"")*(N617&lt;&gt;""))+((P617&lt;&gt;P592)*(Q617="Y")*(R617&lt;&gt;R592)*(S617="Y")*(P617&lt;&gt;"")*(R617&lt;&gt;""))),0)</f>
        <v/>
      </c>
      <c r="V617" s="37">
        <f>IFERROR(SUMPRODUCT(((D617=D592)*(E617="Y")*(F617&lt;&gt;F592)*(G617="Y")*(D617&lt;&gt;"")*(F617&lt;&gt;""))+((H617=H592)*(I617="Y")*(J617&lt;&gt;J592)*(K617="Y")*(H617&lt;&gt;"")*(J617&lt;&gt;""))+((L617=L592)*(M617="Y")*(N617&lt;&gt;N592)*(O617="Y")*(L617&lt;&gt;"")*(N617&lt;&gt;""))+((P617=P592)*(Q617="Y")*(R617&lt;&gt;R592)*(S617="Y")*(P617&lt;&gt;"")*(R617&lt;&gt;""))),0)</f>
        <v/>
      </c>
      <c r="W617" s="37">
        <f>IFERROR(SUMPRODUCT(((E617="N")*(D617&lt;&gt;"")*(F617&lt;&gt;""))+((I617="N")*(H617&lt;&gt;"")*(J617&lt;&gt;""))+((M617="N")*(L617&lt;&gt;"")*(N617&lt;&gt;""))+((Q617="N")*(P617&lt;&gt;"")*(R617&lt;&gt;""))),0)</f>
        <v/>
      </c>
      <c r="X617" s="50">
        <f>IFERROR(U617/4,0)</f>
        <v/>
      </c>
    </row>
    <row r="618" ht="18" customHeight="1">
      <c r="B618" s="46">
        <f>'📥 ข้อมูลนักเรียน'!B29</f>
        <v/>
      </c>
      <c r="C618" s="51">
        <f>'📥 ข้อมูลนักเรียน'!C29</f>
        <v/>
      </c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37">
        <f>IFERROR(SUMPRODUCT(((D618=D592)*(E618="Y")*(F618=F592)*(G618="Y")*(D618&lt;&gt;"")*(F618&lt;&gt;""))+((H618=H592)*(I618="Y")*(J618=J592)*(K618="Y")*(H618&lt;&gt;"")*(J618&lt;&gt;""))+((L618=L592)*(M618="Y")*(N618=N592)*(O618="Y")*(L618&lt;&gt;"")*(N618&lt;&gt;""))+((P618=P592)*(Q618="Y")*(R618=R592)*(S618="Y")*(P618&lt;&gt;"")*(R618&lt;&gt;""))),0)</f>
        <v/>
      </c>
      <c r="U618" s="49">
        <f>IFERROR(SUMPRODUCT(((D618&lt;&gt;D592)*(E618="Y")*(F618&lt;&gt;F592)*(G618="Y")*(D618&lt;&gt;"")*(F618&lt;&gt;""))+((H618&lt;&gt;H592)*(I618="Y")*(J618&lt;&gt;J592)*(K618="Y")*(H618&lt;&gt;"")*(J618&lt;&gt;""))+((L618&lt;&gt;L592)*(M618="Y")*(N618&lt;&gt;N592)*(O618="Y")*(L618&lt;&gt;"")*(N618&lt;&gt;""))+((P618&lt;&gt;P592)*(Q618="Y")*(R618&lt;&gt;R592)*(S618="Y")*(P618&lt;&gt;"")*(R618&lt;&gt;""))),0)</f>
        <v/>
      </c>
      <c r="V618" s="37">
        <f>IFERROR(SUMPRODUCT(((D618=D592)*(E618="Y")*(F618&lt;&gt;F592)*(G618="Y")*(D618&lt;&gt;"")*(F618&lt;&gt;""))+((H618=H592)*(I618="Y")*(J618&lt;&gt;J592)*(K618="Y")*(H618&lt;&gt;"")*(J618&lt;&gt;""))+((L618=L592)*(M618="Y")*(N618&lt;&gt;N592)*(O618="Y")*(L618&lt;&gt;"")*(N618&lt;&gt;""))+((P618=P592)*(Q618="Y")*(R618&lt;&gt;R592)*(S618="Y")*(P618&lt;&gt;"")*(R618&lt;&gt;""))),0)</f>
        <v/>
      </c>
      <c r="W618" s="37">
        <f>IFERROR(SUMPRODUCT(((E618="N")*(D618&lt;&gt;"")*(F618&lt;&gt;""))+((I618="N")*(H618&lt;&gt;"")*(J618&lt;&gt;""))+((M618="N")*(L618&lt;&gt;"")*(N618&lt;&gt;""))+((Q618="N")*(P618&lt;&gt;"")*(R618&lt;&gt;""))),0)</f>
        <v/>
      </c>
      <c r="X618" s="50">
        <f>IFERROR(U618/4,0)</f>
        <v/>
      </c>
    </row>
    <row r="619" ht="18" customHeight="1">
      <c r="B619" s="46">
        <f>'📥 ข้อมูลนักเรียน'!B30</f>
        <v/>
      </c>
      <c r="C619" s="47">
        <f>'📥 ข้อมูลนักเรียน'!C30</f>
        <v/>
      </c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37">
        <f>IFERROR(SUMPRODUCT(((D619=D592)*(E619="Y")*(F619=F592)*(G619="Y")*(D619&lt;&gt;"")*(F619&lt;&gt;""))+((H619=H592)*(I619="Y")*(J619=J592)*(K619="Y")*(H619&lt;&gt;"")*(J619&lt;&gt;""))+((L619=L592)*(M619="Y")*(N619=N592)*(O619="Y")*(L619&lt;&gt;"")*(N619&lt;&gt;""))+((P619=P592)*(Q619="Y")*(R619=R592)*(S619="Y")*(P619&lt;&gt;"")*(R619&lt;&gt;""))),0)</f>
        <v/>
      </c>
      <c r="U619" s="49">
        <f>IFERROR(SUMPRODUCT(((D619&lt;&gt;D592)*(E619="Y")*(F619&lt;&gt;F592)*(G619="Y")*(D619&lt;&gt;"")*(F619&lt;&gt;""))+((H619&lt;&gt;H592)*(I619="Y")*(J619&lt;&gt;J592)*(K619="Y")*(H619&lt;&gt;"")*(J619&lt;&gt;""))+((L619&lt;&gt;L592)*(M619="Y")*(N619&lt;&gt;N592)*(O619="Y")*(L619&lt;&gt;"")*(N619&lt;&gt;""))+((P619&lt;&gt;P592)*(Q619="Y")*(R619&lt;&gt;R592)*(S619="Y")*(P619&lt;&gt;"")*(R619&lt;&gt;""))),0)</f>
        <v/>
      </c>
      <c r="V619" s="37">
        <f>IFERROR(SUMPRODUCT(((D619=D592)*(E619="Y")*(F619&lt;&gt;F592)*(G619="Y")*(D619&lt;&gt;"")*(F619&lt;&gt;""))+((H619=H592)*(I619="Y")*(J619&lt;&gt;J592)*(K619="Y")*(H619&lt;&gt;"")*(J619&lt;&gt;""))+((L619=L592)*(M619="Y")*(N619&lt;&gt;N592)*(O619="Y")*(L619&lt;&gt;"")*(N619&lt;&gt;""))+((P619=P592)*(Q619="Y")*(R619&lt;&gt;R592)*(S619="Y")*(P619&lt;&gt;"")*(R619&lt;&gt;""))),0)</f>
        <v/>
      </c>
      <c r="W619" s="37">
        <f>IFERROR(SUMPRODUCT(((E619="N")*(D619&lt;&gt;"")*(F619&lt;&gt;""))+((I619="N")*(H619&lt;&gt;"")*(J619&lt;&gt;""))+((M619="N")*(L619&lt;&gt;"")*(N619&lt;&gt;""))+((Q619="N")*(P619&lt;&gt;"")*(R619&lt;&gt;""))),0)</f>
        <v/>
      </c>
      <c r="X619" s="50">
        <f>IFERROR(U619/4,0)</f>
        <v/>
      </c>
    </row>
    <row r="620" ht="18" customHeight="1">
      <c r="B620" s="46">
        <f>'📥 ข้อมูลนักเรียน'!B31</f>
        <v/>
      </c>
      <c r="C620" s="51">
        <f>'📥 ข้อมูลนักเรียน'!C31</f>
        <v/>
      </c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37">
        <f>IFERROR(SUMPRODUCT(((D620=D592)*(E620="Y")*(F620=F592)*(G620="Y")*(D620&lt;&gt;"")*(F620&lt;&gt;""))+((H620=H592)*(I620="Y")*(J620=J592)*(K620="Y")*(H620&lt;&gt;"")*(J620&lt;&gt;""))+((L620=L592)*(M620="Y")*(N620=N592)*(O620="Y")*(L620&lt;&gt;"")*(N620&lt;&gt;""))+((P620=P592)*(Q620="Y")*(R620=R592)*(S620="Y")*(P620&lt;&gt;"")*(R620&lt;&gt;""))),0)</f>
        <v/>
      </c>
      <c r="U620" s="49">
        <f>IFERROR(SUMPRODUCT(((D620&lt;&gt;D592)*(E620="Y")*(F620&lt;&gt;F592)*(G620="Y")*(D620&lt;&gt;"")*(F620&lt;&gt;""))+((H620&lt;&gt;H592)*(I620="Y")*(J620&lt;&gt;J592)*(K620="Y")*(H620&lt;&gt;"")*(J620&lt;&gt;""))+((L620&lt;&gt;L592)*(M620="Y")*(N620&lt;&gt;N592)*(O620="Y")*(L620&lt;&gt;"")*(N620&lt;&gt;""))+((P620&lt;&gt;P592)*(Q620="Y")*(R620&lt;&gt;R592)*(S620="Y")*(P620&lt;&gt;"")*(R620&lt;&gt;""))),0)</f>
        <v/>
      </c>
      <c r="V620" s="37">
        <f>IFERROR(SUMPRODUCT(((D620=D592)*(E620="Y")*(F620&lt;&gt;F592)*(G620="Y")*(D620&lt;&gt;"")*(F620&lt;&gt;""))+((H620=H592)*(I620="Y")*(J620&lt;&gt;J592)*(K620="Y")*(H620&lt;&gt;"")*(J620&lt;&gt;""))+((L620=L592)*(M620="Y")*(N620&lt;&gt;N592)*(O620="Y")*(L620&lt;&gt;"")*(N620&lt;&gt;""))+((P620=P592)*(Q620="Y")*(R620&lt;&gt;R592)*(S620="Y")*(P620&lt;&gt;"")*(R620&lt;&gt;""))),0)</f>
        <v/>
      </c>
      <c r="W620" s="37">
        <f>IFERROR(SUMPRODUCT(((E620="N")*(D620&lt;&gt;"")*(F620&lt;&gt;""))+((I620="N")*(H620&lt;&gt;"")*(J620&lt;&gt;""))+((M620="N")*(L620&lt;&gt;"")*(N620&lt;&gt;""))+((Q620="N")*(P620&lt;&gt;"")*(R620&lt;&gt;""))),0)</f>
        <v/>
      </c>
      <c r="X620" s="50">
        <f>IFERROR(U620/4,0)</f>
        <v/>
      </c>
    </row>
    <row r="621" ht="18" customHeight="1">
      <c r="B621" s="46">
        <f>'📥 ข้อมูลนักเรียน'!B32</f>
        <v/>
      </c>
      <c r="C621" s="47">
        <f>'📥 ข้อมูลนักเรียน'!C32</f>
        <v/>
      </c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37">
        <f>IFERROR(SUMPRODUCT(((D621=D592)*(E621="Y")*(F621=F592)*(G621="Y")*(D621&lt;&gt;"")*(F621&lt;&gt;""))+((H621=H592)*(I621="Y")*(J621=J592)*(K621="Y")*(H621&lt;&gt;"")*(J621&lt;&gt;""))+((L621=L592)*(M621="Y")*(N621=N592)*(O621="Y")*(L621&lt;&gt;"")*(N621&lt;&gt;""))+((P621=P592)*(Q621="Y")*(R621=R592)*(S621="Y")*(P621&lt;&gt;"")*(R621&lt;&gt;""))),0)</f>
        <v/>
      </c>
      <c r="U621" s="49">
        <f>IFERROR(SUMPRODUCT(((D621&lt;&gt;D592)*(E621="Y")*(F621&lt;&gt;F592)*(G621="Y")*(D621&lt;&gt;"")*(F621&lt;&gt;""))+((H621&lt;&gt;H592)*(I621="Y")*(J621&lt;&gt;J592)*(K621="Y")*(H621&lt;&gt;"")*(J621&lt;&gt;""))+((L621&lt;&gt;L592)*(M621="Y")*(N621&lt;&gt;N592)*(O621="Y")*(L621&lt;&gt;"")*(N621&lt;&gt;""))+((P621&lt;&gt;P592)*(Q621="Y")*(R621&lt;&gt;R592)*(S621="Y")*(P621&lt;&gt;"")*(R621&lt;&gt;""))),0)</f>
        <v/>
      </c>
      <c r="V621" s="37">
        <f>IFERROR(SUMPRODUCT(((D621=D592)*(E621="Y")*(F621&lt;&gt;F592)*(G621="Y")*(D621&lt;&gt;"")*(F621&lt;&gt;""))+((H621=H592)*(I621="Y")*(J621&lt;&gt;J592)*(K621="Y")*(H621&lt;&gt;"")*(J621&lt;&gt;""))+((L621=L592)*(M621="Y")*(N621&lt;&gt;N592)*(O621="Y")*(L621&lt;&gt;"")*(N621&lt;&gt;""))+((P621=P592)*(Q621="Y")*(R621&lt;&gt;R592)*(S621="Y")*(P621&lt;&gt;"")*(R621&lt;&gt;""))),0)</f>
        <v/>
      </c>
      <c r="W621" s="37">
        <f>IFERROR(SUMPRODUCT(((E621="N")*(D621&lt;&gt;"")*(F621&lt;&gt;""))+((I621="N")*(H621&lt;&gt;"")*(J621&lt;&gt;""))+((M621="N")*(L621&lt;&gt;"")*(N621&lt;&gt;""))+((Q621="N")*(P621&lt;&gt;"")*(R621&lt;&gt;""))),0)</f>
        <v/>
      </c>
      <c r="X621" s="50">
        <f>IFERROR(U621/4,0)</f>
        <v/>
      </c>
    </row>
    <row r="622" ht="18" customHeight="1">
      <c r="B622" s="46">
        <f>'📥 ข้อมูลนักเรียน'!B33</f>
        <v/>
      </c>
      <c r="C622" s="51">
        <f>'📥 ข้อมูลนักเรียน'!C33</f>
        <v/>
      </c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37">
        <f>IFERROR(SUMPRODUCT(((D622=D592)*(E622="Y")*(F622=F592)*(G622="Y")*(D622&lt;&gt;"")*(F622&lt;&gt;""))+((H622=H592)*(I622="Y")*(J622=J592)*(K622="Y")*(H622&lt;&gt;"")*(J622&lt;&gt;""))+((L622=L592)*(M622="Y")*(N622=N592)*(O622="Y")*(L622&lt;&gt;"")*(N622&lt;&gt;""))+((P622=P592)*(Q622="Y")*(R622=R592)*(S622="Y")*(P622&lt;&gt;"")*(R622&lt;&gt;""))),0)</f>
        <v/>
      </c>
      <c r="U622" s="49">
        <f>IFERROR(SUMPRODUCT(((D622&lt;&gt;D592)*(E622="Y")*(F622&lt;&gt;F592)*(G622="Y")*(D622&lt;&gt;"")*(F622&lt;&gt;""))+((H622&lt;&gt;H592)*(I622="Y")*(J622&lt;&gt;J592)*(K622="Y")*(H622&lt;&gt;"")*(J622&lt;&gt;""))+((L622&lt;&gt;L592)*(M622="Y")*(N622&lt;&gt;N592)*(O622="Y")*(L622&lt;&gt;"")*(N622&lt;&gt;""))+((P622&lt;&gt;P592)*(Q622="Y")*(R622&lt;&gt;R592)*(S622="Y")*(P622&lt;&gt;"")*(R622&lt;&gt;""))),0)</f>
        <v/>
      </c>
      <c r="V622" s="37">
        <f>IFERROR(SUMPRODUCT(((D622=D592)*(E622="Y")*(F622&lt;&gt;F592)*(G622="Y")*(D622&lt;&gt;"")*(F622&lt;&gt;""))+((H622=H592)*(I622="Y")*(J622&lt;&gt;J592)*(K622="Y")*(H622&lt;&gt;"")*(J622&lt;&gt;""))+((L622=L592)*(M622="Y")*(N622&lt;&gt;N592)*(O622="Y")*(L622&lt;&gt;"")*(N622&lt;&gt;""))+((P622=P592)*(Q622="Y")*(R622&lt;&gt;R592)*(S622="Y")*(P622&lt;&gt;"")*(R622&lt;&gt;""))),0)</f>
        <v/>
      </c>
      <c r="W622" s="37">
        <f>IFERROR(SUMPRODUCT(((E622="N")*(D622&lt;&gt;"")*(F622&lt;&gt;""))+((I622="N")*(H622&lt;&gt;"")*(J622&lt;&gt;""))+((M622="N")*(L622&lt;&gt;"")*(N622&lt;&gt;""))+((Q622="N")*(P622&lt;&gt;"")*(R622&lt;&gt;""))),0)</f>
        <v/>
      </c>
      <c r="X622" s="50">
        <f>IFERROR(U622/4,0)</f>
        <v/>
      </c>
    </row>
    <row r="623" ht="18" customHeight="1">
      <c r="B623" s="46">
        <f>'📥 ข้อมูลนักเรียน'!B34</f>
        <v/>
      </c>
      <c r="C623" s="47">
        <f>'📥 ข้อมูลนักเรียน'!C34</f>
        <v/>
      </c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37">
        <f>IFERROR(SUMPRODUCT(((D623=D592)*(E623="Y")*(F623=F592)*(G623="Y")*(D623&lt;&gt;"")*(F623&lt;&gt;""))+((H623=H592)*(I623="Y")*(J623=J592)*(K623="Y")*(H623&lt;&gt;"")*(J623&lt;&gt;""))+((L623=L592)*(M623="Y")*(N623=N592)*(O623="Y")*(L623&lt;&gt;"")*(N623&lt;&gt;""))+((P623=P592)*(Q623="Y")*(R623=R592)*(S623="Y")*(P623&lt;&gt;"")*(R623&lt;&gt;""))),0)</f>
        <v/>
      </c>
      <c r="U623" s="49">
        <f>IFERROR(SUMPRODUCT(((D623&lt;&gt;D592)*(E623="Y")*(F623&lt;&gt;F592)*(G623="Y")*(D623&lt;&gt;"")*(F623&lt;&gt;""))+((H623&lt;&gt;H592)*(I623="Y")*(J623&lt;&gt;J592)*(K623="Y")*(H623&lt;&gt;"")*(J623&lt;&gt;""))+((L623&lt;&gt;L592)*(M623="Y")*(N623&lt;&gt;N592)*(O623="Y")*(L623&lt;&gt;"")*(N623&lt;&gt;""))+((P623&lt;&gt;P592)*(Q623="Y")*(R623&lt;&gt;R592)*(S623="Y")*(P623&lt;&gt;"")*(R623&lt;&gt;""))),0)</f>
        <v/>
      </c>
      <c r="V623" s="37">
        <f>IFERROR(SUMPRODUCT(((D623=D592)*(E623="Y")*(F623&lt;&gt;F592)*(G623="Y")*(D623&lt;&gt;"")*(F623&lt;&gt;""))+((H623=H592)*(I623="Y")*(J623&lt;&gt;J592)*(K623="Y")*(H623&lt;&gt;"")*(J623&lt;&gt;""))+((L623=L592)*(M623="Y")*(N623&lt;&gt;N592)*(O623="Y")*(L623&lt;&gt;"")*(N623&lt;&gt;""))+((P623=P592)*(Q623="Y")*(R623&lt;&gt;R592)*(S623="Y")*(P623&lt;&gt;"")*(R623&lt;&gt;""))),0)</f>
        <v/>
      </c>
      <c r="W623" s="37">
        <f>IFERROR(SUMPRODUCT(((E623="N")*(D623&lt;&gt;"")*(F623&lt;&gt;""))+((I623="N")*(H623&lt;&gt;"")*(J623&lt;&gt;""))+((M623="N")*(L623&lt;&gt;"")*(N623&lt;&gt;""))+((Q623="N")*(P623&lt;&gt;"")*(R623&lt;&gt;""))),0)</f>
        <v/>
      </c>
      <c r="X623" s="50">
        <f>IFERROR(U623/4,0)</f>
        <v/>
      </c>
    </row>
    <row r="624" ht="18" customHeight="1">
      <c r="B624" s="46">
        <f>'📥 ข้อมูลนักเรียน'!B35</f>
        <v/>
      </c>
      <c r="C624" s="51">
        <f>'📥 ข้อมูลนักเรียน'!C35</f>
        <v/>
      </c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37">
        <f>IFERROR(SUMPRODUCT(((D624=D592)*(E624="Y")*(F624=F592)*(G624="Y")*(D624&lt;&gt;"")*(F624&lt;&gt;""))+((H624=H592)*(I624="Y")*(J624=J592)*(K624="Y")*(H624&lt;&gt;"")*(J624&lt;&gt;""))+((L624=L592)*(M624="Y")*(N624=N592)*(O624="Y")*(L624&lt;&gt;"")*(N624&lt;&gt;""))+((P624=P592)*(Q624="Y")*(R624=R592)*(S624="Y")*(P624&lt;&gt;"")*(R624&lt;&gt;""))),0)</f>
        <v/>
      </c>
      <c r="U624" s="49">
        <f>IFERROR(SUMPRODUCT(((D624&lt;&gt;D592)*(E624="Y")*(F624&lt;&gt;F592)*(G624="Y")*(D624&lt;&gt;"")*(F624&lt;&gt;""))+((H624&lt;&gt;H592)*(I624="Y")*(J624&lt;&gt;J592)*(K624="Y")*(H624&lt;&gt;"")*(J624&lt;&gt;""))+((L624&lt;&gt;L592)*(M624="Y")*(N624&lt;&gt;N592)*(O624="Y")*(L624&lt;&gt;"")*(N624&lt;&gt;""))+((P624&lt;&gt;P592)*(Q624="Y")*(R624&lt;&gt;R592)*(S624="Y")*(P624&lt;&gt;"")*(R624&lt;&gt;""))),0)</f>
        <v/>
      </c>
      <c r="V624" s="37">
        <f>IFERROR(SUMPRODUCT(((D624=D592)*(E624="Y")*(F624&lt;&gt;F592)*(G624="Y")*(D624&lt;&gt;"")*(F624&lt;&gt;""))+((H624=H592)*(I624="Y")*(J624&lt;&gt;J592)*(K624="Y")*(H624&lt;&gt;"")*(J624&lt;&gt;""))+((L624=L592)*(M624="Y")*(N624&lt;&gt;N592)*(O624="Y")*(L624&lt;&gt;"")*(N624&lt;&gt;""))+((P624=P592)*(Q624="Y")*(R624&lt;&gt;R592)*(S624="Y")*(P624&lt;&gt;"")*(R624&lt;&gt;""))),0)</f>
        <v/>
      </c>
      <c r="W624" s="37">
        <f>IFERROR(SUMPRODUCT(((E624="N")*(D624&lt;&gt;"")*(F624&lt;&gt;""))+((I624="N")*(H624&lt;&gt;"")*(J624&lt;&gt;""))+((M624="N")*(L624&lt;&gt;"")*(N624&lt;&gt;""))+((Q624="N")*(P624&lt;&gt;"")*(R624&lt;&gt;""))),0)</f>
        <v/>
      </c>
      <c r="X624" s="50">
        <f>IFERROR(U624/4,0)</f>
        <v/>
      </c>
    </row>
    <row r="625" ht="18" customHeight="1">
      <c r="B625" s="46">
        <f>'📥 ข้อมูลนักเรียน'!B36</f>
        <v/>
      </c>
      <c r="C625" s="47">
        <f>'📥 ข้อมูลนักเรียน'!C36</f>
        <v/>
      </c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37">
        <f>IFERROR(SUMPRODUCT(((D625=D592)*(E625="Y")*(F625=F592)*(G625="Y")*(D625&lt;&gt;"")*(F625&lt;&gt;""))+((H625=H592)*(I625="Y")*(J625=J592)*(K625="Y")*(H625&lt;&gt;"")*(J625&lt;&gt;""))+((L625=L592)*(M625="Y")*(N625=N592)*(O625="Y")*(L625&lt;&gt;"")*(N625&lt;&gt;""))+((P625=P592)*(Q625="Y")*(R625=R592)*(S625="Y")*(P625&lt;&gt;"")*(R625&lt;&gt;""))),0)</f>
        <v/>
      </c>
      <c r="U625" s="49">
        <f>IFERROR(SUMPRODUCT(((D625&lt;&gt;D592)*(E625="Y")*(F625&lt;&gt;F592)*(G625="Y")*(D625&lt;&gt;"")*(F625&lt;&gt;""))+((H625&lt;&gt;H592)*(I625="Y")*(J625&lt;&gt;J592)*(K625="Y")*(H625&lt;&gt;"")*(J625&lt;&gt;""))+((L625&lt;&gt;L592)*(M625="Y")*(N625&lt;&gt;N592)*(O625="Y")*(L625&lt;&gt;"")*(N625&lt;&gt;""))+((P625&lt;&gt;P592)*(Q625="Y")*(R625&lt;&gt;R592)*(S625="Y")*(P625&lt;&gt;"")*(R625&lt;&gt;""))),0)</f>
        <v/>
      </c>
      <c r="V625" s="37">
        <f>IFERROR(SUMPRODUCT(((D625=D592)*(E625="Y")*(F625&lt;&gt;F592)*(G625="Y")*(D625&lt;&gt;"")*(F625&lt;&gt;""))+((H625=H592)*(I625="Y")*(J625&lt;&gt;J592)*(K625="Y")*(H625&lt;&gt;"")*(J625&lt;&gt;""))+((L625=L592)*(M625="Y")*(N625&lt;&gt;N592)*(O625="Y")*(L625&lt;&gt;"")*(N625&lt;&gt;""))+((P625=P592)*(Q625="Y")*(R625&lt;&gt;R592)*(S625="Y")*(P625&lt;&gt;"")*(R625&lt;&gt;""))),0)</f>
        <v/>
      </c>
      <c r="W625" s="37">
        <f>IFERROR(SUMPRODUCT(((E625="N")*(D625&lt;&gt;"")*(F625&lt;&gt;""))+((I625="N")*(H625&lt;&gt;"")*(J625&lt;&gt;""))+((M625="N")*(L625&lt;&gt;"")*(N625&lt;&gt;""))+((Q625="N")*(P625&lt;&gt;"")*(R625&lt;&gt;""))),0)</f>
        <v/>
      </c>
      <c r="X625" s="50">
        <f>IFERROR(U625/4,0)</f>
        <v/>
      </c>
    </row>
    <row r="626" ht="18" customHeight="1">
      <c r="B626" s="46">
        <f>'📥 ข้อมูลนักเรียน'!B37</f>
        <v/>
      </c>
      <c r="C626" s="51">
        <f>'📥 ข้อมูลนักเรียน'!C37</f>
        <v/>
      </c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37">
        <f>IFERROR(SUMPRODUCT(((D626=D592)*(E626="Y")*(F626=F592)*(G626="Y")*(D626&lt;&gt;"")*(F626&lt;&gt;""))+((H626=H592)*(I626="Y")*(J626=J592)*(K626="Y")*(H626&lt;&gt;"")*(J626&lt;&gt;""))+((L626=L592)*(M626="Y")*(N626=N592)*(O626="Y")*(L626&lt;&gt;"")*(N626&lt;&gt;""))+((P626=P592)*(Q626="Y")*(R626=R592)*(S626="Y")*(P626&lt;&gt;"")*(R626&lt;&gt;""))),0)</f>
        <v/>
      </c>
      <c r="U626" s="49">
        <f>IFERROR(SUMPRODUCT(((D626&lt;&gt;D592)*(E626="Y")*(F626&lt;&gt;F592)*(G626="Y")*(D626&lt;&gt;"")*(F626&lt;&gt;""))+((H626&lt;&gt;H592)*(I626="Y")*(J626&lt;&gt;J592)*(K626="Y")*(H626&lt;&gt;"")*(J626&lt;&gt;""))+((L626&lt;&gt;L592)*(M626="Y")*(N626&lt;&gt;N592)*(O626="Y")*(L626&lt;&gt;"")*(N626&lt;&gt;""))+((P626&lt;&gt;P592)*(Q626="Y")*(R626&lt;&gt;R592)*(S626="Y")*(P626&lt;&gt;"")*(R626&lt;&gt;""))),0)</f>
        <v/>
      </c>
      <c r="V626" s="37">
        <f>IFERROR(SUMPRODUCT(((D626=D592)*(E626="Y")*(F626&lt;&gt;F592)*(G626="Y")*(D626&lt;&gt;"")*(F626&lt;&gt;""))+((H626=H592)*(I626="Y")*(J626&lt;&gt;J592)*(K626="Y")*(H626&lt;&gt;"")*(J626&lt;&gt;""))+((L626=L592)*(M626="Y")*(N626&lt;&gt;N592)*(O626="Y")*(L626&lt;&gt;"")*(N626&lt;&gt;""))+((P626=P592)*(Q626="Y")*(R626&lt;&gt;R592)*(S626="Y")*(P626&lt;&gt;"")*(R626&lt;&gt;""))),0)</f>
        <v/>
      </c>
      <c r="W626" s="37">
        <f>IFERROR(SUMPRODUCT(((E626="N")*(D626&lt;&gt;"")*(F626&lt;&gt;""))+((I626="N")*(H626&lt;&gt;"")*(J626&lt;&gt;""))+((M626="N")*(L626&lt;&gt;"")*(N626&lt;&gt;""))+((Q626="N")*(P626&lt;&gt;"")*(R626&lt;&gt;""))),0)</f>
        <v/>
      </c>
      <c r="X626" s="50">
        <f>IFERROR(U626/4,0)</f>
        <v/>
      </c>
    </row>
    <row r="627" ht="18" customHeight="1">
      <c r="B627" s="46">
        <f>'📥 ข้อมูลนักเรียน'!B38</f>
        <v/>
      </c>
      <c r="C627" s="47">
        <f>'📥 ข้อมูลนักเรียน'!C38</f>
        <v/>
      </c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37">
        <f>IFERROR(SUMPRODUCT(((D627=D592)*(E627="Y")*(F627=F592)*(G627="Y")*(D627&lt;&gt;"")*(F627&lt;&gt;""))+((H627=H592)*(I627="Y")*(J627=J592)*(K627="Y")*(H627&lt;&gt;"")*(J627&lt;&gt;""))+((L627=L592)*(M627="Y")*(N627=N592)*(O627="Y")*(L627&lt;&gt;"")*(N627&lt;&gt;""))+((P627=P592)*(Q627="Y")*(R627=R592)*(S627="Y")*(P627&lt;&gt;"")*(R627&lt;&gt;""))),0)</f>
        <v/>
      </c>
      <c r="U627" s="49">
        <f>IFERROR(SUMPRODUCT(((D627&lt;&gt;D592)*(E627="Y")*(F627&lt;&gt;F592)*(G627="Y")*(D627&lt;&gt;"")*(F627&lt;&gt;""))+((H627&lt;&gt;H592)*(I627="Y")*(J627&lt;&gt;J592)*(K627="Y")*(H627&lt;&gt;"")*(J627&lt;&gt;""))+((L627&lt;&gt;L592)*(M627="Y")*(N627&lt;&gt;N592)*(O627="Y")*(L627&lt;&gt;"")*(N627&lt;&gt;""))+((P627&lt;&gt;P592)*(Q627="Y")*(R627&lt;&gt;R592)*(S627="Y")*(P627&lt;&gt;"")*(R627&lt;&gt;""))),0)</f>
        <v/>
      </c>
      <c r="V627" s="37">
        <f>IFERROR(SUMPRODUCT(((D627=D592)*(E627="Y")*(F627&lt;&gt;F592)*(G627="Y")*(D627&lt;&gt;"")*(F627&lt;&gt;""))+((H627=H592)*(I627="Y")*(J627&lt;&gt;J592)*(K627="Y")*(H627&lt;&gt;"")*(J627&lt;&gt;""))+((L627=L592)*(M627="Y")*(N627&lt;&gt;N592)*(O627="Y")*(L627&lt;&gt;"")*(N627&lt;&gt;""))+((P627=P592)*(Q627="Y")*(R627&lt;&gt;R592)*(S627="Y")*(P627&lt;&gt;"")*(R627&lt;&gt;""))),0)</f>
        <v/>
      </c>
      <c r="W627" s="37">
        <f>IFERROR(SUMPRODUCT(((E627="N")*(D627&lt;&gt;"")*(F627&lt;&gt;""))+((I627="N")*(H627&lt;&gt;"")*(J627&lt;&gt;""))+((M627="N")*(L627&lt;&gt;"")*(N627&lt;&gt;""))+((Q627="N")*(P627&lt;&gt;"")*(R627&lt;&gt;""))),0)</f>
        <v/>
      </c>
      <c r="X627" s="50">
        <f>IFERROR(U627/4,0)</f>
        <v/>
      </c>
    </row>
    <row r="628" ht="24" customHeight="1">
      <c r="B628" s="226" t="inlineStr">
        <is>
          <t>สรุป Post แผน 9</t>
        </is>
      </c>
      <c r="C628" s="369" t="n"/>
      <c r="T628" s="52">
        <f>IFERROR(AVERAGE(T593:T627)*4,0)</f>
        <v/>
      </c>
      <c r="U628" s="53">
        <f>IFERROR(AVERAGE(U593:U627)*4,0)</f>
        <v/>
      </c>
      <c r="V628" s="54">
        <f>IFERROR(AVERAGE(V593:V627)*4,0)</f>
        <v/>
      </c>
      <c r="W628" s="55">
        <f>IFERROR(AVERAGE(W593:W627)*4,0)</f>
        <v/>
      </c>
      <c r="X628" s="56">
        <f>IFERROR(AVERAGE(X593:X627),0)</f>
        <v/>
      </c>
    </row>
    <row r="629" ht="7.5" customHeight="1"/>
  </sheetData>
  <mergeCells count="110">
    <mergeCell ref="B628:C628"/>
    <mergeCell ref="D547:G547"/>
    <mergeCell ref="H547:K547"/>
    <mergeCell ref="L547:O547"/>
    <mergeCell ref="P547:S547"/>
    <mergeCell ref="B585:C585"/>
    <mergeCell ref="B587:X587"/>
    <mergeCell ref="B588:X588"/>
    <mergeCell ref="B589:X589"/>
    <mergeCell ref="D590:G590"/>
    <mergeCell ref="H590:K590"/>
    <mergeCell ref="L590:O590"/>
    <mergeCell ref="P590:S590"/>
    <mergeCell ref="B503:X503"/>
    <mergeCell ref="D504:G504"/>
    <mergeCell ref="H504:K504"/>
    <mergeCell ref="L504:O504"/>
    <mergeCell ref="P504:S504"/>
    <mergeCell ref="B542:C542"/>
    <mergeCell ref="B544:X544"/>
    <mergeCell ref="B545:X545"/>
    <mergeCell ref="B546:X546"/>
    <mergeCell ref="B459:C459"/>
    <mergeCell ref="B461:X461"/>
    <mergeCell ref="B462:X462"/>
    <mergeCell ref="B463:X463"/>
    <mergeCell ref="D464:G464"/>
    <mergeCell ref="H464:K464"/>
    <mergeCell ref="L464:O464"/>
    <mergeCell ref="P464:S464"/>
    <mergeCell ref="B502:C502"/>
    <mergeCell ref="B380:X380"/>
    <mergeCell ref="D381:G381"/>
    <mergeCell ref="H381:K381"/>
    <mergeCell ref="L381:O381"/>
    <mergeCell ref="P381:S381"/>
    <mergeCell ref="B419:C419"/>
    <mergeCell ref="B420:X420"/>
    <mergeCell ref="D421:G421"/>
    <mergeCell ref="H421:K421"/>
    <mergeCell ref="L421:O421"/>
    <mergeCell ref="P421:S421"/>
    <mergeCell ref="B336:C336"/>
    <mergeCell ref="B337:X337"/>
    <mergeCell ref="D338:G338"/>
    <mergeCell ref="H338:K338"/>
    <mergeCell ref="L338:O338"/>
    <mergeCell ref="P338:S338"/>
    <mergeCell ref="B376:C376"/>
    <mergeCell ref="B378:X378"/>
    <mergeCell ref="B379:X379"/>
    <mergeCell ref="D255:G255"/>
    <mergeCell ref="H255:K255"/>
    <mergeCell ref="L255:O255"/>
    <mergeCell ref="P255:S255"/>
    <mergeCell ref="B293:C293"/>
    <mergeCell ref="B295:X295"/>
    <mergeCell ref="B296:X296"/>
    <mergeCell ref="B297:X297"/>
    <mergeCell ref="D298:G298"/>
    <mergeCell ref="H298:K298"/>
    <mergeCell ref="L298:O298"/>
    <mergeCell ref="P298:S298"/>
    <mergeCell ref="B211:X211"/>
    <mergeCell ref="D212:G212"/>
    <mergeCell ref="H212:K212"/>
    <mergeCell ref="L212:O212"/>
    <mergeCell ref="P212:S212"/>
    <mergeCell ref="B250:C250"/>
    <mergeCell ref="B252:X252"/>
    <mergeCell ref="B253:X253"/>
    <mergeCell ref="B254:X254"/>
    <mergeCell ref="B167:C167"/>
    <mergeCell ref="B169:X169"/>
    <mergeCell ref="B170:X170"/>
    <mergeCell ref="B171:X171"/>
    <mergeCell ref="D172:G172"/>
    <mergeCell ref="H172:K172"/>
    <mergeCell ref="L172:O172"/>
    <mergeCell ref="P172:S172"/>
    <mergeCell ref="B210:C210"/>
    <mergeCell ref="B88:X88"/>
    <mergeCell ref="D89:G89"/>
    <mergeCell ref="H89:K89"/>
    <mergeCell ref="L89:O89"/>
    <mergeCell ref="P89:S89"/>
    <mergeCell ref="B127:C127"/>
    <mergeCell ref="B128:X128"/>
    <mergeCell ref="D129:G129"/>
    <mergeCell ref="H129:K129"/>
    <mergeCell ref="L129:O129"/>
    <mergeCell ref="P129:S129"/>
    <mergeCell ref="B44:C44"/>
    <mergeCell ref="B45:X45"/>
    <mergeCell ref="D46:G46"/>
    <mergeCell ref="H46:K46"/>
    <mergeCell ref="L46:O46"/>
    <mergeCell ref="P46:S46"/>
    <mergeCell ref="B84:C84"/>
    <mergeCell ref="B86:X86"/>
    <mergeCell ref="B87:X87"/>
    <mergeCell ref="B1:X1"/>
    <mergeCell ref="B2:X2"/>
    <mergeCell ref="B3:X3"/>
    <mergeCell ref="B4:X4"/>
    <mergeCell ref="B5:X5"/>
    <mergeCell ref="D6:G6"/>
    <mergeCell ref="H6:K6"/>
    <mergeCell ref="L6:O6"/>
    <mergeCell ref="P6:S6"/>
  </mergeCells>
  <dataValidations count="2">
    <dataValidation sqref="D9:D43 F9:F43 H9:H43 J9:J43 L9:L43 N9:N43 P9:P43 R9:R43 D49:D83 F49:F83 H49:H83 J49:J83 L49:L83 N49:N83 P49:P83 R49:R83 D92:D126 F92:F126 H92:H126 J92:J126 L92:L126 N92:N126 P92:P126 R92:R126 D132:D166 F132:F166 H132:H166 J132:J166 L132:L166 N132:N166 P132:P166 R132:R166 D175:D209 F175:F209 H175:H209 J175:J209 L175:L209 N175:N209 P175:P209 R175:R209 D215:D249 F215:F249 H215:H249 J215:J249 L215:L249 N215:N249 P215:P249 R215:R249 D258:D292 F258:F292 H258:H292 J258:J292 L258:L292 N258:N292 P258:P292 R258:R292 D301:D335 F301:F335 H301:H335 J301:J335 L301:L335 N301:N335 P301:P335 R301:R335 D341:D375 F341:F375 H341:H375 J341:J375 L341:L375 N341:N375 P341:P375 R341:R375 D384:D418 F384:F418 H384:H418 J384:J418 L384:L418 N384:N418 P384:P418 R384:R418 D424:D458 F424:F458 H424:H458 J424:J458 L424:L458 N424:N458 P424:P458 R424:R458 D467:D501 F467:F501 H467:H501 J467:J501 L467:L501 N467:N501 P467:P501 R467:R501 D507:D541 F507:F541 H507:H541 J507:J541 L507:L541 N507:N541 P507:P541 R507:R541 D550:D584 F550:F584 H550:H584 J550:J584 L550:L584 N550:N584 P550:P584 R550:R584 D593:D627 F593:F627 H593:H627 J593:J627 L593:L627 N593:N627 P593:P627 R593:R627" showErrorMessage="1" showInputMessage="1" allowBlank="1" type="list">
      <formula1>"ก,ข,ค,ง"</formula1>
      <formula2>0</formula2>
    </dataValidation>
    <dataValidation sqref="E9:E43 G9:G43 I9:I43 K9:K43 M9:M43 O9:O43 Q9:Q43 S9:S43 E49:E83 G49:G83 I49:I83 K49:K83 M49:M83 O49:O83 Q49:Q83 S49:S83 E92:E126 G92:G126 I92:I126 K92:K126 M92:M126 O92:O126 Q92:Q126 S92:S126 E132:E166 G132:G166 I132:I166 K132:K166 M132:M166 O132:O166 Q132:Q166 S132:S166 E175:E209 G175:G209 I175:I209 K175:K209 M175:M209 O175:O209 Q175:Q209 S175:S209 E215:E249 G215:G249 I215:I249 K215:K249 M215:M249 O215:O249 Q215:Q249 S215:S249 E258:E292 G258:G292 I258:I292 K258:K292 M258:M292 O258:O292 Q258:Q292 S258:S292 E301:E335 G301:G335 I301:I335 K301:K335 M301:M335 O301:O335 Q301:Q335 S301:S335 E341:E375 G341:G375 I341:I375 K341:K375 M341:M375 O341:O375 Q341:Q375 S341:S375 E384:E418 G384:G418 I384:I418 K384:K418 M384:M418 O384:O418 Q384:Q418 S384:S418 E424:E458 G424:G458 I424:I458 K424:K458 M424:M458 O424:O458 Q424:Q458 S424:S458 E467:E501 G467:G501 I467:I501 K467:K501 M467:M501 O467:O501 Q467:Q501 S467:S501 E507:E541 G507:G541 I507:I541 K507:K541 M507:M541 O507:O541 Q507:Q541 S507:S541 E550:E584 G550:G584 I550:I584 K550:K584 M550:M584 O550:O584 Q550:Q584 S550:S584 E593:E627 G593:G627 I593:I627 K593:K627 M593:M627 O593:O627 Q593:Q627 S593:S627" showErrorMessage="1" showInputMessage="1" allowBlank="1" type="list">
      <formula1>"Y,N"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E91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6" customWidth="1" min="2" max="2"/>
    <col width="26" customWidth="1" min="3" max="3"/>
    <col width="5" customWidth="1" min="4" max="83"/>
  </cols>
  <sheetData>
    <row r="1" ht="27.75" customHeight="1">
      <c r="B1" s="253" t="inlineStr">
        <is>
          <t>📝 กรอกคำตอบ Four-tier | T1,T3: ก/ข/ค/ง | T2,T4: Y=มั่นใจ / N=ไม่มั่นใจ</t>
        </is>
      </c>
    </row>
    <row r="2" ht="15" customHeight="1">
      <c r="B2" s="211" t="inlineStr">
        <is>
          <t>เฉลย (T1 &amp; T3)</t>
        </is>
      </c>
      <c r="C2" s="369" t="n"/>
    </row>
    <row r="3" ht="24" customHeight="1">
      <c r="B3" s="254" t="inlineStr">
        <is>
          <t>🔵 Pre-test — กรอกคำตอบ Tier 1–4 ของนักเรียนแต่ละคน</t>
        </is>
      </c>
    </row>
    <row r="4" ht="18" customHeight="1">
      <c r="B4" s="39" t="inlineStr">
        <is>
          <t>ที่</t>
        </is>
      </c>
      <c r="C4" s="39" t="inlineStr">
        <is>
          <t>ชื่อนักเรียน</t>
        </is>
      </c>
      <c r="D4" s="239" t="inlineStr">
        <is>
          <t>ข้อ 1</t>
        </is>
      </c>
      <c r="E4" s="369" t="n"/>
      <c r="F4" s="369" t="n"/>
      <c r="G4" s="369" t="n"/>
      <c r="H4" s="239" t="inlineStr">
        <is>
          <t>ข้อ 2</t>
        </is>
      </c>
      <c r="I4" s="369" t="n"/>
      <c r="J4" s="369" t="n"/>
      <c r="K4" s="369" t="n"/>
      <c r="L4" s="239" t="inlineStr">
        <is>
          <t>ข้อ 3</t>
        </is>
      </c>
      <c r="M4" s="369" t="n"/>
      <c r="N4" s="369" t="n"/>
      <c r="O4" s="369" t="n"/>
      <c r="P4" s="239" t="inlineStr">
        <is>
          <t>ข้อ 4</t>
        </is>
      </c>
      <c r="Q4" s="369" t="n"/>
      <c r="R4" s="369" t="n"/>
      <c r="S4" s="369" t="n"/>
      <c r="T4" s="239" t="inlineStr">
        <is>
          <t>ข้อ 5</t>
        </is>
      </c>
      <c r="U4" s="369" t="n"/>
      <c r="V4" s="369" t="n"/>
      <c r="W4" s="369" t="n"/>
      <c r="X4" s="239" t="inlineStr">
        <is>
          <t>ข้อ 6</t>
        </is>
      </c>
      <c r="Y4" s="369" t="n"/>
      <c r="Z4" s="369" t="n"/>
      <c r="AA4" s="369" t="n"/>
      <c r="AB4" s="239" t="inlineStr">
        <is>
          <t>ข้อ 7</t>
        </is>
      </c>
      <c r="AC4" s="369" t="n"/>
      <c r="AD4" s="369" t="n"/>
      <c r="AE4" s="369" t="n"/>
      <c r="AF4" s="239" t="inlineStr">
        <is>
          <t>ข้อ 8</t>
        </is>
      </c>
      <c r="AG4" s="369" t="n"/>
      <c r="AH4" s="369" t="n"/>
      <c r="AI4" s="369" t="n"/>
      <c r="AJ4" s="239" t="inlineStr">
        <is>
          <t>ข้อ 9</t>
        </is>
      </c>
      <c r="AK4" s="369" t="n"/>
      <c r="AL4" s="369" t="n"/>
      <c r="AM4" s="369" t="n"/>
      <c r="AN4" s="239" t="inlineStr">
        <is>
          <t>ข้อ 10</t>
        </is>
      </c>
      <c r="AO4" s="369" t="n"/>
      <c r="AP4" s="369" t="n"/>
      <c r="AQ4" s="369" t="n"/>
      <c r="AR4" s="239" t="inlineStr">
        <is>
          <t>ข้อ 11</t>
        </is>
      </c>
      <c r="AS4" s="369" t="n"/>
      <c r="AT4" s="369" t="n"/>
      <c r="AU4" s="369" t="n"/>
      <c r="AV4" s="239" t="inlineStr">
        <is>
          <t>ข้อ 12</t>
        </is>
      </c>
      <c r="AW4" s="369" t="n"/>
      <c r="AX4" s="369" t="n"/>
      <c r="AY4" s="369" t="n"/>
      <c r="AZ4" s="239" t="inlineStr">
        <is>
          <t>ข้อ 13</t>
        </is>
      </c>
      <c r="BA4" s="369" t="n"/>
      <c r="BB4" s="369" t="n"/>
      <c r="BC4" s="369" t="n"/>
      <c r="BD4" s="239" t="inlineStr">
        <is>
          <t>ข้อ 14</t>
        </is>
      </c>
      <c r="BE4" s="369" t="n"/>
      <c r="BF4" s="369" t="n"/>
      <c r="BG4" s="369" t="n"/>
      <c r="BH4" s="239" t="inlineStr">
        <is>
          <t>ข้อ 15</t>
        </is>
      </c>
      <c r="BI4" s="369" t="n"/>
      <c r="BJ4" s="369" t="n"/>
      <c r="BK4" s="369" t="n"/>
      <c r="BL4" s="239" t="inlineStr">
        <is>
          <t>ข้อ 16</t>
        </is>
      </c>
      <c r="BM4" s="369" t="n"/>
      <c r="BN4" s="369" t="n"/>
      <c r="BO4" s="369" t="n"/>
      <c r="BP4" s="239" t="inlineStr">
        <is>
          <t>ข้อ 17</t>
        </is>
      </c>
      <c r="BQ4" s="369" t="n"/>
      <c r="BR4" s="369" t="n"/>
      <c r="BS4" s="369" t="n"/>
      <c r="BT4" s="239" t="inlineStr">
        <is>
          <t>ข้อ 18</t>
        </is>
      </c>
      <c r="BU4" s="369" t="n"/>
      <c r="BV4" s="369" t="n"/>
      <c r="BW4" s="369" t="n"/>
      <c r="BX4" s="239" t="inlineStr">
        <is>
          <t>ข้อ 19</t>
        </is>
      </c>
      <c r="BY4" s="369" t="n"/>
      <c r="BZ4" s="369" t="n"/>
      <c r="CA4" s="369" t="n"/>
      <c r="CB4" s="239" t="inlineStr">
        <is>
          <t>ข้อ 20</t>
        </is>
      </c>
      <c r="CC4" s="369" t="n"/>
      <c r="CD4" s="369" t="n"/>
      <c r="CE4" s="369" t="n"/>
    </row>
    <row r="5" ht="30" customHeight="1">
      <c r="B5" s="28" t="inlineStr">
        <is>
          <t>ที่</t>
        </is>
      </c>
      <c r="C5" s="28" t="inlineStr">
        <is>
          <t>ชื่อนักเรียน</t>
        </is>
      </c>
      <c r="D5" s="42" t="inlineStr">
        <is>
          <t>T1
คำตอบ</t>
        </is>
      </c>
      <c r="E5" s="42" t="inlineStr">
        <is>
          <t>T2
มั่นใจ</t>
        </is>
      </c>
      <c r="F5" s="42" t="inlineStr">
        <is>
          <t>T3
เหตุผล</t>
        </is>
      </c>
      <c r="G5" s="42" t="inlineStr">
        <is>
          <t>T4
มั่นใจ</t>
        </is>
      </c>
      <c r="H5" s="42" t="inlineStr">
        <is>
          <t>T1
คำตอบ</t>
        </is>
      </c>
      <c r="I5" s="42" t="inlineStr">
        <is>
          <t>T2
มั่นใจ</t>
        </is>
      </c>
      <c r="J5" s="42" t="inlineStr">
        <is>
          <t>T3
เหตุผล</t>
        </is>
      </c>
      <c r="K5" s="42" t="inlineStr">
        <is>
          <t>T4
มั่นใจ</t>
        </is>
      </c>
      <c r="L5" s="42" t="inlineStr">
        <is>
          <t>T1
คำตอบ</t>
        </is>
      </c>
      <c r="M5" s="42" t="inlineStr">
        <is>
          <t>T2
มั่นใจ</t>
        </is>
      </c>
      <c r="N5" s="42" t="inlineStr">
        <is>
          <t>T3
เหตุผล</t>
        </is>
      </c>
      <c r="O5" s="42" t="inlineStr">
        <is>
          <t>T4
มั่นใจ</t>
        </is>
      </c>
      <c r="P5" s="42" t="inlineStr">
        <is>
          <t>T1
คำตอบ</t>
        </is>
      </c>
      <c r="Q5" s="42" t="inlineStr">
        <is>
          <t>T2
มั่นใจ</t>
        </is>
      </c>
      <c r="R5" s="42" t="inlineStr">
        <is>
          <t>T3
เหตุผล</t>
        </is>
      </c>
      <c r="S5" s="42" t="inlineStr">
        <is>
          <t>T4
มั่นใจ</t>
        </is>
      </c>
      <c r="T5" s="42" t="inlineStr">
        <is>
          <t>T1
คำตอบ</t>
        </is>
      </c>
      <c r="U5" s="42" t="inlineStr">
        <is>
          <t>T2
มั่นใจ</t>
        </is>
      </c>
      <c r="V5" s="42" t="inlineStr">
        <is>
          <t>T3
เหตุผล</t>
        </is>
      </c>
      <c r="W5" s="42" t="inlineStr">
        <is>
          <t>T4
มั่นใจ</t>
        </is>
      </c>
      <c r="X5" s="42" t="inlineStr">
        <is>
          <t>T1
คำตอบ</t>
        </is>
      </c>
      <c r="Y5" s="42" t="inlineStr">
        <is>
          <t>T2
มั่นใจ</t>
        </is>
      </c>
      <c r="Z5" s="42" t="inlineStr">
        <is>
          <t>T3
เหตุผล</t>
        </is>
      </c>
      <c r="AA5" s="42" t="inlineStr">
        <is>
          <t>T4
มั่นใจ</t>
        </is>
      </c>
      <c r="AB5" s="42" t="inlineStr">
        <is>
          <t>T1
คำตอบ</t>
        </is>
      </c>
      <c r="AC5" s="42" t="inlineStr">
        <is>
          <t>T2
มั่นใจ</t>
        </is>
      </c>
      <c r="AD5" s="42" t="inlineStr">
        <is>
          <t>T3
เหตุผล</t>
        </is>
      </c>
      <c r="AE5" s="42" t="inlineStr">
        <is>
          <t>T4
มั่นใจ</t>
        </is>
      </c>
      <c r="AF5" s="42" t="inlineStr">
        <is>
          <t>T1
คำตอบ</t>
        </is>
      </c>
      <c r="AG5" s="42" t="inlineStr">
        <is>
          <t>T2
มั่นใจ</t>
        </is>
      </c>
      <c r="AH5" s="42" t="inlineStr">
        <is>
          <t>T3
เหตุผล</t>
        </is>
      </c>
      <c r="AI5" s="42" t="inlineStr">
        <is>
          <t>T4
มั่นใจ</t>
        </is>
      </c>
      <c r="AJ5" s="42" t="inlineStr">
        <is>
          <t>T1
คำตอบ</t>
        </is>
      </c>
      <c r="AK5" s="42" t="inlineStr">
        <is>
          <t>T2
มั่นใจ</t>
        </is>
      </c>
      <c r="AL5" s="42" t="inlineStr">
        <is>
          <t>T3
เหตุผล</t>
        </is>
      </c>
      <c r="AM5" s="42" t="inlineStr">
        <is>
          <t>T4
มั่นใจ</t>
        </is>
      </c>
      <c r="AN5" s="42" t="inlineStr">
        <is>
          <t>T1
คำตอบ</t>
        </is>
      </c>
      <c r="AO5" s="42" t="inlineStr">
        <is>
          <t>T2
มั่นใจ</t>
        </is>
      </c>
      <c r="AP5" s="42" t="inlineStr">
        <is>
          <t>T3
เหตุผล</t>
        </is>
      </c>
      <c r="AQ5" s="42" t="inlineStr">
        <is>
          <t>T4
มั่นใจ</t>
        </is>
      </c>
      <c r="AR5" s="42" t="inlineStr">
        <is>
          <t>T1
คำตอบ</t>
        </is>
      </c>
      <c r="AS5" s="42" t="inlineStr">
        <is>
          <t>T2
มั่นใจ</t>
        </is>
      </c>
      <c r="AT5" s="42" t="inlineStr">
        <is>
          <t>T3
เหตุผล</t>
        </is>
      </c>
      <c r="AU5" s="42" t="inlineStr">
        <is>
          <t>T4
มั่นใจ</t>
        </is>
      </c>
      <c r="AV5" s="42" t="inlineStr">
        <is>
          <t>T1
คำตอบ</t>
        </is>
      </c>
      <c r="AW5" s="42" t="inlineStr">
        <is>
          <t>T2
มั่นใจ</t>
        </is>
      </c>
      <c r="AX5" s="42" t="inlineStr">
        <is>
          <t>T3
เหตุผล</t>
        </is>
      </c>
      <c r="AY5" s="42" t="inlineStr">
        <is>
          <t>T4
มั่นใจ</t>
        </is>
      </c>
      <c r="AZ5" s="42" t="inlineStr">
        <is>
          <t>T1
คำตอบ</t>
        </is>
      </c>
      <c r="BA5" s="42" t="inlineStr">
        <is>
          <t>T2
มั่นใจ</t>
        </is>
      </c>
      <c r="BB5" s="42" t="inlineStr">
        <is>
          <t>T3
เหตุผล</t>
        </is>
      </c>
      <c r="BC5" s="42" t="inlineStr">
        <is>
          <t>T4
มั่นใจ</t>
        </is>
      </c>
      <c r="BD5" s="42" t="inlineStr">
        <is>
          <t>T1
คำตอบ</t>
        </is>
      </c>
      <c r="BE5" s="42" t="inlineStr">
        <is>
          <t>T2
มั่นใจ</t>
        </is>
      </c>
      <c r="BF5" s="42" t="inlineStr">
        <is>
          <t>T3
เหตุผล</t>
        </is>
      </c>
      <c r="BG5" s="42" t="inlineStr">
        <is>
          <t>T4
มั่นใจ</t>
        </is>
      </c>
      <c r="BH5" s="42" t="inlineStr">
        <is>
          <t>T1
คำตอบ</t>
        </is>
      </c>
      <c r="BI5" s="42" t="inlineStr">
        <is>
          <t>T2
มั่นใจ</t>
        </is>
      </c>
      <c r="BJ5" s="42" t="inlineStr">
        <is>
          <t>T3
เหตุผล</t>
        </is>
      </c>
      <c r="BK5" s="42" t="inlineStr">
        <is>
          <t>T4
มั่นใจ</t>
        </is>
      </c>
      <c r="BL5" s="42" t="inlineStr">
        <is>
          <t>T1
คำตอบ</t>
        </is>
      </c>
      <c r="BM5" s="42" t="inlineStr">
        <is>
          <t>T2
มั่นใจ</t>
        </is>
      </c>
      <c r="BN5" s="42" t="inlineStr">
        <is>
          <t>T3
เหตุผล</t>
        </is>
      </c>
      <c r="BO5" s="42" t="inlineStr">
        <is>
          <t>T4
มั่นใจ</t>
        </is>
      </c>
      <c r="BP5" s="42" t="inlineStr">
        <is>
          <t>T1
คำตอบ</t>
        </is>
      </c>
      <c r="BQ5" s="42" t="inlineStr">
        <is>
          <t>T2
มั่นใจ</t>
        </is>
      </c>
      <c r="BR5" s="42" t="inlineStr">
        <is>
          <t>T3
เหตุผล</t>
        </is>
      </c>
      <c r="BS5" s="42" t="inlineStr">
        <is>
          <t>T4
มั่นใจ</t>
        </is>
      </c>
      <c r="BT5" s="42" t="inlineStr">
        <is>
          <t>T1
คำตอบ</t>
        </is>
      </c>
      <c r="BU5" s="42" t="inlineStr">
        <is>
          <t>T2
มั่นใจ</t>
        </is>
      </c>
      <c r="BV5" s="42" t="inlineStr">
        <is>
          <t>T3
เหตุผล</t>
        </is>
      </c>
      <c r="BW5" s="42" t="inlineStr">
        <is>
          <t>T4
มั่นใจ</t>
        </is>
      </c>
      <c r="BX5" s="42" t="inlineStr">
        <is>
          <t>T1
คำตอบ</t>
        </is>
      </c>
      <c r="BY5" s="42" t="inlineStr">
        <is>
          <t>T2
มั่นใจ</t>
        </is>
      </c>
      <c r="BZ5" s="42" t="inlineStr">
        <is>
          <t>T3
เหตุผล</t>
        </is>
      </c>
      <c r="CA5" s="42" t="inlineStr">
        <is>
          <t>T4
มั่นใจ</t>
        </is>
      </c>
      <c r="CB5" s="42" t="inlineStr">
        <is>
          <t>T1
คำตอบ</t>
        </is>
      </c>
      <c r="CC5" s="42" t="inlineStr">
        <is>
          <t>T2
มั่นใจ</t>
        </is>
      </c>
      <c r="CD5" s="42" t="inlineStr">
        <is>
          <t>T3
เหตุผล</t>
        </is>
      </c>
      <c r="CE5" s="42" t="inlineStr">
        <is>
          <t>T4
มั่นใจ</t>
        </is>
      </c>
    </row>
    <row r="6" ht="18" customHeight="1">
      <c r="B6" s="44" t="inlineStr">
        <is>
          <t>KEY</t>
        </is>
      </c>
      <c r="C6" s="45" t="inlineStr">
        <is>
          <t>← กรอกเฉลยที่ถูกต้อง (T1 &amp; T3)</t>
        </is>
      </c>
      <c r="D6" s="384" t="inlineStr">
        <is>
          <t>ข</t>
        </is>
      </c>
      <c r="E6" s="21" t="inlineStr">
        <is>
          <t>-</t>
        </is>
      </c>
      <c r="F6" s="384" t="inlineStr">
        <is>
          <t>3</t>
        </is>
      </c>
      <c r="G6" s="21" t="inlineStr">
        <is>
          <t>-</t>
        </is>
      </c>
      <c r="H6" s="384" t="inlineStr">
        <is>
          <t>ก</t>
        </is>
      </c>
      <c r="I6" s="21" t="inlineStr">
        <is>
          <t>-</t>
        </is>
      </c>
      <c r="J6" s="384" t="inlineStr">
        <is>
          <t>4</t>
        </is>
      </c>
      <c r="K6" s="21" t="inlineStr">
        <is>
          <t>-</t>
        </is>
      </c>
      <c r="L6" s="384" t="inlineStr">
        <is>
          <t>ค</t>
        </is>
      </c>
      <c r="M6" s="21" t="inlineStr">
        <is>
          <t>-</t>
        </is>
      </c>
      <c r="N6" s="384" t="inlineStr">
        <is>
          <t>1</t>
        </is>
      </c>
      <c r="O6" s="21" t="inlineStr">
        <is>
          <t>-</t>
        </is>
      </c>
      <c r="P6" s="384" t="inlineStr">
        <is>
          <t>ง</t>
        </is>
      </c>
      <c r="Q6" s="21" t="inlineStr">
        <is>
          <t>-</t>
        </is>
      </c>
      <c r="R6" s="384" t="inlineStr">
        <is>
          <t>2</t>
        </is>
      </c>
      <c r="S6" s="21" t="inlineStr">
        <is>
          <t>-</t>
        </is>
      </c>
      <c r="T6" s="384" t="inlineStr">
        <is>
          <t>ข</t>
        </is>
      </c>
      <c r="U6" s="21" t="inlineStr">
        <is>
          <t>-</t>
        </is>
      </c>
      <c r="V6" s="384" t="inlineStr">
        <is>
          <t>4</t>
        </is>
      </c>
      <c r="W6" s="21" t="inlineStr">
        <is>
          <t>-</t>
        </is>
      </c>
      <c r="X6" s="384" t="inlineStr">
        <is>
          <t>ค</t>
        </is>
      </c>
      <c r="Y6" s="21" t="inlineStr">
        <is>
          <t>-</t>
        </is>
      </c>
      <c r="Z6" s="384" t="inlineStr">
        <is>
          <t>2</t>
        </is>
      </c>
      <c r="AA6" s="21" t="inlineStr">
        <is>
          <t>-</t>
        </is>
      </c>
      <c r="AB6" s="384" t="inlineStr">
        <is>
          <t>ก</t>
        </is>
      </c>
      <c r="AC6" s="21" t="inlineStr">
        <is>
          <t>-</t>
        </is>
      </c>
      <c r="AD6" s="384" t="inlineStr">
        <is>
          <t>3</t>
        </is>
      </c>
      <c r="AE6" s="21" t="inlineStr">
        <is>
          <t>-</t>
        </is>
      </c>
      <c r="AF6" s="384" t="inlineStr">
        <is>
          <t>ง</t>
        </is>
      </c>
      <c r="AG6" s="21" t="inlineStr">
        <is>
          <t>-</t>
        </is>
      </c>
      <c r="AH6" s="384" t="inlineStr">
        <is>
          <t>1</t>
        </is>
      </c>
      <c r="AI6" s="21" t="inlineStr">
        <is>
          <t>-</t>
        </is>
      </c>
      <c r="AJ6" s="384" t="inlineStr">
        <is>
          <t>ข</t>
        </is>
      </c>
      <c r="AK6" s="21" t="inlineStr">
        <is>
          <t>-</t>
        </is>
      </c>
      <c r="AL6" s="384" t="inlineStr">
        <is>
          <t>1</t>
        </is>
      </c>
      <c r="AM6" s="21" t="inlineStr">
        <is>
          <t>-</t>
        </is>
      </c>
      <c r="AN6" s="384" t="inlineStr">
        <is>
          <t>ก</t>
        </is>
      </c>
      <c r="AO6" s="21" t="inlineStr">
        <is>
          <t>-</t>
        </is>
      </c>
      <c r="AP6" s="384" t="inlineStr">
        <is>
          <t>3</t>
        </is>
      </c>
      <c r="AQ6" s="21" t="inlineStr">
        <is>
          <t>-</t>
        </is>
      </c>
      <c r="AR6" s="384" t="inlineStr">
        <is>
          <t>ค</t>
        </is>
      </c>
      <c r="AS6" s="21" t="inlineStr">
        <is>
          <t>-</t>
        </is>
      </c>
      <c r="AT6" s="384" t="inlineStr">
        <is>
          <t>4</t>
        </is>
      </c>
      <c r="AU6" s="21" t="inlineStr">
        <is>
          <t>-</t>
        </is>
      </c>
      <c r="AV6" s="384" t="inlineStr">
        <is>
          <t>ง</t>
        </is>
      </c>
      <c r="AW6" s="21" t="inlineStr">
        <is>
          <t>-</t>
        </is>
      </c>
      <c r="AX6" s="384" t="inlineStr">
        <is>
          <t>2</t>
        </is>
      </c>
      <c r="AY6" s="21" t="inlineStr">
        <is>
          <t>-</t>
        </is>
      </c>
      <c r="AZ6" s="384" t="inlineStr">
        <is>
          <t>ข</t>
        </is>
      </c>
      <c r="BA6" s="21" t="inlineStr">
        <is>
          <t>-</t>
        </is>
      </c>
      <c r="BB6" s="384" t="inlineStr">
        <is>
          <t>3</t>
        </is>
      </c>
      <c r="BC6" s="21" t="inlineStr">
        <is>
          <t>-</t>
        </is>
      </c>
      <c r="BD6" s="384" t="inlineStr">
        <is>
          <t>ค</t>
        </is>
      </c>
      <c r="BE6" s="21" t="inlineStr">
        <is>
          <t>-</t>
        </is>
      </c>
      <c r="BF6" s="384" t="inlineStr">
        <is>
          <t>1</t>
        </is>
      </c>
      <c r="BG6" s="21" t="inlineStr">
        <is>
          <t>-</t>
        </is>
      </c>
      <c r="BH6" s="384" t="inlineStr">
        <is>
          <t>ก</t>
        </is>
      </c>
      <c r="BI6" s="21" t="inlineStr">
        <is>
          <t>-</t>
        </is>
      </c>
      <c r="BJ6" s="384" t="inlineStr">
        <is>
          <t>4</t>
        </is>
      </c>
      <c r="BK6" s="21" t="inlineStr">
        <is>
          <t>-</t>
        </is>
      </c>
      <c r="BL6" s="384" t="inlineStr">
        <is>
          <t>ง</t>
        </is>
      </c>
      <c r="BM6" s="21" t="inlineStr">
        <is>
          <t>-</t>
        </is>
      </c>
      <c r="BN6" s="384" t="inlineStr">
        <is>
          <t>2</t>
        </is>
      </c>
      <c r="BO6" s="21" t="inlineStr">
        <is>
          <t>-</t>
        </is>
      </c>
      <c r="BP6" s="384" t="inlineStr">
        <is>
          <t>ข</t>
        </is>
      </c>
      <c r="BQ6" s="21" t="inlineStr">
        <is>
          <t>-</t>
        </is>
      </c>
      <c r="BR6" s="384" t="inlineStr">
        <is>
          <t>4</t>
        </is>
      </c>
      <c r="BS6" s="21" t="inlineStr">
        <is>
          <t>-</t>
        </is>
      </c>
      <c r="BT6" s="384" t="inlineStr">
        <is>
          <t>ค</t>
        </is>
      </c>
      <c r="BU6" s="21" t="inlineStr">
        <is>
          <t>-</t>
        </is>
      </c>
      <c r="BV6" s="384" t="inlineStr">
        <is>
          <t>2</t>
        </is>
      </c>
      <c r="BW6" s="21" t="inlineStr">
        <is>
          <t>-</t>
        </is>
      </c>
      <c r="BX6" s="384" t="inlineStr">
        <is>
          <t>ก</t>
        </is>
      </c>
      <c r="BY6" s="21" t="inlineStr">
        <is>
          <t>-</t>
        </is>
      </c>
      <c r="BZ6" s="384" t="inlineStr">
        <is>
          <t>3</t>
        </is>
      </c>
      <c r="CA6" s="21" t="inlineStr">
        <is>
          <t>-</t>
        </is>
      </c>
      <c r="CB6" s="384" t="inlineStr">
        <is>
          <t>ง</t>
        </is>
      </c>
      <c r="CC6" s="21" t="inlineStr">
        <is>
          <t>-</t>
        </is>
      </c>
      <c r="CD6" s="384" t="inlineStr">
        <is>
          <t>1</t>
        </is>
      </c>
      <c r="CE6" s="21" t="inlineStr">
        <is>
          <t>-</t>
        </is>
      </c>
    </row>
    <row r="7" ht="15.75" customHeight="1">
      <c r="B7" s="46">
        <f>'📥 ข้อมูลนักเรียน'!B4</f>
        <v/>
      </c>
      <c r="C7" s="47">
        <f>'📥 ข้อมูลนักเรียน'!C4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</row>
    <row r="8" ht="15.75" customHeight="1">
      <c r="B8" s="46">
        <f>'📥 ข้อมูลนักเรียน'!B5</f>
        <v/>
      </c>
      <c r="C8" s="51">
        <f>'📥 ข้อมูลนักเรียน'!C5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</row>
    <row r="9" ht="15.75" customHeight="1">
      <c r="B9" s="46">
        <f>'📥 ข้อมูลนักเรียน'!B6</f>
        <v/>
      </c>
      <c r="C9" s="47">
        <f>'📥 ข้อมูลนักเรียน'!C6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</row>
    <row r="10" ht="15.75" customHeight="1">
      <c r="B10" s="46">
        <f>'📥 ข้อมูลนักเรียน'!B7</f>
        <v/>
      </c>
      <c r="C10" s="51">
        <f>'📥 ข้อมูลนักเรียน'!C7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</row>
    <row r="11" ht="15.75" customHeight="1">
      <c r="B11" s="46">
        <f>'📥 ข้อมูลนักเรียน'!B8</f>
        <v/>
      </c>
      <c r="C11" s="47">
        <f>'📥 ข้อมูลนักเรียน'!C8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</row>
    <row r="12" ht="15.75" customHeight="1">
      <c r="B12" s="46">
        <f>'📥 ข้อมูลนักเรียน'!B9</f>
        <v/>
      </c>
      <c r="C12" s="51">
        <f>'📥 ข้อมูลนักเรียน'!C9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</row>
    <row r="13" ht="15.75" customHeight="1">
      <c r="B13" s="46">
        <f>'📥 ข้อมูลนักเรียน'!B10</f>
        <v/>
      </c>
      <c r="C13" s="47">
        <f>'📥 ข้อมูลนักเรียน'!C10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</row>
    <row r="14" ht="15.75" customHeight="1">
      <c r="B14" s="46">
        <f>'📥 ข้อมูลนักเรียน'!B11</f>
        <v/>
      </c>
      <c r="C14" s="51">
        <f>'📥 ข้อมูลนักเรียน'!C11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</row>
    <row r="15" ht="15.75" customHeight="1">
      <c r="B15" s="46">
        <f>'📥 ข้อมูลนักเรียน'!B12</f>
        <v/>
      </c>
      <c r="C15" s="47">
        <f>'📥 ข้อมูลนักเรียน'!C12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</row>
    <row r="16" ht="15.75" customHeight="1">
      <c r="B16" s="46">
        <f>'📥 ข้อมูลนักเรียน'!B13</f>
        <v/>
      </c>
      <c r="C16" s="51">
        <f>'📥 ข้อมูลนักเรียน'!C13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</row>
    <row r="17" ht="15.75" customHeight="1">
      <c r="B17" s="46">
        <f>'📥 ข้อมูลนักเรียน'!B14</f>
        <v/>
      </c>
      <c r="C17" s="47">
        <f>'📥 ข้อมูลนักเรียน'!C14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</row>
    <row r="18" ht="15.75" customHeight="1">
      <c r="B18" s="46">
        <f>'📥 ข้อมูลนักเรียน'!B15</f>
        <v/>
      </c>
      <c r="C18" s="51">
        <f>'📥 ข้อมูลนักเรียน'!C15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</row>
    <row r="19" ht="15.75" customHeight="1">
      <c r="B19" s="46">
        <f>'📥 ข้อมูลนักเรียน'!B16</f>
        <v/>
      </c>
      <c r="C19" s="47">
        <f>'📥 ข้อมูลนักเรียน'!C16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</row>
    <row r="20" ht="15.75" customHeight="1">
      <c r="B20" s="46">
        <f>'📥 ข้อมูลนักเรียน'!B17</f>
        <v/>
      </c>
      <c r="C20" s="51">
        <f>'📥 ข้อมูลนักเรียน'!C17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</row>
    <row r="21" ht="15.75" customHeight="1">
      <c r="B21" s="46">
        <f>'📥 ข้อมูลนักเรียน'!B18</f>
        <v/>
      </c>
      <c r="C21" s="47">
        <f>'📥 ข้อมูลนักเรียน'!C18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</row>
    <row r="22" ht="15.75" customHeight="1">
      <c r="B22" s="46">
        <f>'📥 ข้อมูลนักเรียน'!B19</f>
        <v/>
      </c>
      <c r="C22" s="51">
        <f>'📥 ข้อมูลนักเรียน'!C19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</row>
    <row r="23" ht="15.75" customHeight="1">
      <c r="B23" s="46">
        <f>'📥 ข้อมูลนักเรียน'!B20</f>
        <v/>
      </c>
      <c r="C23" s="47">
        <f>'📥 ข้อมูลนักเรียน'!C20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</row>
    <row r="24" ht="15.75" customHeight="1">
      <c r="B24" s="46">
        <f>'📥 ข้อมูลนักเรียน'!B21</f>
        <v/>
      </c>
      <c r="C24" s="51">
        <f>'📥 ข้อมูลนักเรียน'!C21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</row>
    <row r="25" ht="15.75" customHeight="1">
      <c r="B25" s="46">
        <f>'📥 ข้อมูลนักเรียน'!B22</f>
        <v/>
      </c>
      <c r="C25" s="47">
        <f>'📥 ข้อมูลนักเรียน'!C22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</row>
    <row r="26" ht="15.75" customHeight="1">
      <c r="B26" s="46">
        <f>'📥 ข้อมูลนักเรียน'!B23</f>
        <v/>
      </c>
      <c r="C26" s="51">
        <f>'📥 ข้อมูลนักเรียน'!C23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</row>
    <row r="27" ht="15.75" customHeight="1">
      <c r="B27" s="46">
        <f>'📥 ข้อมูลนักเรียน'!B24</f>
        <v/>
      </c>
      <c r="C27" s="47">
        <f>'📥 ข้อมูลนักเรียน'!C24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</row>
    <row r="28" ht="15.75" customHeight="1">
      <c r="B28" s="46">
        <f>'📥 ข้อมูลนักเรียน'!B25</f>
        <v/>
      </c>
      <c r="C28" s="51">
        <f>'📥 ข้อมูลนักเรียน'!C25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</row>
    <row r="29" ht="15.75" customHeight="1">
      <c r="B29" s="46">
        <f>'📥 ข้อมูลนักเรียน'!B26</f>
        <v/>
      </c>
      <c r="C29" s="47">
        <f>'📥 ข้อมูลนักเรียน'!C26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</row>
    <row r="30" ht="15.75" customHeight="1">
      <c r="B30" s="46">
        <f>'📥 ข้อมูลนักเรียน'!B27</f>
        <v/>
      </c>
      <c r="C30" s="51">
        <f>'📥 ข้อมูลนักเรียน'!C27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</row>
    <row r="31" ht="15.75" customHeight="1">
      <c r="B31" s="46">
        <f>'📥 ข้อมูลนักเรียน'!B28</f>
        <v/>
      </c>
      <c r="C31" s="47">
        <f>'📥 ข้อมูลนักเรียน'!C28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</row>
    <row r="32" ht="15.75" customHeight="1">
      <c r="B32" s="46">
        <f>'📥 ข้อมูลนักเรียน'!B29</f>
        <v/>
      </c>
      <c r="C32" s="51">
        <f>'📥 ข้อมูลนักเรียน'!C29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</row>
    <row r="33" ht="15.75" customHeight="1">
      <c r="B33" s="46">
        <f>'📥 ข้อมูลนักเรียน'!B30</f>
        <v/>
      </c>
      <c r="C33" s="47">
        <f>'📥 ข้อมูลนักเรียน'!C30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</row>
    <row r="34" ht="15.75" customHeight="1">
      <c r="B34" s="46">
        <f>'📥 ข้อมูลนักเรียน'!B31</f>
        <v/>
      </c>
      <c r="C34" s="51">
        <f>'📥 ข้อมูลนักเรียน'!C31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</row>
    <row r="35" ht="15.75" customHeight="1">
      <c r="B35" s="46">
        <f>'📥 ข้อมูลนักเรียน'!B32</f>
        <v/>
      </c>
      <c r="C35" s="47">
        <f>'📥 ข้อมูลนักเรียน'!C32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</row>
    <row r="36" ht="15.75" customHeight="1">
      <c r="B36" s="46">
        <f>'📥 ข้อมูลนักเรียน'!B33</f>
        <v/>
      </c>
      <c r="C36" s="51">
        <f>'📥 ข้อมูลนักเรียน'!C33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</row>
    <row r="37" ht="15.75" customHeight="1">
      <c r="B37" s="46">
        <f>'📥 ข้อมูลนักเรียน'!B34</f>
        <v/>
      </c>
      <c r="C37" s="47">
        <f>'📥 ข้อมูลนักเรียน'!C34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</row>
    <row r="38" ht="15.75" customHeight="1">
      <c r="B38" s="46">
        <f>'📥 ข้อมูลนักเรียน'!B35</f>
        <v/>
      </c>
      <c r="C38" s="51">
        <f>'📥 ข้อมูลนักเรียน'!C35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</row>
    <row r="39" ht="15.75" customHeight="1">
      <c r="B39" s="46">
        <f>'📥 ข้อมูลนักเรียน'!B36</f>
        <v/>
      </c>
      <c r="C39" s="47">
        <f>'📥 ข้อมูลนักเรียน'!C36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</row>
    <row r="40" ht="15.75" customHeight="1">
      <c r="B40" s="46">
        <f>'📥 ข้อมูลนักเรียน'!B37</f>
        <v/>
      </c>
      <c r="C40" s="51">
        <f>'📥 ข้อมูลนักเรียน'!C37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</row>
    <row r="41" ht="15.75" customHeight="1">
      <c r="B41" s="46">
        <f>'📥 ข้อมูลนักเรียน'!B38</f>
        <v/>
      </c>
      <c r="C41" s="47">
        <f>'📥 ข้อมูลนักเรียน'!C38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</row>
    <row r="42" ht="15.75" customHeight="1">
      <c r="B42" s="46">
        <f>'📥 ข้อมูลนักเรียน'!B39</f>
        <v/>
      </c>
      <c r="C42" s="51">
        <f>'📥 ข้อมูลนักเรียน'!C39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</row>
    <row r="43" ht="15.75" customHeight="1">
      <c r="B43" s="46">
        <f>'📥 ข้อมูลนักเรียน'!B40</f>
        <v/>
      </c>
      <c r="C43" s="47">
        <f>'📥 ข้อมูลนักเรียน'!C40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</row>
    <row r="44" ht="15.75" customHeight="1">
      <c r="B44" s="46">
        <f>'📥 ข้อมูลนักเรียน'!B41</f>
        <v/>
      </c>
      <c r="C44" s="51">
        <f>'📥 ข้อมูลนักเรียน'!C41</f>
        <v/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</row>
    <row r="45" ht="15.75" customHeight="1">
      <c r="B45" s="46">
        <f>'📥 ข้อมูลนักเรียน'!B42</f>
        <v/>
      </c>
      <c r="C45" s="47">
        <f>'📥 ข้อมูลนักเรียน'!C42</f>
        <v/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</row>
    <row r="46" ht="15.75" customHeight="1">
      <c r="B46" s="46">
        <f>'📥 ข้อมูลนักเรียน'!B43</f>
        <v/>
      </c>
      <c r="C46" s="51">
        <f>'📥 ข้อมูลนักเรียน'!C43</f>
        <v/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</row>
    <row r="48" ht="24" customHeight="1">
      <c r="B48" s="255" t="inlineStr">
        <is>
          <t>🟢 Post-test — กรอกคำตอบ Tier 1–4 ของนักเรียนแต่ละคน</t>
        </is>
      </c>
    </row>
    <row r="49" ht="18" customHeight="1">
      <c r="B49" s="62" t="inlineStr">
        <is>
          <t>ที่</t>
        </is>
      </c>
      <c r="C49" s="62" t="inlineStr">
        <is>
          <t>ชื่อนักเรียน</t>
        </is>
      </c>
      <c r="D49" s="256" t="inlineStr">
        <is>
          <t>ข้อ 1</t>
        </is>
      </c>
      <c r="E49" s="369" t="n"/>
      <c r="F49" s="369" t="n"/>
      <c r="G49" s="369" t="n"/>
      <c r="H49" s="256" t="inlineStr">
        <is>
          <t>ข้อ 2</t>
        </is>
      </c>
      <c r="I49" s="369" t="n"/>
      <c r="J49" s="369" t="n"/>
      <c r="K49" s="369" t="n"/>
      <c r="L49" s="256" t="inlineStr">
        <is>
          <t>ข้อ 3</t>
        </is>
      </c>
      <c r="M49" s="369" t="n"/>
      <c r="N49" s="369" t="n"/>
      <c r="O49" s="369" t="n"/>
      <c r="P49" s="256" t="inlineStr">
        <is>
          <t>ข้อ 4</t>
        </is>
      </c>
      <c r="Q49" s="369" t="n"/>
      <c r="R49" s="369" t="n"/>
      <c r="S49" s="369" t="n"/>
      <c r="T49" s="256" t="inlineStr">
        <is>
          <t>ข้อ 5</t>
        </is>
      </c>
      <c r="U49" s="369" t="n"/>
      <c r="V49" s="369" t="n"/>
      <c r="W49" s="369" t="n"/>
      <c r="X49" s="256" t="inlineStr">
        <is>
          <t>ข้อ 6</t>
        </is>
      </c>
      <c r="Y49" s="369" t="n"/>
      <c r="Z49" s="369" t="n"/>
      <c r="AA49" s="369" t="n"/>
      <c r="AB49" s="256" t="inlineStr">
        <is>
          <t>ข้อ 7</t>
        </is>
      </c>
      <c r="AC49" s="369" t="n"/>
      <c r="AD49" s="369" t="n"/>
      <c r="AE49" s="369" t="n"/>
      <c r="AF49" s="256" t="inlineStr">
        <is>
          <t>ข้อ 8</t>
        </is>
      </c>
      <c r="AG49" s="369" t="n"/>
      <c r="AH49" s="369" t="n"/>
      <c r="AI49" s="369" t="n"/>
      <c r="AJ49" s="256" t="inlineStr">
        <is>
          <t>ข้อ 9</t>
        </is>
      </c>
      <c r="AK49" s="369" t="n"/>
      <c r="AL49" s="369" t="n"/>
      <c r="AM49" s="369" t="n"/>
      <c r="AN49" s="256" t="inlineStr">
        <is>
          <t>ข้อ 10</t>
        </is>
      </c>
      <c r="AO49" s="369" t="n"/>
      <c r="AP49" s="369" t="n"/>
      <c r="AQ49" s="369" t="n"/>
      <c r="AR49" s="256" t="inlineStr">
        <is>
          <t>ข้อ 11</t>
        </is>
      </c>
      <c r="AS49" s="369" t="n"/>
      <c r="AT49" s="369" t="n"/>
      <c r="AU49" s="369" t="n"/>
      <c r="AV49" s="256" t="inlineStr">
        <is>
          <t>ข้อ 12</t>
        </is>
      </c>
      <c r="AW49" s="369" t="n"/>
      <c r="AX49" s="369" t="n"/>
      <c r="AY49" s="369" t="n"/>
      <c r="AZ49" s="256" t="inlineStr">
        <is>
          <t>ข้อ 13</t>
        </is>
      </c>
      <c r="BA49" s="369" t="n"/>
      <c r="BB49" s="369" t="n"/>
      <c r="BC49" s="369" t="n"/>
      <c r="BD49" s="256" t="inlineStr">
        <is>
          <t>ข้อ 14</t>
        </is>
      </c>
      <c r="BE49" s="369" t="n"/>
      <c r="BF49" s="369" t="n"/>
      <c r="BG49" s="369" t="n"/>
      <c r="BH49" s="256" t="inlineStr">
        <is>
          <t>ข้อ 15</t>
        </is>
      </c>
      <c r="BI49" s="369" t="n"/>
      <c r="BJ49" s="369" t="n"/>
      <c r="BK49" s="369" t="n"/>
      <c r="BL49" s="256" t="inlineStr">
        <is>
          <t>ข้อ 16</t>
        </is>
      </c>
      <c r="BM49" s="369" t="n"/>
      <c r="BN49" s="369" t="n"/>
      <c r="BO49" s="369" t="n"/>
      <c r="BP49" s="256" t="inlineStr">
        <is>
          <t>ข้อ 17</t>
        </is>
      </c>
      <c r="BQ49" s="369" t="n"/>
      <c r="BR49" s="369" t="n"/>
      <c r="BS49" s="369" t="n"/>
      <c r="BT49" s="256" t="inlineStr">
        <is>
          <t>ข้อ 18</t>
        </is>
      </c>
      <c r="BU49" s="369" t="n"/>
      <c r="BV49" s="369" t="n"/>
      <c r="BW49" s="369" t="n"/>
      <c r="BX49" s="256" t="inlineStr">
        <is>
          <t>ข้อ 19</t>
        </is>
      </c>
      <c r="BY49" s="369" t="n"/>
      <c r="BZ49" s="369" t="n"/>
      <c r="CA49" s="369" t="n"/>
      <c r="CB49" s="256" t="inlineStr">
        <is>
          <t>ข้อ 20</t>
        </is>
      </c>
      <c r="CC49" s="369" t="n"/>
      <c r="CD49" s="369" t="n"/>
      <c r="CE49" s="369" t="n"/>
    </row>
    <row r="50" ht="30" customHeight="1">
      <c r="B50" s="29" t="inlineStr">
        <is>
          <t>ที่</t>
        </is>
      </c>
      <c r="C50" s="29" t="inlineStr">
        <is>
          <t>ชื่อนักเรียน</t>
        </is>
      </c>
      <c r="D50" s="63" t="inlineStr">
        <is>
          <t>T1
คำตอบ</t>
        </is>
      </c>
      <c r="E50" s="63" t="inlineStr">
        <is>
          <t>T2
มั่นใจ</t>
        </is>
      </c>
      <c r="F50" s="63" t="inlineStr">
        <is>
          <t>T3
เหตุผล</t>
        </is>
      </c>
      <c r="G50" s="63" t="inlineStr">
        <is>
          <t>T4
มั่นใจ</t>
        </is>
      </c>
      <c r="H50" s="63" t="inlineStr">
        <is>
          <t>T1
คำตอบ</t>
        </is>
      </c>
      <c r="I50" s="63" t="inlineStr">
        <is>
          <t>T2
มั่นใจ</t>
        </is>
      </c>
      <c r="J50" s="63" t="inlineStr">
        <is>
          <t>T3
เหตุผล</t>
        </is>
      </c>
      <c r="K50" s="63" t="inlineStr">
        <is>
          <t>T4
มั่นใจ</t>
        </is>
      </c>
      <c r="L50" s="63" t="inlineStr">
        <is>
          <t>T1
คำตอบ</t>
        </is>
      </c>
      <c r="M50" s="63" t="inlineStr">
        <is>
          <t>T2
มั่นใจ</t>
        </is>
      </c>
      <c r="N50" s="63" t="inlineStr">
        <is>
          <t>T3
เหตุผล</t>
        </is>
      </c>
      <c r="O50" s="63" t="inlineStr">
        <is>
          <t>T4
มั่นใจ</t>
        </is>
      </c>
      <c r="P50" s="63" t="inlineStr">
        <is>
          <t>T1
คำตอบ</t>
        </is>
      </c>
      <c r="Q50" s="63" t="inlineStr">
        <is>
          <t>T2
มั่นใจ</t>
        </is>
      </c>
      <c r="R50" s="63" t="inlineStr">
        <is>
          <t>T3
เหตุผล</t>
        </is>
      </c>
      <c r="S50" s="63" t="inlineStr">
        <is>
          <t>T4
มั่นใจ</t>
        </is>
      </c>
      <c r="T50" s="63" t="inlineStr">
        <is>
          <t>T1
คำตอบ</t>
        </is>
      </c>
      <c r="U50" s="63" t="inlineStr">
        <is>
          <t>T2
มั่นใจ</t>
        </is>
      </c>
      <c r="V50" s="63" t="inlineStr">
        <is>
          <t>T3
เหตุผล</t>
        </is>
      </c>
      <c r="W50" s="63" t="inlineStr">
        <is>
          <t>T4
มั่นใจ</t>
        </is>
      </c>
      <c r="X50" s="63" t="inlineStr">
        <is>
          <t>T1
คำตอบ</t>
        </is>
      </c>
      <c r="Y50" s="63" t="inlineStr">
        <is>
          <t>T2
มั่นใจ</t>
        </is>
      </c>
      <c r="Z50" s="63" t="inlineStr">
        <is>
          <t>T3
เหตุผล</t>
        </is>
      </c>
      <c r="AA50" s="63" t="inlineStr">
        <is>
          <t>T4
มั่นใจ</t>
        </is>
      </c>
      <c r="AB50" s="63" t="inlineStr">
        <is>
          <t>T1
คำตอบ</t>
        </is>
      </c>
      <c r="AC50" s="63" t="inlineStr">
        <is>
          <t>T2
มั่นใจ</t>
        </is>
      </c>
      <c r="AD50" s="63" t="inlineStr">
        <is>
          <t>T3
เหตุผล</t>
        </is>
      </c>
      <c r="AE50" s="63" t="inlineStr">
        <is>
          <t>T4
มั่นใจ</t>
        </is>
      </c>
      <c r="AF50" s="63" t="inlineStr">
        <is>
          <t>T1
คำตอบ</t>
        </is>
      </c>
      <c r="AG50" s="63" t="inlineStr">
        <is>
          <t>T2
มั่นใจ</t>
        </is>
      </c>
      <c r="AH50" s="63" t="inlineStr">
        <is>
          <t>T3
เหตุผล</t>
        </is>
      </c>
      <c r="AI50" s="63" t="inlineStr">
        <is>
          <t>T4
มั่นใจ</t>
        </is>
      </c>
      <c r="AJ50" s="63" t="inlineStr">
        <is>
          <t>T1
คำตอบ</t>
        </is>
      </c>
      <c r="AK50" s="63" t="inlineStr">
        <is>
          <t>T2
มั่นใจ</t>
        </is>
      </c>
      <c r="AL50" s="63" t="inlineStr">
        <is>
          <t>T3
เหตุผล</t>
        </is>
      </c>
      <c r="AM50" s="63" t="inlineStr">
        <is>
          <t>T4
มั่นใจ</t>
        </is>
      </c>
      <c r="AN50" s="63" t="inlineStr">
        <is>
          <t>T1
คำตอบ</t>
        </is>
      </c>
      <c r="AO50" s="63" t="inlineStr">
        <is>
          <t>T2
มั่นใจ</t>
        </is>
      </c>
      <c r="AP50" s="63" t="inlineStr">
        <is>
          <t>T3
เหตุผล</t>
        </is>
      </c>
      <c r="AQ50" s="63" t="inlineStr">
        <is>
          <t>T4
มั่นใจ</t>
        </is>
      </c>
      <c r="AR50" s="63" t="inlineStr">
        <is>
          <t>T1
คำตอบ</t>
        </is>
      </c>
      <c r="AS50" s="63" t="inlineStr">
        <is>
          <t>T2
มั่นใจ</t>
        </is>
      </c>
      <c r="AT50" s="63" t="inlineStr">
        <is>
          <t>T3
เหตุผล</t>
        </is>
      </c>
      <c r="AU50" s="63" t="inlineStr">
        <is>
          <t>T4
มั่นใจ</t>
        </is>
      </c>
      <c r="AV50" s="63" t="inlineStr">
        <is>
          <t>T1
คำตอบ</t>
        </is>
      </c>
      <c r="AW50" s="63" t="inlineStr">
        <is>
          <t>T2
มั่นใจ</t>
        </is>
      </c>
      <c r="AX50" s="63" t="inlineStr">
        <is>
          <t>T3
เหตุผล</t>
        </is>
      </c>
      <c r="AY50" s="63" t="inlineStr">
        <is>
          <t>T4
มั่นใจ</t>
        </is>
      </c>
      <c r="AZ50" s="63" t="inlineStr">
        <is>
          <t>T1
คำตอบ</t>
        </is>
      </c>
      <c r="BA50" s="63" t="inlineStr">
        <is>
          <t>T2
มั่นใจ</t>
        </is>
      </c>
      <c r="BB50" s="63" t="inlineStr">
        <is>
          <t>T3
เหตุผล</t>
        </is>
      </c>
      <c r="BC50" s="63" t="inlineStr">
        <is>
          <t>T4
มั่นใจ</t>
        </is>
      </c>
      <c r="BD50" s="63" t="inlineStr">
        <is>
          <t>T1
คำตอบ</t>
        </is>
      </c>
      <c r="BE50" s="63" t="inlineStr">
        <is>
          <t>T2
มั่นใจ</t>
        </is>
      </c>
      <c r="BF50" s="63" t="inlineStr">
        <is>
          <t>T3
เหตุผล</t>
        </is>
      </c>
      <c r="BG50" s="63" t="inlineStr">
        <is>
          <t>T4
มั่นใจ</t>
        </is>
      </c>
      <c r="BH50" s="63" t="inlineStr">
        <is>
          <t>T1
คำตอบ</t>
        </is>
      </c>
      <c r="BI50" s="63" t="inlineStr">
        <is>
          <t>T2
มั่นใจ</t>
        </is>
      </c>
      <c r="BJ50" s="63" t="inlineStr">
        <is>
          <t>T3
เหตุผล</t>
        </is>
      </c>
      <c r="BK50" s="63" t="inlineStr">
        <is>
          <t>T4
มั่นใจ</t>
        </is>
      </c>
      <c r="BL50" s="63" t="inlineStr">
        <is>
          <t>T1
คำตอบ</t>
        </is>
      </c>
      <c r="BM50" s="63" t="inlineStr">
        <is>
          <t>T2
มั่นใจ</t>
        </is>
      </c>
      <c r="BN50" s="63" t="inlineStr">
        <is>
          <t>T3
เหตุผล</t>
        </is>
      </c>
      <c r="BO50" s="63" t="inlineStr">
        <is>
          <t>T4
มั่นใจ</t>
        </is>
      </c>
      <c r="BP50" s="63" t="inlineStr">
        <is>
          <t>T1
คำตอบ</t>
        </is>
      </c>
      <c r="BQ50" s="63" t="inlineStr">
        <is>
          <t>T2
มั่นใจ</t>
        </is>
      </c>
      <c r="BR50" s="63" t="inlineStr">
        <is>
          <t>T3
เหตุผล</t>
        </is>
      </c>
      <c r="BS50" s="63" t="inlineStr">
        <is>
          <t>T4
มั่นใจ</t>
        </is>
      </c>
      <c r="BT50" s="63" t="inlineStr">
        <is>
          <t>T1
คำตอบ</t>
        </is>
      </c>
      <c r="BU50" s="63" t="inlineStr">
        <is>
          <t>T2
มั่นใจ</t>
        </is>
      </c>
      <c r="BV50" s="63" t="inlineStr">
        <is>
          <t>T3
เหตุผล</t>
        </is>
      </c>
      <c r="BW50" s="63" t="inlineStr">
        <is>
          <t>T4
มั่นใจ</t>
        </is>
      </c>
      <c r="BX50" s="63" t="inlineStr">
        <is>
          <t>T1
คำตอบ</t>
        </is>
      </c>
      <c r="BY50" s="63" t="inlineStr">
        <is>
          <t>T2
มั่นใจ</t>
        </is>
      </c>
      <c r="BZ50" s="63" t="inlineStr">
        <is>
          <t>T3
เหตุผล</t>
        </is>
      </c>
      <c r="CA50" s="63" t="inlineStr">
        <is>
          <t>T4
มั่นใจ</t>
        </is>
      </c>
      <c r="CB50" s="63" t="inlineStr">
        <is>
          <t>T1
คำตอบ</t>
        </is>
      </c>
      <c r="CC50" s="63" t="inlineStr">
        <is>
          <t>T2
มั่นใจ</t>
        </is>
      </c>
      <c r="CD50" s="63" t="inlineStr">
        <is>
          <t>T3
เหตุผล</t>
        </is>
      </c>
      <c r="CE50" s="63" t="inlineStr">
        <is>
          <t>T4
มั่นใจ</t>
        </is>
      </c>
    </row>
    <row r="51" ht="18" customHeight="1">
      <c r="B51" s="44" t="inlineStr">
        <is>
          <t>KEY</t>
        </is>
      </c>
      <c r="C51" s="45" t="inlineStr">
        <is>
          <t>← กรอกเฉลยที่ถูกต้อง (T1 &amp; T3)</t>
        </is>
      </c>
      <c r="D51" s="384" t="inlineStr">
        <is>
          <t>ข</t>
        </is>
      </c>
      <c r="E51" s="21" t="inlineStr">
        <is>
          <t>-</t>
        </is>
      </c>
      <c r="F51" s="384" t="inlineStr">
        <is>
          <t>3</t>
        </is>
      </c>
      <c r="G51" s="21" t="inlineStr">
        <is>
          <t>-</t>
        </is>
      </c>
      <c r="H51" s="384" t="inlineStr">
        <is>
          <t>ก</t>
        </is>
      </c>
      <c r="I51" s="21" t="inlineStr">
        <is>
          <t>-</t>
        </is>
      </c>
      <c r="J51" s="384" t="inlineStr">
        <is>
          <t>4</t>
        </is>
      </c>
      <c r="K51" s="21" t="inlineStr">
        <is>
          <t>-</t>
        </is>
      </c>
      <c r="L51" s="384" t="inlineStr">
        <is>
          <t>ค</t>
        </is>
      </c>
      <c r="M51" s="21" t="inlineStr">
        <is>
          <t>-</t>
        </is>
      </c>
      <c r="N51" s="384" t="inlineStr">
        <is>
          <t>1</t>
        </is>
      </c>
      <c r="O51" s="21" t="inlineStr">
        <is>
          <t>-</t>
        </is>
      </c>
      <c r="P51" s="384" t="inlineStr">
        <is>
          <t>ง</t>
        </is>
      </c>
      <c r="Q51" s="21" t="inlineStr">
        <is>
          <t>-</t>
        </is>
      </c>
      <c r="R51" s="384" t="inlineStr">
        <is>
          <t>2</t>
        </is>
      </c>
      <c r="S51" s="21" t="inlineStr">
        <is>
          <t>-</t>
        </is>
      </c>
      <c r="T51" s="384" t="inlineStr">
        <is>
          <t>ข</t>
        </is>
      </c>
      <c r="U51" s="21" t="inlineStr">
        <is>
          <t>-</t>
        </is>
      </c>
      <c r="V51" s="384" t="inlineStr">
        <is>
          <t>4</t>
        </is>
      </c>
      <c r="W51" s="21" t="inlineStr">
        <is>
          <t>-</t>
        </is>
      </c>
      <c r="X51" s="384" t="inlineStr">
        <is>
          <t>ค</t>
        </is>
      </c>
      <c r="Y51" s="21" t="inlineStr">
        <is>
          <t>-</t>
        </is>
      </c>
      <c r="Z51" s="384" t="inlineStr">
        <is>
          <t>2</t>
        </is>
      </c>
      <c r="AA51" s="21" t="inlineStr">
        <is>
          <t>-</t>
        </is>
      </c>
      <c r="AB51" s="384" t="inlineStr">
        <is>
          <t>ก</t>
        </is>
      </c>
      <c r="AC51" s="21" t="inlineStr">
        <is>
          <t>-</t>
        </is>
      </c>
      <c r="AD51" s="384" t="inlineStr">
        <is>
          <t>3</t>
        </is>
      </c>
      <c r="AE51" s="21" t="inlineStr">
        <is>
          <t>-</t>
        </is>
      </c>
      <c r="AF51" s="384" t="inlineStr">
        <is>
          <t>ง</t>
        </is>
      </c>
      <c r="AG51" s="21" t="inlineStr">
        <is>
          <t>-</t>
        </is>
      </c>
      <c r="AH51" s="384" t="inlineStr">
        <is>
          <t>1</t>
        </is>
      </c>
      <c r="AI51" s="21" t="inlineStr">
        <is>
          <t>-</t>
        </is>
      </c>
      <c r="AJ51" s="384" t="inlineStr">
        <is>
          <t>ข</t>
        </is>
      </c>
      <c r="AK51" s="21" t="inlineStr">
        <is>
          <t>-</t>
        </is>
      </c>
      <c r="AL51" s="384" t="inlineStr">
        <is>
          <t>1</t>
        </is>
      </c>
      <c r="AM51" s="21" t="inlineStr">
        <is>
          <t>-</t>
        </is>
      </c>
      <c r="AN51" s="384" t="inlineStr">
        <is>
          <t>ก</t>
        </is>
      </c>
      <c r="AO51" s="21" t="inlineStr">
        <is>
          <t>-</t>
        </is>
      </c>
      <c r="AP51" s="384" t="inlineStr">
        <is>
          <t>3</t>
        </is>
      </c>
      <c r="AQ51" s="21" t="inlineStr">
        <is>
          <t>-</t>
        </is>
      </c>
      <c r="AR51" s="384" t="inlineStr">
        <is>
          <t>ค</t>
        </is>
      </c>
      <c r="AS51" s="21" t="inlineStr">
        <is>
          <t>-</t>
        </is>
      </c>
      <c r="AT51" s="384" t="inlineStr">
        <is>
          <t>4</t>
        </is>
      </c>
      <c r="AU51" s="21" t="inlineStr">
        <is>
          <t>-</t>
        </is>
      </c>
      <c r="AV51" s="384" t="inlineStr">
        <is>
          <t>ง</t>
        </is>
      </c>
      <c r="AW51" s="21" t="inlineStr">
        <is>
          <t>-</t>
        </is>
      </c>
      <c r="AX51" s="384" t="inlineStr">
        <is>
          <t>2</t>
        </is>
      </c>
      <c r="AY51" s="21" t="inlineStr">
        <is>
          <t>-</t>
        </is>
      </c>
      <c r="AZ51" s="384" t="inlineStr">
        <is>
          <t>ข</t>
        </is>
      </c>
      <c r="BA51" s="21" t="inlineStr">
        <is>
          <t>-</t>
        </is>
      </c>
      <c r="BB51" s="384" t="inlineStr">
        <is>
          <t>3</t>
        </is>
      </c>
      <c r="BC51" s="21" t="inlineStr">
        <is>
          <t>-</t>
        </is>
      </c>
      <c r="BD51" s="384" t="inlineStr">
        <is>
          <t>ค</t>
        </is>
      </c>
      <c r="BE51" s="21" t="inlineStr">
        <is>
          <t>-</t>
        </is>
      </c>
      <c r="BF51" s="384" t="inlineStr">
        <is>
          <t>1</t>
        </is>
      </c>
      <c r="BG51" s="21" t="inlineStr">
        <is>
          <t>-</t>
        </is>
      </c>
      <c r="BH51" s="384" t="inlineStr">
        <is>
          <t>ก</t>
        </is>
      </c>
      <c r="BI51" s="21" t="inlineStr">
        <is>
          <t>-</t>
        </is>
      </c>
      <c r="BJ51" s="384" t="inlineStr">
        <is>
          <t>4</t>
        </is>
      </c>
      <c r="BK51" s="21" t="inlineStr">
        <is>
          <t>-</t>
        </is>
      </c>
      <c r="BL51" s="384" t="inlineStr">
        <is>
          <t>ง</t>
        </is>
      </c>
      <c r="BM51" s="21" t="inlineStr">
        <is>
          <t>-</t>
        </is>
      </c>
      <c r="BN51" s="384" t="inlineStr">
        <is>
          <t>2</t>
        </is>
      </c>
      <c r="BO51" s="21" t="inlineStr">
        <is>
          <t>-</t>
        </is>
      </c>
      <c r="BP51" s="384" t="inlineStr">
        <is>
          <t>ข</t>
        </is>
      </c>
      <c r="BQ51" s="21" t="inlineStr">
        <is>
          <t>-</t>
        </is>
      </c>
      <c r="BR51" s="384" t="inlineStr">
        <is>
          <t>4</t>
        </is>
      </c>
      <c r="BS51" s="21" t="inlineStr">
        <is>
          <t>-</t>
        </is>
      </c>
      <c r="BT51" s="384" t="inlineStr">
        <is>
          <t>ค</t>
        </is>
      </c>
      <c r="BU51" s="21" t="inlineStr">
        <is>
          <t>-</t>
        </is>
      </c>
      <c r="BV51" s="384" t="inlineStr">
        <is>
          <t>2</t>
        </is>
      </c>
      <c r="BW51" s="21" t="inlineStr">
        <is>
          <t>-</t>
        </is>
      </c>
      <c r="BX51" s="384" t="inlineStr">
        <is>
          <t>ก</t>
        </is>
      </c>
      <c r="BY51" s="21" t="inlineStr">
        <is>
          <t>-</t>
        </is>
      </c>
      <c r="BZ51" s="384" t="inlineStr">
        <is>
          <t>3</t>
        </is>
      </c>
      <c r="CA51" s="21" t="inlineStr">
        <is>
          <t>-</t>
        </is>
      </c>
      <c r="CB51" s="384" t="inlineStr">
        <is>
          <t>ง</t>
        </is>
      </c>
      <c r="CC51" s="21" t="inlineStr">
        <is>
          <t>-</t>
        </is>
      </c>
      <c r="CD51" s="384" t="inlineStr">
        <is>
          <t>1</t>
        </is>
      </c>
      <c r="CE51" s="21" t="inlineStr">
        <is>
          <t>-</t>
        </is>
      </c>
    </row>
    <row r="52" ht="15.75" customHeight="1">
      <c r="B52" s="46">
        <f>'📥 ข้อมูลนักเรียน'!B4</f>
        <v/>
      </c>
      <c r="C52" s="47">
        <f>'📥 ข้อมูลนักเรียน'!C4</f>
        <v/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</row>
    <row r="53" ht="15.75" customHeight="1">
      <c r="B53" s="46">
        <f>'📥 ข้อมูลนักเรียน'!B5</f>
        <v/>
      </c>
      <c r="C53" s="51">
        <f>'📥 ข้อมูลนักเรียน'!C5</f>
        <v/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</row>
    <row r="54" ht="15.75" customHeight="1">
      <c r="B54" s="46">
        <f>'📥 ข้อมูลนักเรียน'!B6</f>
        <v/>
      </c>
      <c r="C54" s="47">
        <f>'📥 ข้อมูลนักเรียน'!C6</f>
        <v/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</row>
    <row r="55" ht="15.75" customHeight="1">
      <c r="B55" s="46">
        <f>'📥 ข้อมูลนักเรียน'!B7</f>
        <v/>
      </c>
      <c r="C55" s="51">
        <f>'📥 ข้อมูลนักเรียน'!C7</f>
        <v/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</row>
    <row r="56" ht="15.75" customHeight="1">
      <c r="B56" s="46">
        <f>'📥 ข้อมูลนักเรียน'!B8</f>
        <v/>
      </c>
      <c r="C56" s="47">
        <f>'📥 ข้อมูลนักเรียน'!C8</f>
        <v/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</row>
    <row r="57" ht="15.75" customHeight="1">
      <c r="B57" s="46">
        <f>'📥 ข้อมูลนักเรียน'!B9</f>
        <v/>
      </c>
      <c r="C57" s="51">
        <f>'📥 ข้อมูลนักเรียน'!C9</f>
        <v/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</row>
    <row r="58" ht="15.75" customHeight="1">
      <c r="B58" s="46">
        <f>'📥 ข้อมูลนักเรียน'!B10</f>
        <v/>
      </c>
      <c r="C58" s="47">
        <f>'📥 ข้อมูลนักเรียน'!C10</f>
        <v/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</row>
    <row r="59" ht="15.75" customHeight="1">
      <c r="B59" s="46">
        <f>'📥 ข้อมูลนักเรียน'!B11</f>
        <v/>
      </c>
      <c r="C59" s="51">
        <f>'📥 ข้อมูลนักเรียน'!C11</f>
        <v/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</row>
    <row r="60" ht="15.75" customHeight="1">
      <c r="B60" s="46">
        <f>'📥 ข้อมูลนักเรียน'!B12</f>
        <v/>
      </c>
      <c r="C60" s="47">
        <f>'📥 ข้อมูลนักเรียน'!C12</f>
        <v/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</row>
    <row r="61" ht="15.75" customHeight="1">
      <c r="B61" s="46">
        <f>'📥 ข้อมูลนักเรียน'!B13</f>
        <v/>
      </c>
      <c r="C61" s="51">
        <f>'📥 ข้อมูลนักเรียน'!C13</f>
        <v/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</row>
    <row r="62" ht="15.75" customHeight="1">
      <c r="B62" s="46">
        <f>'📥 ข้อมูลนักเรียน'!B14</f>
        <v/>
      </c>
      <c r="C62" s="47">
        <f>'📥 ข้อมูลนักเรียน'!C14</f>
        <v/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</row>
    <row r="63" ht="15.75" customHeight="1">
      <c r="B63" s="46">
        <f>'📥 ข้อมูลนักเรียน'!B15</f>
        <v/>
      </c>
      <c r="C63" s="51">
        <f>'📥 ข้อมูลนักเรียน'!C15</f>
        <v/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</row>
    <row r="64" ht="15.75" customHeight="1">
      <c r="B64" s="46">
        <f>'📥 ข้อมูลนักเรียน'!B16</f>
        <v/>
      </c>
      <c r="C64" s="47">
        <f>'📥 ข้อมูลนักเรียน'!C16</f>
        <v/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</row>
    <row r="65" ht="15.75" customHeight="1">
      <c r="B65" s="46">
        <f>'📥 ข้อมูลนักเรียน'!B17</f>
        <v/>
      </c>
      <c r="C65" s="51">
        <f>'📥 ข้อมูลนักเรียน'!C17</f>
        <v/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</row>
    <row r="66" ht="15.75" customHeight="1">
      <c r="B66" s="46">
        <f>'📥 ข้อมูลนักเรียน'!B18</f>
        <v/>
      </c>
      <c r="C66" s="47">
        <f>'📥 ข้อมูลนักเรียน'!C18</f>
        <v/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</row>
    <row r="67" ht="15.75" customHeight="1">
      <c r="B67" s="46">
        <f>'📥 ข้อมูลนักเรียน'!B19</f>
        <v/>
      </c>
      <c r="C67" s="51">
        <f>'📥 ข้อมูลนักเรียน'!C19</f>
        <v/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</row>
    <row r="68" ht="15.75" customHeight="1">
      <c r="B68" s="46">
        <f>'📥 ข้อมูลนักเรียน'!B20</f>
        <v/>
      </c>
      <c r="C68" s="47">
        <f>'📥 ข้อมูลนักเรียน'!C20</f>
        <v/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</row>
    <row r="69" ht="15.75" customHeight="1">
      <c r="B69" s="46">
        <f>'📥 ข้อมูลนักเรียน'!B21</f>
        <v/>
      </c>
      <c r="C69" s="51">
        <f>'📥 ข้อมูลนักเรียน'!C21</f>
        <v/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</row>
    <row r="70" ht="15.75" customHeight="1">
      <c r="B70" s="46">
        <f>'📥 ข้อมูลนักเรียน'!B22</f>
        <v/>
      </c>
      <c r="C70" s="47">
        <f>'📥 ข้อมูลนักเรียน'!C22</f>
        <v/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</row>
    <row r="71" ht="15.75" customHeight="1">
      <c r="B71" s="46">
        <f>'📥 ข้อมูลนักเรียน'!B23</f>
        <v/>
      </c>
      <c r="C71" s="51">
        <f>'📥 ข้อมูลนักเรียน'!C23</f>
        <v/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</row>
    <row r="72" ht="15.75" customHeight="1">
      <c r="B72" s="46">
        <f>'📥 ข้อมูลนักเรียน'!B24</f>
        <v/>
      </c>
      <c r="C72" s="47">
        <f>'📥 ข้อมูลนักเรียน'!C24</f>
        <v/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</row>
    <row r="73" ht="15.75" customHeight="1">
      <c r="B73" s="46">
        <f>'📥 ข้อมูลนักเรียน'!B25</f>
        <v/>
      </c>
      <c r="C73" s="51">
        <f>'📥 ข้อมูลนักเรียน'!C25</f>
        <v/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</row>
    <row r="74" ht="15.75" customHeight="1">
      <c r="B74" s="46">
        <f>'📥 ข้อมูลนักเรียน'!B26</f>
        <v/>
      </c>
      <c r="C74" s="47">
        <f>'📥 ข้อมูลนักเรียน'!C26</f>
        <v/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</row>
    <row r="75" ht="15.75" customHeight="1">
      <c r="B75" s="46">
        <f>'📥 ข้อมูลนักเรียน'!B27</f>
        <v/>
      </c>
      <c r="C75" s="51">
        <f>'📥 ข้อมูลนักเรียน'!C27</f>
        <v/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</row>
    <row r="76" ht="15.75" customHeight="1">
      <c r="B76" s="46">
        <f>'📥 ข้อมูลนักเรียน'!B28</f>
        <v/>
      </c>
      <c r="C76" s="47">
        <f>'📥 ข้อมูลนักเรียน'!C28</f>
        <v/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</row>
    <row r="77" ht="15.75" customHeight="1">
      <c r="B77" s="46">
        <f>'📥 ข้อมูลนักเรียน'!B29</f>
        <v/>
      </c>
      <c r="C77" s="51">
        <f>'📥 ข้อมูลนักเรียน'!C29</f>
        <v/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</row>
    <row r="78" ht="15.75" customHeight="1">
      <c r="B78" s="46">
        <f>'📥 ข้อมูลนักเรียน'!B30</f>
        <v/>
      </c>
      <c r="C78" s="47">
        <f>'📥 ข้อมูลนักเรียน'!C30</f>
        <v/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</row>
    <row r="79" ht="15.75" customHeight="1">
      <c r="B79" s="46">
        <f>'📥 ข้อมูลนักเรียน'!B31</f>
        <v/>
      </c>
      <c r="C79" s="51">
        <f>'📥 ข้อมูลนักเรียน'!C31</f>
        <v/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</row>
    <row r="80" ht="15.75" customHeight="1">
      <c r="B80" s="46">
        <f>'📥 ข้อมูลนักเรียน'!B32</f>
        <v/>
      </c>
      <c r="C80" s="47">
        <f>'📥 ข้อมูลนักเรียน'!C32</f>
        <v/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</row>
    <row r="81" ht="15.75" customHeight="1">
      <c r="B81" s="46">
        <f>'📥 ข้อมูลนักเรียน'!B33</f>
        <v/>
      </c>
      <c r="C81" s="51">
        <f>'📥 ข้อมูลนักเรียน'!C33</f>
        <v/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</row>
    <row r="82" ht="15.75" customHeight="1">
      <c r="B82" s="46">
        <f>'📥 ข้อมูลนักเรียน'!B34</f>
        <v/>
      </c>
      <c r="C82" s="47">
        <f>'📥 ข้อมูลนักเรียน'!C34</f>
        <v/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</row>
    <row r="83" ht="15.75" customHeight="1">
      <c r="B83" s="46">
        <f>'📥 ข้อมูลนักเรียน'!B35</f>
        <v/>
      </c>
      <c r="C83" s="51">
        <f>'📥 ข้อมูลนักเรียน'!C35</f>
        <v/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</row>
    <row r="84" ht="15.75" customHeight="1">
      <c r="B84" s="46">
        <f>'📥 ข้อมูลนักเรียน'!B36</f>
        <v/>
      </c>
      <c r="C84" s="47">
        <f>'📥 ข้อมูลนักเรียน'!C36</f>
        <v/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</row>
    <row r="85" ht="15.75" customHeight="1">
      <c r="B85" s="46">
        <f>'📥 ข้อมูลนักเรียน'!B37</f>
        <v/>
      </c>
      <c r="C85" s="51">
        <f>'📥 ข้อมูลนักเรียน'!C37</f>
        <v/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</row>
    <row r="86" ht="15.75" customHeight="1">
      <c r="B86" s="46">
        <f>'📥 ข้อมูลนักเรียน'!B38</f>
        <v/>
      </c>
      <c r="C86" s="47">
        <f>'📥 ข้อมูลนักเรียน'!C38</f>
        <v/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</row>
    <row r="87" ht="15.75" customHeight="1">
      <c r="B87" s="46">
        <f>'📥 ข้อมูลนักเรียน'!B39</f>
        <v/>
      </c>
      <c r="C87" s="51">
        <f>'📥 ข้อมูลนักเรียน'!C39</f>
        <v/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</row>
    <row r="88" ht="15.75" customHeight="1">
      <c r="B88" s="46">
        <f>'📥 ข้อมูลนักเรียน'!B40</f>
        <v/>
      </c>
      <c r="C88" s="47">
        <f>'📥 ข้อมูลนักเรียน'!C40</f>
        <v/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</row>
    <row r="89" ht="15.75" customHeight="1">
      <c r="B89" s="46">
        <f>'📥 ข้อมูลนักเรียน'!B41</f>
        <v/>
      </c>
      <c r="C89" s="51">
        <f>'📥 ข้อมูลนักเรียน'!C41</f>
        <v/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</row>
    <row r="90" ht="15.75" customHeight="1">
      <c r="B90" s="46">
        <f>'📥 ข้อมูลนักเรียน'!B42</f>
        <v/>
      </c>
      <c r="C90" s="47">
        <f>'📥 ข้อมูลนักเรียน'!C42</f>
        <v/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</row>
    <row r="91" ht="15.75" customHeight="1">
      <c r="B91" s="46">
        <f>'📥 ข้อมูลนักเรียน'!B43</f>
        <v/>
      </c>
      <c r="C91" s="51">
        <f>'📥 ข้อมูลนักเรียน'!C43</f>
        <v/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</row>
  </sheetData>
  <mergeCells count="44">
    <mergeCell ref="BX49:CA49"/>
    <mergeCell ref="CB49:CE49"/>
    <mergeCell ref="BD49:BG49"/>
    <mergeCell ref="BH49:BK49"/>
    <mergeCell ref="BL49:BO49"/>
    <mergeCell ref="BP49:BS49"/>
    <mergeCell ref="BT49:BW49"/>
    <mergeCell ref="BX4:CA4"/>
    <mergeCell ref="CB4:CE4"/>
    <mergeCell ref="B48:CE48"/>
    <mergeCell ref="D49:G49"/>
    <mergeCell ref="H49:K49"/>
    <mergeCell ref="L49:O49"/>
    <mergeCell ref="P49:S49"/>
    <mergeCell ref="T49:W49"/>
    <mergeCell ref="X49:AA49"/>
    <mergeCell ref="AB49:AE49"/>
    <mergeCell ref="AF49:AI49"/>
    <mergeCell ref="AJ49:AM49"/>
    <mergeCell ref="AN49:AQ49"/>
    <mergeCell ref="AR49:AU49"/>
    <mergeCell ref="AV49:AY49"/>
    <mergeCell ref="AZ49:BC49"/>
    <mergeCell ref="BD4:BG4"/>
    <mergeCell ref="BH4:BK4"/>
    <mergeCell ref="BL4:BO4"/>
    <mergeCell ref="BP4:BS4"/>
    <mergeCell ref="BT4:BW4"/>
    <mergeCell ref="B1:CE1"/>
    <mergeCell ref="B2:C2"/>
    <mergeCell ref="B3:CE3"/>
    <mergeCell ref="D4:G4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AZ4:BC4"/>
  </mergeCells>
  <dataValidations count="2">
    <dataValidation sqref="D7:D46 F7:F46 H7:H46 J7:J46 L7:L46 N7:N46 P7:P46 R7:R46 T7:T46 V7:V46 X7:X46 Z7:Z46 AB7:AB46 AD7:AD46 AF7:AF46 AH7:AH46 AJ7:AJ46 AL7:AL46 AN7:AN46 AP7:AP46 AR7:AR46 AT7:AT46 AV7:AV46 AX7:AX46 AZ7:AZ46 BB7:BB46 BD7:BD46 BF7:BF46 BH7:BH46 BJ7:BJ46 BL7:BL46 BN7:BN46 BP7:BP46 BR7:BR46 BT7:BT46 BV7:BV46 BX7:BX46 BZ7:BZ46 CB7:CB46 CD7:CD46 D52:D91 F52:F91 H52:H91 J52:J91 L52:L91 N52:N91 P52:P91 R52:R91 T52:T91 V52:V91 X52:X91 Z52:Z91 AB52:AB91 AD52:AD91 AF52:AF91 AH52:AH91 AJ52:AJ91 AL52:AL91 AN52:AN91 AP52:AP91 AR52:AR91 AT52:AT91 AV52:AV91 AX52:AX91 AZ52:AZ91 BB52:BB91 BD52:BD91 BF52:BF91 BH52:BH91 BJ52:BJ91 BL52:BL91 BN52:BN91 BP52:BP91 BR52:BR91 BT52:BT91 BV52:BV91 BX52:BX91 BZ52:BZ91 CB52:CB91 CD52:CD91" showErrorMessage="1" showInputMessage="1" allowBlank="1" type="list">
      <formula1>"ก,ข,ค,ง"</formula1>
      <formula2>0</formula2>
    </dataValidation>
    <dataValidation sqref="E7:E46 G7:G46 I7:I46 K7:K46 M7:M46 O7:O46 Q7:Q46 S7:S46 U7:U46 W7:W46 Y7:Y46 AA7:AA46 AC7:AC46 AE7:AE46 AG7:AG46 AI7:AI46 AK7:AK46 AM7:AM46 AO7:AO46 AQ7:AQ46 AS7:AS46 AU7:AU46 AW7:AW46 AY7:AY46 BA7:BA46 BC7:BC46 BE7:BE46 BG7:BG46 BI7:BI46 BK7:BK46 BM7:BM46 BO7:BO46 BQ7:BQ46 BS7:BS46 BU7:BU46 BW7:BW46 BY7:BY46 CA7:CA46 CC7:CC46 CE7:CE46 E52:E91 G52:G91 I52:I91 K52:K91 M52:M91 O52:O91 Q52:Q91 S52:S91 U52:U91 W52:W91 Y52:Y91 AA52:AA91 AC52:AC91 AE52:AE91 AG52:AG91 AI52:AI91 AK52:AK91 AM52:AM91 AO52:AO91 AQ52:AQ91 AS52:AS91 AU52:AU91 AW52:AW91 AY52:AY91 BA52:BA91 BC52:BC91 BE52:BE91 BG52:BG91 BI52:BI91 BK52:BK91 BM52:BM91 BO52:BO91 BQ52:BQ91 BS52:BS91 BU52:BU91 BW52:BW91 BY52:BY91 CA52:CA91 CC52:CC91 CE52:CE91" showErrorMessage="1" showInputMessage="1" allowBlank="1" type="list">
      <formula1>"Y,N"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A91"/>
  <sheetViews>
    <sheetView showGridLines="0" topLeftCell="A9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6" customWidth="1" min="2" max="2"/>
    <col width="26" customWidth="1" min="3" max="3"/>
    <col width="14" customWidth="1" min="4" max="23"/>
    <col width="9" customWidth="1" min="24" max="27"/>
  </cols>
  <sheetData>
    <row r="1" ht="27.75" customHeight="1">
      <c r="B1" s="257" t="inlineStr">
        <is>
          <t>🤖 Auto-classify Four-tier Response Pattern (คำนวณอัตโนมัติ)</t>
        </is>
      </c>
    </row>
    <row r="3" ht="24" customHeight="1">
      <c r="B3" s="254" t="inlineStr">
        <is>
          <t>🔵 Pre-test — ผลการจำแนก (Auto)</t>
        </is>
      </c>
    </row>
    <row r="4" ht="30" customHeight="1">
      <c r="B4" s="64" t="inlineStr">
        <is>
          <t>ที่</t>
        </is>
      </c>
      <c r="C4" s="64" t="inlineStr">
        <is>
          <t>ชื่อนักเรียน</t>
        </is>
      </c>
      <c r="D4" s="39" t="inlineStr">
        <is>
          <t>ข้อ 1</t>
        </is>
      </c>
      <c r="E4" s="39" t="inlineStr">
        <is>
          <t>ข้อ 2</t>
        </is>
      </c>
      <c r="F4" s="39" t="inlineStr">
        <is>
          <t>ข้อ 3</t>
        </is>
      </c>
      <c r="G4" s="39" t="inlineStr">
        <is>
          <t>ข้อ 4</t>
        </is>
      </c>
      <c r="H4" s="39" t="inlineStr">
        <is>
          <t>ข้อ 5</t>
        </is>
      </c>
      <c r="I4" s="39" t="inlineStr">
        <is>
          <t>ข้อ 6</t>
        </is>
      </c>
      <c r="J4" s="39" t="inlineStr">
        <is>
          <t>ข้อ 7</t>
        </is>
      </c>
      <c r="K4" s="39" t="inlineStr">
        <is>
          <t>ข้อ 8</t>
        </is>
      </c>
      <c r="L4" s="39" t="inlineStr">
        <is>
          <t>ข้อ 9</t>
        </is>
      </c>
      <c r="M4" s="39" t="inlineStr">
        <is>
          <t>ข้อ 10</t>
        </is>
      </c>
      <c r="N4" s="39" t="inlineStr">
        <is>
          <t>ข้อ 11</t>
        </is>
      </c>
      <c r="O4" s="39" t="inlineStr">
        <is>
          <t>ข้อ 12</t>
        </is>
      </c>
      <c r="P4" s="39" t="inlineStr">
        <is>
          <t>ข้อ 13</t>
        </is>
      </c>
      <c r="Q4" s="39" t="inlineStr">
        <is>
          <t>ข้อ 14</t>
        </is>
      </c>
      <c r="R4" s="39" t="inlineStr">
        <is>
          <t>ข้อ 15</t>
        </is>
      </c>
      <c r="S4" s="39" t="inlineStr">
        <is>
          <t>ข้อ 16</t>
        </is>
      </c>
      <c r="T4" s="39" t="inlineStr">
        <is>
          <t>ข้อ 17</t>
        </is>
      </c>
      <c r="U4" s="39" t="inlineStr">
        <is>
          <t>ข้อ 18</t>
        </is>
      </c>
      <c r="V4" s="39" t="inlineStr">
        <is>
          <t>ข้อ 19</t>
        </is>
      </c>
      <c r="W4" s="39" t="inlineStr">
        <is>
          <t>ข้อ 20</t>
        </is>
      </c>
      <c r="X4" s="27" t="inlineStr">
        <is>
          <t>Sound
✅</t>
        </is>
      </c>
      <c r="Y4" s="44" t="inlineStr">
        <is>
          <t>Misc.
❌</t>
        </is>
      </c>
      <c r="Z4" s="65" t="inlineStr">
        <is>
          <t>Guess
🎲</t>
        </is>
      </c>
      <c r="AA4" s="66" t="inlineStr">
        <is>
          <t>NoK
❓</t>
        </is>
      </c>
    </row>
    <row r="5" ht="18" customHeight="1">
      <c r="B5" s="46">
        <f>'📝 Four-tier กรอก'!B7</f>
        <v/>
      </c>
      <c r="C5" s="47">
        <f>'📝 Four-tier กรอก'!C7</f>
        <v/>
      </c>
      <c r="D5" s="67">
        <f>IF(OR('📝 Four-tier กรอก'!D7="",'📝 Four-tier กรอก'!F7=""),"—",IF(AND('📝 Four-tier กรอก'!D7='📝 Four-tier กรอก'!D6,'📝 Four-tier กรอก'!E7="Y",'📝 Four-tier กรอก'!F7='📝 Four-tier กรอก'!F6,'📝 Four-tier กรอก'!G7="Y"),"✅ Sound",IF(AND('📝 Four-tier กรอก'!D7='📝 Four-tier กรอก'!D6,'📝 Four-tier กรอก'!E7="Y",'📝 Four-tier กรอก'!F7&lt;&gt;'📝 Four-tier กรอก'!F6,'📝 Four-tier กรอก'!G7="Y"),"🎲 Guess",IF(AND('📝 Four-tier กรอก'!D7&lt;&gt;'📝 Four-tier กรอก'!D6,'📝 Four-tier กรอก'!E7="Y",'📝 Four-tier กรอก'!F7&lt;&gt;'📝 Four-tier กรอก'!F6,'📝 Four-tier กรอก'!G7="Y"),"❌ Misc.",IF(AND('📝 Four-tier กรอก'!D7&lt;&gt;'📝 Four-tier กรอก'!D6,'📝 Four-tier กรอก'!E7="N",'📝 Four-tier กรอก'!F7&lt;&gt;'📝 Four-tier กรอก'!F6,'📝 Four-tier กรอก'!G7="N"),"❓ NoK","🤔 Partial")))))</f>
        <v/>
      </c>
      <c r="E5" s="67">
        <f>IF(OR('📝 Four-tier กรอก'!H7="",'📝 Four-tier กรอก'!J7=""),"—",IF(AND('📝 Four-tier กร</f>
        <v/>
      </c>
      <c r="F5" s="67">
        <f>IF(OR('📝 Four-tier กรอก'!L7="",'📝 Four-tier กรอก'!N7=""),"—",IF(AND('📝 Four-tier กรอก'!L7='📝 Four-tier กรอก'!L6,'📝 Four-tier กรอก'!M7="Y",'📝 Four-tier กรอก'!N7='📝 Four-tier กรอก'!N6,'📝 Four-tier กรอก'!O7="Y"),"✅ Sound",IF(AND('📝 Four-tier กรอก'!L7='📝 Four-tier กรอก'!L6,'📝 Four-tier กรอก'!M7="Y",'📝 Four-tier กรอก'!N7&lt;&gt;'📝 Four-tier กรอก'!N6,'📝 Four-tier กรอก'!O7="Y"),"🎲 Guess",IF(AND('📝 Four-tier กรอก'!L7&lt;&gt;'📝 Four-tier กรอก'!L6,'📝 Four-tier กรอก'!M7="Y",'📝 Four-tier กรอก'!N7&lt;&gt;'📝 Four-tier กรอก'!N6,'📝 Four-tier กรอก'!O7="Y"),"❌ Misc.",IF(AND('📝 Four-tier กรอก'!L7&lt;&gt;'📝 Four-tier กรอก'!L6,'📝 Four-tier กรอก'!M7="N",'📝 Four-tier กรอก'!N7&lt;&gt;'📝 Four-tier กรอก'!N6,'📝 Four-tier กรอก'!O7="N"),"❓ NoK","🤔 Partial")))))</f>
        <v/>
      </c>
      <c r="G5" s="67">
        <f>IF(OR('📝 Four-tier กรอก'!P7="",'📝 Four-tier กรอก'!R7=""),"—",IF(AND('📝 Four-tier กรอก'!P7='📝 Four-tier กรอก'!P6,'📝 Four-tier กรอก'!Q7="Y",'📝 Four-tier กรอก'!R7='📝 Four-tier กรอก'!R6,'📝 Four-tier กรอก'!S7="Y"),"✅ Sound",IF(AND('📝 Four-tier กรอก'!P7='📝 Four-tier กรอก'!P6,'📝 Four-tier กรอก'!Q7="Y",'📝 Four-tier กรอก'!R7&lt;&gt;'📝 Four-tier กรอก'!R6,'📝 Four-tier กรอก'!S7="Y"),"🎲 Guess",IF(AND('📝 Four-tier กรอก'!P7&lt;&gt;'📝 Four-tier กรอก'!P6,'📝 Four-tier กรอก'!Q7="Y",'📝 Four-tier กรอก'!R7&lt;&gt;'📝 Four-tier กรอก'!R6,'📝 Four-tier กรอก'!S7="Y"),"❌ Misc.",IF(AND('📝 Four-tier กรอก'!P7&lt;&gt;'📝 Four-tier กรอก'!P6,'📝 Four-tier กรอก'!Q7="N",'📝 Four-tier กรอก'!R7&lt;&gt;'📝 Four-tier กรอก'!R6,'📝 Four-tier กรอก'!S7="N"),"❓ NoK","🤔 Partial")))))</f>
        <v/>
      </c>
      <c r="H5" s="67">
        <f>IF(OR('📝 Four-tier กรอก'!T7="",'📝 Four-tier กรอก'!V7=""),"—",IF(AND('📝 Four-tier กรอก'!T7='📝 Four-tier กรอก'!T6,'📝 Four-tier กรอก'!U7="Y",'📝 Four-tier กรอก'!V7='📝 Four-tier กรอก'!V6,'📝 Four-tier กรอก'!W7="Y"),"✅ Sound",IF(AND('📝 Four-tier กรอก'!T7='📝 Four-tier กรอก'!T6,'📝 Four-tier กรอก'!U7="Y",'📝 Four-tier กรอก'!V7&lt;&gt;'📝 Four-tier กรอก'!V6,'📝 Four-tier กรอก'!W7="Y"),"🎲 Guess",IF(AND('📝 Four-tier กรอก'!T7&lt;&gt;'📝 Four-tier กรอก'!T6,'📝 Four-tier กรอก'!U7="Y",'📝 Four-tier กรอก'!V7&lt;&gt;'📝 Four-tier กรอก'!V6,'📝 Four-tier กรอก'!W7="Y"),"❌ Misc.",IF(AND('📝 Four-tier กรอก'!T7&lt;&gt;'📝 Four-tier กรอก'!T6,'📝 Four-tier กรอก'!U7="N",'📝 Four-tier กรอก'!V7&lt;&gt;'📝 Four-tier กรอก'!V6,'📝 Four-tier กรอก'!W7="N"),"❓ NoK","🤔 Partial")))))</f>
        <v/>
      </c>
      <c r="I5" s="67">
        <f>IF(OR('📝 Four-tier กรอก'!X7="",'📝 Four-tier กรอก'!Z7=""),"—",IF(AND('📝 Four-tier กรอก'!X7='📝 Four-tier กรอก'!X6,'📝 Four-tier กรอก'!Y7="Y",'📝 Four-tier กรอก'!Z7='📝 Four-tier กรอก'!Z6,'📝 Four-tier กรอก'!AA7="Y"),"✅ Sound",IF(AND('📝 Four-tier กรอก'!X7='📝 Four-tier กรอก'!X6,'📝 Four-tier กรอก'!Y7="Y",'📝 Four-tier กรอก'!Z7&lt;&gt;'📝 Four-tier กรอก'!Z6,'📝 Four-tier กรอก'!AA7="Y"),"🎲 Guess",IF(AND('📝 Four-tier กรอก'!X7&lt;&gt;'📝 Four-tier กรอก'!X6,'📝 Four-tier กรอก'!Y7="Y",'📝 Four-tier กรอก'!Z7&lt;&gt;'📝 Four-tier กรอก'!Z6,'📝 Four-tier กรอก'!AA7="Y"),"❌ Misc.",IF(AND('📝 Four-tier กรอก'!X7&lt;&gt;'📝 Four-tier กรอก'!X6,'📝 Four-tier กรอก'!Y7="N",'📝 Four-tier กรอก'!Z7&lt;&gt;'📝 Four-tier กรอก'!Z6,'📝 Four-tier กรอก'!AA7="N"),"❓ NoK","🤔 Partial")))))</f>
        <v/>
      </c>
      <c r="J5" s="67">
        <f>IF(OR('📝 Four-tier กรอก'!AB7="",'📝 Four-tier กรอก'!AD7=""),"—",IF(AND('📝 Four-tier กรอก'!AB7='📝 Four-tier กรอก'!AB6,'📝 Four-tier กรอก'!AC7="Y",'📝 Four-tier กรอก'!AD7='📝 Four-tier กรอก'!AD6,'📝 Four-tier กรอก'!AE7="Y"),"✅ Sound",IF(AND('📝 Four-tier กรอก'!AB7='📝 Four-tier กรอก'!AB6,'📝 Four-tier กรอก'!AC7="Y",'📝 Four-tier กรอก'!AD7&lt;&gt;'📝 Four-tier กรอก'!AD6,'📝 Four-tier กรอก'!AE7="Y"),"🎲 Guess",IF(AND('📝 Four-tier กรอก'!AB7&lt;&gt;'📝 Four-tier กรอก'!AB6,'📝 Four-tier กรอก'!AC7="Y",'📝 Four-tier กรอก'!AD7&lt;&gt;'📝 Four-tier กรอก'!AD6,'📝 Four-tier กรอก'!AE7="Y"),"❌ Misc.",IF(AND('📝 Four-tier กรอก'!AB7&lt;&gt;'📝 Four-tier กรอก'!AB6,'📝 Four-tier กรอก'!AC7="N",'📝 Four-tier กรอก'!AD7&lt;&gt;'📝 Four-tier กรอก'!AD6,'📝 Four-tier กรอก'!AE7="N"),"❓ NoK","🤔 Partial")))))</f>
        <v/>
      </c>
      <c r="K5" s="67">
        <f>IF(OR('📝 Four-tier กรอก'!AF7="",'📝 Four-tier กรอก'!AH7=""),"—",IF(AND('📝 Four-tier กรอก'!AF7='📝 Four-tier กรอก'!AF6,'📝 Four-tier กรอก'!AG7="Y",'📝 Four-tier กรอก'!AH7='📝 Four-tier กรอก'!AH6,'📝 Four-tier กรอก'!AI7="Y"),"✅ Sound",IF(AND('📝 Four-tier กรอก'!AF7='📝 Four-tier กรอก'!AF6,'📝 Four-tier กรอก'!AG7="Y",'📝 Four-tier กรอก'!AH7&lt;&gt;'📝 Four-tier กรอก'!AH6,'📝 Four-tier กรอก'!AI7="Y"),"🎲 Guess",IF(AND('📝 Four-tier กรอก'!AF7&lt;&gt;'📝 Four-tier กรอก'!AF6,'📝 Four-tier กรอก'!AG7="Y",'📝 Four-tier กรอก'!AH7&lt;&gt;'📝 Four-tier กรอก'!AH6,'📝 Four-tier กรอก'!AI7="Y"),"❌ Misc.",IF(AND('📝 Four-tier กรอก'!AF7&lt;&gt;'📝 Four-tier กรอก'!AF6,'📝 Four-tier กรอก'!AG7="N",'📝 Four-tier กรอก'!AH7&lt;&gt;'📝 Four-tier กรอก'!AH6,'📝 Four-tier กรอก'!AI7="N"),"❓ NoK","🤔 Partial")))))</f>
        <v/>
      </c>
      <c r="L5" s="67">
        <f>IF(OR('📝 Four-tier กรอก'!AJ7="",'📝 Four-tier กรอก'!AL7=""),"—",IF(AND('📝 Four-tier กรอก'!AJ7='📝 Four-tier กรอก'!AJ6,'📝 Four-tier กรอก'!AK7="Y",'📝 Four-tier กรอก'!AL7='📝 Four-tier กรอก'!AL6,'📝 Four-tier กรอก'!AM7="Y"),"✅ Sound",IF(AND('📝 Four-tier กรอก'!AJ7='📝 Four-tier กรอก'!AJ6,'📝 Four-tier กรอก'!AK7="Y",'📝 Four-tier กรอก'!AL7&lt;&gt;'📝 Four-tier กรอก'!AL6,'📝 Four-tier กรอก'!AM7="Y"),"🎲 Guess",IF(AND('📝 Four-tier กรอก'!AJ7&lt;&gt;'📝 Four-tier กรอก'!AJ6,'📝 Four-tier กรอก'!AK7="Y",'📝 Four-tier กรอก'!AL7&lt;&gt;'📝 Four-tier กรอก'!AL6,'📝 Four-tier กรอก'!AM7="Y"),"❌ Misc.",IF(AND('📝 Four-tier กรอก'!AJ7&lt;&gt;'📝 Four-tier กรอก'!AJ6,'📝 Four-tier กรอก'!AK7="N",'📝 Four-tier กรอก'!AL7&lt;&gt;'📝 Four-tier กรอก'!AL6,'📝 Four-tier กรอก'!AM7="N"),"❓ NoK","🤔 Partial")))))</f>
        <v/>
      </c>
      <c r="M5" s="67">
        <f>IF(OR('📝 Four-tier กรอก'!AN7="",'📝 Four-tier กรอก'!AP7=""),"—",IF(AND('📝 Four-tier กรอก'!AN7='📝 Four-tier กรอก'!AN6,'📝 Four-tier กรอก'!AO7="Y",'📝 Four-tier กรอก'!AP7='📝 Four-tier กรอก'!AP6,'📝 Four-tier กรอก'!AQ7="Y"),"✅ Sound",IF(AND('📝 Four-tier กรอก'!AN7='📝 Four-tier กรอก'!AN6,'📝 Four-tier กรอก'!AO7="Y",'📝 Four-tier กรอก'!AP7&lt;&gt;'📝 Four-tier กรอก'!AP6,'📝 Four-tier กรอก'!AQ7="Y"),"🎲 Guess",IF(AND('📝 Four-tier กรอก'!AN7&lt;&gt;'📝 Four-tier กรอก'!AN6,'📝 Four-tier กรอก'!AO7="Y",'📝 Four-tier กรอก'!AP7&lt;&gt;'📝 Four-tier กรอก'!AP6,'📝 Four-tier กรอก'!AQ7="Y"),"❌ Misc.",IF(AND('📝 Four-tier กรอก'!AN7&lt;&gt;'📝 Four-tier กรอก'!AN6,'📝 Four-tier กรอก'!AO7="N",'📝 Four-tier กรอก'!AP7&lt;&gt;'📝 Four-tier กรอก'!AP6,'📝 Four-tier กรอก'!AQ7="N"),"❓ NoK","🤔 Partial")))))</f>
        <v/>
      </c>
      <c r="N5" s="67">
        <f>IF(OR('📝 Four-tier กรอก'!AR7="",'📝 Four-tier กรอก'!AT7=""),"—",IF(AND('📝 Four-tier กรอก'!AR7='📝 Four-tier กรอก'!AR6,'📝 Four-tier กรอก'!AS7="Y",'📝 Four-tier กรอก'!AT7='📝 Four-tier กรอก'!AT6,'📝 Four-tier กรอก'!AU7="Y"),"✅ Sound",IF(AND('📝 Four-tier กรอก'!AR7='📝 Four-tier กรอก'!AR6,'📝 Four-tier กรอก'!AS7="Y",'📝 Four-tier กรอก'!AT7&lt;&gt;'📝 Four-tier กรอก'!AT6,'📝 Four-tier กรอก'!AU7="Y"),"🎲 Guess",IF(AND('📝 Four-tier กรอก'!AR7&lt;&gt;'📝 Four-tier กรอก'!AR6,'📝 Four-tier กรอก'!AS7="Y",'📝 Four-tier กรอก'!AT7&lt;&gt;'📝 Four-tier กรอก'!AT6,'📝 Four-tier กรอก'!AU7="Y"),"❌ Misc.",IF(AND('📝 Four-tier กรอก'!AR7&lt;&gt;'📝 Four-tier กรอก'!AR6,'📝 Four-tier กรอก'!AS7="N",'📝 Four-tier กรอก'!AT7&lt;&gt;'📝 Four-tier กรอก'!AT6,'📝 Four-tier กรอก'!AU7="N"),"❓ NoK","🤔 Partial")))))</f>
        <v/>
      </c>
      <c r="O5" s="67">
        <f>IF(OR('📝 Four-tier กรอก'!AV7="",'📝 Four-tier กรอก'!AX7=""),"—",IF(AND('📝 Four-tier กรอก'!AV7='📝 Four-tier กรอก'!AV6,'📝 Four-tier กรอก'!AW7="Y",'📝 Four-tier กรอก'!AX7='📝 Four-tier กรอก'!AX6,'📝 Four-tier กรอก'!AY7="Y"),"✅ Sound",IF(AND('📝 Four-tier กรอก'!AV7='📝 Four-tier กรอก'!AV6,'📝 Four-tier กรอก'!AW7="Y",'📝 Four-tier กรอก'!AX7&lt;&gt;'📝 Four-tier กรอก'!AX6,'📝 Four-tier กรอก'!AY7="Y"),"🎲 Guess",IF(AND('📝 Four-tier กรอก'!AV7&lt;&gt;'📝 Four-tier กรอก'!AV6,'📝 Four-tier กรอก'!AW7="Y",'📝 Four-tier กรอก'!AX7&lt;&gt;'📝 Four-tier กรอก'!AX6,'📝 Four-tier กรอก'!AY7="Y"),"❌ Misc.",IF(AND('📝 Four-tier กรอก'!AV7&lt;&gt;'📝 Four-tier กรอก'!AV6,'📝 Four-tier กรอก'!AW7="N",'📝 Four-tier กรอก'!AX7&lt;&gt;'📝 Four-tier กรอก'!AX6,'📝 Four-tier กรอก'!AY7="N"),"❓ NoK","🤔 Partial")))))</f>
        <v/>
      </c>
      <c r="P5" s="67">
        <f>IF(OR('📝 Four-tier กรอก'!AZ7="",'📝 Four-tier กรอก'!BB7=""),"—",IF(AND('📝 Four-tier กรอก'!AZ7='📝 Four-tier กรอก'!AZ6,'📝 Four-tier กรอก'!BA7="Y",'📝 Four-tier กรอก'!BB7='📝 Four-tier กรอก'!BB6,'📝 Four-tier กรอก'!BC7="Y"),"✅ Sound",IF(AND('📝 Four-tier กรอก'!AZ7='📝 Four-tier กรอก'!AZ6,'📝 Four-tier กรอก'!BA7="Y",'📝 Four-tier กรอก'!BB7&lt;&gt;'📝 Four-tier กรอก'!BB6,'📝 Four-tier กรอก'!BC7="Y"),"🎲 Guess",IF(AND('📝 Four-tier กรอก'!AZ7&lt;&gt;'📝 Four-tier กรอก'!AZ6,'📝 Four-tier กรอก'!BA7="Y",'📝 Four-tier กรอก'!BB7&lt;&gt;'📝 Four-tier กรอก'!BB6,'📝 Four-tier กรอก'!BC7="Y"),"❌ Misc.",IF(AND('📝 Four-tier กรอก'!AZ7&lt;&gt;'📝 Four-tier กรอก'!AZ6,'📝 Four-tier กรอก'!BA7="N",'📝 Four-tier กรอก'!BB7&lt;&gt;'📝 Four-tier กรอก'!BB6,'📝 Four-tier กรอก'!BC7="N"),"❓ NoK","🤔 Partial")))))</f>
        <v/>
      </c>
      <c r="Q5" s="67">
        <f>IF(OR('📝 Four-tier กรอก'!BD7="",'📝 Four-tier กรอก'!BF7=""),"—",IF(AND('📝 Four-tier กรอก'!BD7='📝 Four-tier กรอก'!BD6,'📝 Four-tier กรอก'!BE7="Y",'📝 Four-tier กรอก'!BF7='📝 Four-tier กรอก'!BF6,'📝 Four-tier กรอก'!BG7="Y"),"✅ Sound",IF(AND('📝 Four-tier กรอก'!BD7='📝 Four-tier กรอก'!BD6,'📝 Four-tier กรอก'!BE7="Y",'📝 Four-tier กรอก'!BF7&lt;&gt;'📝 Four-tier กรอก'!BF6,'📝 Four-tier กรอก'!BG7="Y"),"🎲 Guess",IF(AND('📝 Four-tier กรอก'!BD7&lt;&gt;'📝 Four-tier กรอก'!BD6,'📝 Four-tier กรอก'!BE7="Y",'📝 Four-tier กรอก'!BF7&lt;&gt;'📝 Four-tier กรอก'!BF6,'📝 Four-tier กรอก'!BG7="Y"),"❌ Misc.",IF(AND('📝 Four-tier กรอก'!BD7&lt;&gt;'📝 Four-tier กรอก'!BD6,'📝 Four-tier กรอก'!BE7="N",'📝 Four-tier กรอก'!BF7&lt;&gt;'📝 Four-tier กรอก'!BF6,'📝 Four-tier กรอก'!BG7="N"),"❓ NoK","🤔 Partial")))))</f>
        <v/>
      </c>
      <c r="R5" s="67">
        <f>IF(OR('📝 Four-tier กรอก'!BH7="",'📝 Four-tier กรอก'!BJ7=""),"—",IF(AND('📝 Four-tier กรอก'!BH7='📝 Four-tier กรอก'!BH6,'📝 Four-tier กรอก'!BI7="Y",'📝 Four-tier กรอก'!BJ7='📝 Four-tier กรอก'!BJ6,'📝 Four-tier กรอก'!BK7="Y"),"✅ Sound",IF(AND('📝 Four-tier กรอก'!BH7='📝 Four-tier กรอก'!BH6,'📝 Four-tier กรอก'!BI7="Y",'📝 Four-tier กรอก'!BJ7&lt;&gt;'📝 Four-tier กรอก'!BJ6,'📝 Four-tier กรอก'!BK7="Y"),"🎲 Guess",IF(AND('📝 Four-tier กรอก'!BH7&lt;&gt;'📝 Four-tier กรอก'!BH6,'📝 Four-tier กรอก'!BI7="Y",'📝 Four-tier กรอก'!BJ7&lt;&gt;'📝 Four-tier กรอก'!BJ6,'📝 Four-tier กรอก'!BK7="Y"),"❌ Misc.",IF(AND('📝 Four-tier กรอก'!BH7&lt;&gt;'📝 Four-tier กรอก'!BH6,'📝 Four-tier กรอก'!BI7="N",'📝 Four-tier กรอก'!BJ7&lt;&gt;'📝 Four-tier กรอก'!BJ6,'📝 Four-tier กรอก'!BK7="N"),"❓ NoK","🤔 Partial")))))</f>
        <v/>
      </c>
      <c r="S5" s="67">
        <f>IF(OR('📝 Four-tier กรอก'!BL7="",'📝 Four-tier กรอก'!BN7=""),"—",IF(AND('📝 Four-tier กร</f>
        <v/>
      </c>
      <c r="T5" s="67">
        <f>IF(OR('📝 Four-tier กรอก'!BP7="",'📝 Four-tier กรอก'!BR7=""),"—",IF(AND('📝 Four-tier กรอก'!BP7='📝 Four-tier กรอก'!BP6,'📝 Four-tier กรอก'!BQ7="Y",'📝 Four-tier กรอก'!BR7='📝 Four-tier กรอก'!BR6,'📝 Four-tier กรอก'!BS7="Y"),"✅ Sound",IF(AND('📝 Four-tier กรอก'!BP7='📝 Four-tier กรอก'!BP6,'📝 Four-tier กรอก'!BQ7="Y",'📝 Four-tier กรอก'!BR7&lt;&gt;'📝 Four-tier กรอก'!BR6,'📝 Four-tier กรอก'!BS7="Y"),"🎲 Guess",IF(AND('📝 Four-tier กรอก'!BP7&lt;&gt;'📝 Four-tier กรอก'!BP6,'📝 Four-tier กรอก'!BQ7="Y",'📝 Four-tier กรอก'!BR7&lt;&gt;'📝 Four-tier กรอก'!BR6,'📝 Four-tier กรอก'!BS7="Y"),"❌ Misc.",IF(AND('📝 Four-tier กรอก'!BP7&lt;&gt;'📝 Four-tier กรอก'!BP6,'📝 Four-tier กรอก'!BQ7="N",'📝 Four-tier กรอก'!BR7&lt;&gt;'📝 Four-tier กรอก'!BR6,'📝 Four-tier กรอก'!BS7="N"),"❓ NoK","🤔 Partial")))))</f>
        <v/>
      </c>
      <c r="U5" s="67">
        <f>IF(OR('📝 Four-tier กรอก'!BT7="",'📝 Four-tier กรอก'!BV7=""),"—",IF(AND('📝 Four-tier กรอก'!BT7='📝 Four-tier กรอก'!BT6,'📝 Four-tier กรอก'!BU7="Y",'📝 Four-tier กรอก'!BV7='📝 Four-tier กรอก'!BV6,'📝 Four-tier กรอก'!BW7="Y"),"✅ Sound",IF(AND('📝 Four-tier กรอก'!BT7='📝 Four-tier กรอก'!BT6,'📝 Four-tier กรอก'!BU7="Y",'📝 Four-tier กรอก'!BV7&lt;&gt;'📝 Four-tier กรอก'!BV6,'📝 Four-tier กรอก'!BW7="Y"),"🎲 Guess",IF(AND('📝 Four-tier กรอก'!BT7&lt;&gt;'📝 Four-tier กรอก'!BT6,'📝 Four-tier กรอก'!BU7="Y",'📝 Four-tier กรอก'!BV7&lt;&gt;'📝 Four-tier กรอก'!BV6,'📝 Four-tier กรอก'!BW7="Y"),"❌ Misc.",IF(AND('📝 Four-tier กรอก'!BT7&lt;&gt;'📝 Four-tier กรอก'!BT6,'📝 Four-tier กรอก'!BU7="N",'📝 Four-tier กรอก'!BV7&lt;&gt;'📝 Four-tier กรอก'!BV6,'📝 Four-tier กรอก'!BW7="N"),"❓ NoK","🤔 Partial")))))</f>
        <v/>
      </c>
      <c r="V5" s="67">
        <f>IF(OR('📝 Four-tier กรอก'!BX7="",'📝 Four-tier กรอก'!BZ7=""),"—",IF(AND('📝 Four-tier กรอก'!BX7='📝 Four-tier กรอก'!BX6,'📝 Four-tier กรอก'!BY7="Y",'📝 Four-tier กรอก'!BZ7='📝 Four-tier กรอก'!BZ6,'📝 Four-tier กรอก'!CA7="Y"),"✅ Sound",IF(AND('📝 Four-tier กรอก'!BX7='📝 Four-tier กรอก'!BX6,'📝 Four-tier กรอก'!BY7="Y",'📝 Four-tier กรอก'!BZ7&lt;&gt;'📝 Four-tier กรอก'!BZ6,'📝 Four-tier กรอก'!CA7="Y"),"🎲 Guess",IF(AND('📝 Four-tier กรอก'!BX7&lt;&gt;'📝 Four-tier กรอก'!BX6,'📝 Four-tier กรอก'!BY7="Y",'📝 Four-tier กรอก'!BZ7&lt;&gt;'📝 Four-tier กรอก'!BZ6,'📝 Four-tier กรอก'!CA7="Y"),"❌ Misc.",IF(AND('📝 Four-tier กรอก'!BX7&lt;&gt;'📝 Four-tier กรอก'!BX6,'📝 Four-tier กรอก'!BY7="N",'📝 Four-tier กรอก'!BZ7&lt;&gt;'📝 Four-tier กรอก'!BZ6,'📝 Four-tier กรอก'!CA7="N"),"❓ NoK","🤔 Partial")))))</f>
        <v/>
      </c>
      <c r="W5" s="67">
        <f>IF(OR('📝 Four-tier กรอก'!CB7="",'📝 Four-tier กรอก'!CD7=""),"—",IF(AND('📝 Four-tier กรอก'!CB7='📝 Four-tier กรอก'!CB6,'📝 Four-tier กรอก'!CC7="Y",'📝 Four-tier กรอก'!CD7='📝 Four-tier กรอก'!CD6,'📝 Four-tier กรอก'!CE7="Y"),"✅ Sound",IF(AND('📝 Four-tier กรอก'!CB7='📝 Four-tier กรอก'!CB6,'📝 Four-tier กรอก'!CC7="Y",'📝 Four-tier กรอก'!CD7&lt;&gt;'📝 Four-tier กรอก'!CD6,'📝 Four-tier กรอก'!CE7="Y"),"🎲 Guess",IF(AND('📝 Four-tier กรอก'!CB7&lt;&gt;'📝 Four-tier กรอก'!CB6,'📝 Four-tier กรอก'!CC7="Y",'📝 Four-tier กรอก'!CD7&lt;&gt;'📝 Four-tier กรอก'!CD6,'📝 Four-tier กรอก'!CE7="Y"),"❌ Misc.",IF(AND('📝 Four-tier กรอก'!CB7&lt;&gt;'📝 Four-tier กรอก'!CB6,'📝 Four-tier กรอก'!CC7="N",'📝 Four-tier กรอก'!CD7&lt;&gt;'📝 Four-tier กรอก'!CD6,'📝 Four-tier กรอก'!CE7="N"),"❓ NoK","🤔 Partial")))))</f>
        <v/>
      </c>
      <c r="X5" s="37">
        <f>COUNTIF(D5:W5,"✅ Sound")</f>
        <v/>
      </c>
      <c r="Y5" s="37">
        <f>COUNTIF(D5:W5,"❌ Misc.")</f>
        <v/>
      </c>
      <c r="Z5" s="37">
        <f>COUNTIF(D5:W5,"🎲 Guess")</f>
        <v/>
      </c>
      <c r="AA5" s="37">
        <f>COUNTIF(D5:W5,"❓ NoK")</f>
        <v/>
      </c>
    </row>
    <row r="6" ht="18" customHeight="1">
      <c r="B6" s="46">
        <f>'📝 Four-tier กรอก'!B8</f>
        <v/>
      </c>
      <c r="C6" s="51">
        <f>'📝 Four-tier กรอก'!C8</f>
        <v/>
      </c>
      <c r="D6" s="68">
        <f>IF(OR('📝 Four-tier กรอก'!D8="",'📝 Four-tier กรอก'!F8=""),"—",IF(AND('📝 Four-tier กรอก'!D8='📝 Four-tier กรอก'!D6,'📝 Four-tier กรอก'!E8="Y",'📝 Four-tier กรอก'!F8='📝 Four-tier กรอก'!F6,'📝 Four-tier กรอก'!G8="Y"),"✅ Sound",IF(AND('📝 Four-tier กรอก'!D8='📝 Four-tier กรอก'!D6,'📝 Four-tier กรอก'!E8="Y",'📝 Four-tier กรอก'!F8&lt;&gt;'📝 Four-tier กรอก'!F6,'📝 Four-tier กรอก'!G8="Y"),"🎲 Guess",IF(AND('📝 Four-tier กรอก'!D8&lt;&gt;'📝 Four-tier กรอก'!D6,'📝 Four-tier กรอก'!E8="Y",'📝 Four-tier กรอก'!F8&lt;&gt;'📝 Four-tier กรอก'!F6,'📝 Four-tier กรอก'!G8="Y"),"❌ Misc.",IF(AND('📝 Four-tier กรอก'!D8&lt;&gt;'📝 Four-tier กรอก'!D6,'📝 Four-tier กรอก'!E8="N",'📝 Four-tier กรอก'!F8&lt;&gt;'📝 Four-tier กรอก'!F6,'📝 Four-tier กรอก'!G8="N"),"❓ NoK","🤔 Partial")))))</f>
        <v/>
      </c>
      <c r="E6" s="68">
        <f>IF(OR('📝 Four-tier กรอก'!H8="",'📝 Four-tier กรอก'!J8=""),"—",IF(AND('📝 Four-tier กรอก'!H8='📝 Four-tier กรอก'!H6,'📝 Four-tier กรอก'!I8="Y",'📝 Four-tier กรอก'!J8='📝 Four-tier กรอก'!J6,'📝 Four-tier กรอก'!K8="Y"),"✅ Sound",IF(AND('📝 Four-tier กรอก'!H8='📝 Four-tier กรอก'!H6,'📝 Four-tier กรอก'!I8="Y",'📝 Four-tier กรอก'!J8&lt;&gt;'📝 Four-tier กรอก'!J6,'📝 Four-tier กรอก'!K8="Y"),"🎲 Guess",IF(AND('📝 Four-tier กรอก'!H8&lt;&gt;'📝 Four-tier กรอก'!H6,'📝 Four-tier กรอก'!I8="Y",'📝 Four-tier กรอก'!J8&lt;&gt;'📝 Four-tier กรอก'!J6,'📝 Four-tier กรอก'!K8="Y"),"❌ Misc.",IF(AND('📝 Four-tier กรอก'!H8&lt;&gt;'📝 Four-tier กรอก'!H6,'📝 Four-tier กรอก'!I8="N",'📝 Four-tier กรอก'!J8&lt;&gt;'📝 Four-tier กรอก'!J6,'📝 Four-tier กรอก'!K8="N"),"❓ NoK","🤔 Partial")))))</f>
        <v/>
      </c>
      <c r="F6" s="68">
        <f>IF(OR('📝 Four-tier กรอก'!L8="",'📝 Four-tier กรอก'!N8=""),"—",IF(AND('📝 Four-tier กรอก'!L8='📝 Four-tier กรอก'!L6,'📝 Four-tier กรอก'!M8="Y",'📝 Four-tier กรอก'!N8='📝 Four-tier กรอก'!N6,'📝 Four-tier กรอก'!O8="Y"),"✅ Sound",IF(AND('📝 Four-tier กรอก'!L8='📝 Four-tier กรอก'!L6,'📝 Four-tier กรอก'!M8="Y",'📝 Four-tier กรอก'!N8&lt;&gt;'📝 Four-tier กรอก'!N6,'📝 Four-tier กรอก'!O8="Y"),"🎲 Guess",IF(AND('📝 Four-tier กรอก'!L8&lt;&gt;'📝 Four-tier กรอก'!L6,'📝 Four-tier กรอก'!M8="Y",'📝 Four-tier กรอก'!N8&lt;&gt;'📝 Four-tier กรอก'!N6,'📝 Four-tier กรอก'!O8="Y"),"❌ Misc.",IF(AND('📝 Four-tier กรอก'!L8&lt;&gt;'📝 Four-tier กรอก'!L6,'📝 Four-tier กรอก'!M8="N",'📝 Four-tier กรอก'!N8&lt;&gt;'📝 Four-tier กรอก'!N6,'📝 Four-tier กรอก'!O8="N"),"❓ NoK","🤔 Partial")))))</f>
        <v/>
      </c>
      <c r="G6" s="68">
        <f>IF(OR('📝 Four-tier กรอก'!P8="",'📝 Four-tier กรอก'!R8=""),"—",IF(AND('📝 Four-tier กรอก'!P8='📝 Four-tier กรอก'!P6,'📝 Four-tier กรอก'!Q8="Y",'📝 Four-tier กรอก'!R8='📝 Four-tier กรอก'!R6,'📝 Four-tier กรอก'!S8="Y"),"✅ Sound",IF(AND('📝 Four-tier กรอก'!P8='📝 Four-tier กรอก'!P6,'📝 Four-tier กรอก'!Q8="Y",'📝 Four-tier กรอก'!R8&lt;&gt;'📝 Four-tier กรอก'!R6,'📝 Four-tier กรอก'!S8="Y"),"🎲 Guess",IF(AND('📝 Four-tier กรอก'!P8&lt;&gt;'📝 Four-tier กรอก'!P6,'📝 Four-tier กรอก'!Q8="Y",'📝 Four-tier กรอก'!R8&lt;&gt;'📝 Four-tier กรอก'!R6,'📝 Four-tier กรอก'!S8="Y"),"❌ Misc.",IF(AND('📝 Four-tier กรอก'!P8&lt;&gt;'📝 Four-tier กรอก'!P6,'📝 Four-tier กรอก'!Q8="N",'📝 Four-tier กรอก'!R8&lt;&gt;'📝 Four-tier กรอก'!R6,'📝 Four-tier กรอก'!S8="N"),"❓ NoK","🤔 Partial")))))</f>
        <v/>
      </c>
      <c r="H6" s="68">
        <f>IF(OR('📝 Four-tier กรอก'!T8="",'📝 Four-tier กรอก'!V8=""),"—",IF(AND('📝 Four-tier กรอก'!T8='📝 Four-tier กรอก'!T6,'📝 Four-tier กรอก'!U8="Y",'📝 Four-tier กรอก'!V8='📝 Four-tier กรอก'!V6,'📝 Four-tier กรอก'!W8="Y"),"✅ Sound",IF(AND('📝 Four-tier กรอก'!T8='📝 Four-tier กรอก'!T6,'📝 Four-tier กรอก'!U8="Y",'📝 Four-tier กรอก'!V8&lt;&gt;'📝 Four-tier กรอก'!V6,'📝 Four-tier กรอก'!W8="Y"),"🎲 Guess",IF(AND('📝 Four-tier กรอก'!T8&lt;&gt;'📝 Four-tier กรอก'!T6,'📝 Four-tier กรอก'!U8="Y",'📝 Four-tier กรอก'!V8&lt;&gt;'📝 Four-tier กรอก'!V6,'📝 Four-tier กรอก'!W8="Y"),"❌ Misc.",IF(AND('📝 Four-tier กรอก'!T8&lt;&gt;'📝 Four-tier กรอก'!T6,'📝 Four-tier กรอก'!U8="N",'📝 Four-tier กรอก'!V8&lt;&gt;'📝 Four-tier กรอก'!V6,'📝 Four-tier กรอก'!W8="N"),"❓ NoK","🤔 Partial")))))</f>
        <v/>
      </c>
      <c r="I6" s="68">
        <f>IF(OR('📝 Four-tier กรอก'!X8="",'📝 Four-tier กรอก'!Z8=""),"—",IF(AND('📝 Four-tier กรอก'!X8='📝 Four-tier กรอก'!X6,'📝 Four-tier กรอก'!Y8="Y",'📝 Four-tier กรอก'!Z8='📝 Four-tier กรอก'!Z6,'📝 Four-tier กรอก'!AA8="Y"),"✅ Sound",IF(AND('📝 Four-tier กรอก'!X8='📝 Four-tier กรอก'!X6,'📝 Four-tier กรอก'!Y8="Y",'📝 Four-tier กรอก'!Z8&lt;&gt;'📝 Four-tier กรอก'!Z6,'📝 Four-tier กรอก'!AA8="Y"),"🎲 Guess",IF(AND('📝 Four-tier กรอก'!X8&lt;&gt;'📝 Four-tier กรอก'!X6,'📝 Four-tier กรอก'!Y8="Y",'📝 Four-tier กรอก'!Z8&lt;&gt;'📝 Four-tier กรอก'!Z6,'📝 Four-tier กรอก'!AA8="Y"),"❌ Misc.",IF(AND('📝 Four-tier กรอก'!X8&lt;&gt;'📝 Four-tier กรอก'!X6,'📝 Four-tier กรอก'!Y8="N",'📝 Four-tier กรอก'!Z8&lt;&gt;'📝 Four-tier กรอก'!Z6,'📝 Four-tier กรอก'!AA8="N"),"❓ NoK","🤔 Partial")))))</f>
        <v/>
      </c>
      <c r="J6" s="68">
        <f>IF(OR('📝 Four-tier กรอก'!AB8="",'📝 Four-tier กรอก'!AD8=""),"—",IF(AND('📝 Four-tier กรอก'!AB8='📝 Four-tier กรอก'!AB6,'📝 Four-tier กรอก'!AC8="Y",'📝 Four-tier กรอก'!AD8='📝 Four-tier กรอก'!AD6,'📝 Four-tier กรอก'!AE8="Y"),"✅ Sound",IF(AND('📝 Four-tier กรอก'!AB8='📝 Four-tier กรอก'!AB6,'📝 Four-tier กรอก'!AC8="Y",'📝 Four-tier กรอก'!AD8&lt;&gt;'📝 Four-tier กรอก'!AD6,'📝 Four-tier กรอก'!AE8="Y"),"🎲 Guess",IF(AND('📝 Four-tier กรอก'!AB8&lt;&gt;'📝 Four-tier กรอก'!AB6,'📝 Four-tier กรอก'!AC8="Y",'📝 Four-tier กรอก'!AD8&lt;&gt;'📝 Four-tier กรอก'!AD6,'📝 Four-tier กรอก'!AE8="Y"),"❌ Misc.",IF(AND('📝 Four-tier กรอก'!AB8&lt;&gt;'📝 Four-tier กรอก'!AB6,'📝 Four-tier กรอก'!AC8="N",'📝 Four-tier กรอก'!AD8&lt;&gt;'📝 Four-tier กรอก'!AD6,'📝 Four-tier กรอก'!AE8="N"),"❓ NoK","🤔 Partial")))))</f>
        <v/>
      </c>
      <c r="K6" s="68">
        <f>IF(OR('📝 Four-tier กรอก'!AF8="",'📝 Four-tier กรอก'!AH8=""),"—",IF(AND('📝 Four-tier กรอก'!AF8='📝 Four-tier กรอก'!AF6,'📝 Four-tier กรอก'!AG8="Y",'📝 Four-tier กรอก'!AH8='📝 Four-tier กรอก'!AH6,'📝 Four-tier กรอก'!AI8="Y"),"✅ Sound",IF(AND('📝 Four-tier กรอก'!AF8='📝 Four-tier กรอก'!AF6,'📝 Four-tier กรอก'!AG8="Y",'📝 Four-tier กรอก'!AH8&lt;&gt;'📝 Four-tier กรอก'!AH6,'📝 Four-tier กรอก'!AI8="Y"),"🎲 Guess",IF(AND('📝 Four-tier กรอก'!AF8&lt;&gt;'📝 Four-tier กรอก'!AF6,'📝 Four-tier กรอก'!AG8="Y",'📝 Four-tier กรอก'!AH8&lt;&gt;'📝 Four-tier กรอก'!AH6,'📝 Four-tier กรอก'!AI8="Y"),"❌ Misc.",IF(AND('📝 Four-tier กรอก'!AF8&lt;&gt;'📝 Four-tier กรอก'!AF6,'📝 Four-tier กรอก'!AG8="N",'📝 Four-tier กรอก'!AH8&lt;&gt;'📝 Four-tier กรอก'!AH6,'📝 Four-tier กรอก'!AI8="N"),"❓ NoK","🤔 Partial")))))</f>
        <v/>
      </c>
      <c r="L6" s="68">
        <f>IF(OR('📝 Four-tier กรอก'!AJ8="",'📝 Four-tier กรอก'!AL8=""),"—",IF(AND('📝 Four-tier กรอก'!AJ8='📝 Four-tier กรอก'!AJ6,'📝 Four-tier กรอก'!AK8="Y",'📝 Four-tier กรอก'!AL8='📝 Four-tier กรอก'!AL6,'📝 Four-tier กรอก'!AM8="Y"),"✅ Sound",IF(AND('📝 Four-tier กรอก'!AJ8='📝 Four-tier กรอก'!AJ6,'📝 Four-tier กรอก'!AK8="Y",'📝 Four-tier กรอก'!AL8&lt;&gt;'📝 Four-tier กรอก'!AL6,'📝 Four-tier กรอก'!AM8="Y"),"🎲 Guess",IF(AND('📝 Four-tier กรอก'!AJ8&lt;&gt;'📝 Four-tier กรอก'!AJ6,'📝 Four-tier กรอก'!AK8="Y",'📝 Four-tier กรอก'!AL8&lt;&gt;'📝 Four-tier กรอก'!AL6,'📝 Four-tier กรอก'!AM8="Y"),"❌ Misc.",IF(AND('📝 Four-tier กรอก'!AJ8&lt;&gt;'📝 Four-tier กรอก'!AJ6,'📝 Four-tier กรอก'!AK8="N",'📝 Four-tier กรอก'!AL8&lt;&gt;'📝 Four-tier กรอก'!AL6,'📝 Four-tier กรอก'!AM8="N"),"❓ NoK","🤔 Partial")))))</f>
        <v/>
      </c>
      <c r="M6" s="68">
        <f>IF(OR('📝 Four-tier กรอก'!AN8="",'📝 Four-tier กรอก'!AP8=""),"—",IF(AND('📝 Four-tier กรอก'!AN8='📝 Four-tier กรอก'!AN6,'📝 Four-tier กรอก'!AO8="Y",'📝 Four-tier กรอก'!AP8='📝 Four-tier กรอก'!AP6,'📝 Four-tier กรอก'!AQ8="Y"),"✅ Sound",IF(AND('📝 Four-tier กรอก'!AN8='📝 Four-tier กรอก'!AN6,'📝 Four-tier กรอก'!AO8="Y",'📝 Four-tier กรอก'!AP8&lt;&gt;'📝 Four-tier กรอก'!AP6,'📝 Four-tier กรอก'!AQ8="Y"),"🎲 Guess",IF(AND('📝 Four-tier กรอก'!AN8&lt;&gt;'📝 Four-tier กรอก'!AN6,'📝 Four-tier กรอก'!AO8="Y",'📝 Four-tier กรอก'!AP8&lt;&gt;'📝 Four-tier กรอก'!AP6,'📝 Four-tier กรอก'!AQ8="Y"),"❌ Misc.",IF(AND('📝 Four-tier กรอก'!AN8&lt;&gt;'📝 Four-tier กรอก'!AN6,'📝 Four-tier กรอก'!AO8="N",'📝 Four-tier กรอก'!AP8&lt;&gt;'📝 Four-tier กรอก'!AP6,'📝 Four-tier กรอก'!AQ8="N"),"❓ NoK","🤔 Partial")))))</f>
        <v/>
      </c>
      <c r="N6" s="68">
        <f>IF(OR('📝 Four-tier กรอก'!AR8="",'📝 Four-tier กรอก'!AT8=""),"—",IF(AND('📝 Four-tier กรอก'!AR8='📝 Four-tier กรอก'!AR6,'📝 Four-tier กรอก'!AS8="Y",'📝 Four-tier กรอก'!AT8='📝 Four-tier กรอก'!AT6,'📝 Four-tier กรอก'!AU8="Y"),"✅ Sound",IF(AND('📝 Four-tier กรอก'!AR8='📝 Four-tier กรอก'!AR6,'📝 Four-tier กรอก'!AS8="Y",'📝 Four-tier กรอก'!AT8&lt;&gt;'📝 Four-tier กรอก'!AT6,'📝 Four-tier กรอก'!AU8="Y"),"🎲 Guess",IF(AND('📝 Four-tier กรอก'!AR8&lt;&gt;'📝 Four-tier กรอก'!AR6,'📝 Four-tier กรอก'!AS8="Y",'📝 Four-tier กรอก'!AT8&lt;&gt;'📝 Four-tier กรอก'!AT6,'📝 Four-tier กรอก'!AU8="Y"),"❌ Misc.",IF(AND('📝 Four-tier กรอก'!AR8&lt;&gt;'📝 Four-tier กรอก'!AR6,'📝 Four-tier กรอก'!AS8="N",'📝 Four-tier กรอก'!AT8&lt;&gt;'📝 Four-tier กรอก'!AT6,'📝 Four-tier กรอก'!AU8="N"),"❓ NoK","🤔 Partial")))))</f>
        <v/>
      </c>
      <c r="O6" s="68">
        <f>IF(OR('📝 Four-tier กรอก'!AV8="",'📝 Four-tier กรอก'!AX8=""),"—",IF(AND('📝 Four-tier กรอก'!AV8='📝 Four-tier กรอก'!AV6,'📝 Four-tier กรอก'!AW8="Y",'📝 Four-tier กรอก'!AX8='📝 Four-tier กรอก'!AX6,'📝 Four-tier กรอก'!AY8="Y"),"✅ Sound",IF(AND('📝 Four-tier กรอก'!AV8='📝 Four-tier กรอก'!AV6,'📝 Four-tier กรอก'!AW8="Y",'📝 Four-tier กรอก'!AX8&lt;&gt;'📝 Four-tier กรอก'!AX6,'📝 Four-tier กรอก'!AY8="Y"),"🎲 Guess",IF(AND('📝 Four-tier กรอก'!AV8&lt;&gt;'📝 Four-tier กรอก'!AV6,'📝 Four-tier กรอก'!AW8="Y",'📝 Four-tier กรอก'!AX8&lt;&gt;'📝 Four-tier กรอก'!AX6,'📝 Four-tier กรอก'!AY8="Y"),"❌ Misc.",IF(AND('📝 Four-tier กรอก'!AV8&lt;&gt;'📝 Four-tier กรอก'!AV6,'📝 Four-tier กรอก'!AW8="N",'📝 Four-tier กรอก'!AX8&lt;&gt;'📝 Four-tier กรอก'!AX6,'📝 Four-tier กรอก'!AY8="N"),"❓ NoK","🤔 Partial")))))</f>
        <v/>
      </c>
      <c r="P6" s="68">
        <f>IF(OR('📝 Four-tier กรอก'!AZ8="",'📝 Four-tier กรอก'!BB8=""),"—",IF(AND('📝 Four-tier กรอก'!AZ8='📝 Four-tier กรอก'!AZ6,'📝 Four-tier กรอก'!BA8="Y",'📝 Four-tier กรอก'!BB8='📝 Four-tier กรอก'!BB6,'📝 Four-tier กรอก'!BC8="Y"),"✅ Sound",IF(AND('📝 Four-tier กรอก'!AZ8='📝 Four-tier กรอก'!AZ6,'📝 Four-tier กรอก'!BA8="Y",'📝 Four-tier กรอก'!BB8&lt;&gt;'📝 Four-tier กรอก'!BB6,'📝 Four-tier กรอก'!BC8="Y"),"🎲 Guess",IF(AND('📝 Four-tier กรอก'!AZ8&lt;&gt;'📝 Four-tier กรอก'!AZ6,'📝 Four-tier กรอก'!BA8="Y",'📝 Four-tier กรอก'!BB8&lt;&gt;'📝 Four-tier กรอก'!BB6,'📝 Four-tier กรอก'!BC8="Y"),"❌ Misc.",IF(AND('📝 Four-tier กรอก'!AZ8&lt;&gt;'📝 Four-tier กรอก'!AZ6,'📝 Four-tier กรอก'!BA8="N",'📝 Four-tier กรอก'!BB8&lt;&gt;'📝 Four-tier กรอก'!BB6,'📝 Four-tier กรอก'!BC8="N"),"❓ NoK","🤔 Partial")))))</f>
        <v/>
      </c>
      <c r="Q6" s="68">
        <f>IF(OR('📝 Four-tier กรอก'!BD8="",'📝 Four-tier กรอก'!BF8=""),"—",IF(AND('📝 Four-tier กรอก'!BD8='📝 Four-tier กรอก'!BD6,'📝 Four-tier กรอก'!BE8="Y",'📝 Four-tier กรอก'!BF8='📝 Four-tier กรอก'!BF6,'📝 Four-tier กรอก'!BG8="Y"),"✅ Sound",IF(AND('📝 Four-tier กรอก'!BD8='📝 Four-tier กรอก'!BD6,'📝 Four-tier กรอก'!BE8="Y",'📝 Four-tier กรอก'!BF8&lt;&gt;'📝 Four-tier กรอก'!BF6,'📝 Four-tier กรอก'!BG8="Y"),"🎲 Guess",IF(AND('📝 Four-tier กรอก'!BD8&lt;&gt;'📝 Four-tier กรอก'!BD6,'📝 Four-tier กรอก'!BE8="Y",'📝 Four-tier กรอก'!BF8&lt;&gt;'📝 Four-tier กรอก'!BF6,'📝 Four-tier กรอก'!BG8="Y"),"❌ Misc.",IF(AND('📝 Four-tier กรอก'!BD8&lt;&gt;'📝 Four-tier กรอก'!BD6,'📝 Four-tier กรอก'!BE8="N",'📝 Four-tier กรอก'!BF8&lt;&gt;'📝 Four-tier กรอก'!BF6,'📝 Four-tier กรอก'!BG8="N"),"❓ NoK","🤔 Partial")))))</f>
        <v/>
      </c>
      <c r="R6" s="68">
        <f>IF(OR('📝 Four-tier กรอก'!BH8="",'📝 Four-tier กรอก'!BJ8=""),"—",IF(AND('📝 Four-tier กรอก'!BH8='📝 Four-tier กรอก'!BH6,'📝 Four-tier กรอก'!BI8="Y",'📝 Four-tier กรอก'!BJ8='📝 Four-tier กรอก'!BJ6,'📝 Four-tier กรอก'!BK8="Y"),"✅ Sound",IF(AND('📝 Four-tier กรอก'!BH8='📝 Four-tier กรอก'!BH6,'📝 Four-tier กรอก'!BI8="Y",'📝 Four-tier กรอก'!BJ8&lt;&gt;'📝 Four-tier กรอก'!BJ6,'📝 Four-tier กรอก'!BK8="Y"),"🎲 Guess",IF(AND('📝 Four-tier กรอก'!BH8&lt;&gt;'📝 Four-tier กรอก'!BH6,'📝 Four-tier กรอก'!BI8="Y",'📝 Four-tier กรอก'!BJ8&lt;&gt;'📝 Four-tier กรอก'!BJ6,'📝 Four-tier กรอก'!BK8="Y"),"❌ Misc.",IF(AND('📝 Four-tier กรอก'!BH8&lt;&gt;'📝 Four-tier กรอก'!BH6,'📝 Four-tier กรอก'!BI8="N",'📝 Four-tier กรอก'!BJ8&lt;&gt;'📝 Four-tier กรอก'!BJ6,'📝 Four-tier กรอก'!BK8="N"),"❓ NoK","🤔 Partial")))))</f>
        <v/>
      </c>
      <c r="S6" s="68">
        <f>IF(OR('📝 Four-tier กรอก'!BL8="",'📝 Four-tier กรอก'!BN8=""),"—",IF(AND('📝 Four-tier กรอก'!BL8='📝 Four-tier กรอก'!BL6,'📝 Four-tier กรอก'!BM8="Y",'📝 Four-tier กรอก'!BN8='📝 Four-tier กรอก'!BN6,'📝 Four-tier กรอก'!BO8="Y"),"✅ Sound",IF(AND('📝 Four-tier กรอก'!BL8='📝 Four-tier กรอก'!BL6,'📝 Four-tier กรอก'!BM8="Y",'📝 Four-tier กรอก'!BN8&lt;&gt;'📝 Four-tier กรอก'!BN6,'📝 Four-tier กรอก'!BO8="Y"),"🎲 Guess",IF(AND('📝 Four-tier กรอก'!BL8&lt;&gt;'📝 Four-tier กรอก'!BL6,'📝 Four-tier กรอก'!BM8="Y",'📝 Four-tier กรอก'!BN8&lt;&gt;'📝 Four-tier กรอก'!BN6,'📝 Four-tier กรอก'!BO8="Y"),"❌ Misc.",IF(AND('📝 Four-tier กรอก'!BL8&lt;&gt;'📝 Four-tier กรอก'!BL6,'📝 Four-tier กรอก'!BM8="N",'📝 Four-tier กรอก'!BN8&lt;&gt;'📝 Four-tier กรอก'!BN6,'📝 Four-tier กรอก'!BO8="N"),"❓ NoK","🤔 Partial")))))</f>
        <v/>
      </c>
      <c r="T6" s="68">
        <f>IF(OR('📝 Four-tier กรอก'!BP8="",'📝 Four-tier กรอก'!BR8=""),"—",IF(AND('📝 Four-tier กรอก'!BP8='📝 Four-tier กรอก'!BP6,'📝 Four-tier กรอก'!BQ8="Y",'📝 Four-tier กรอก'!BR8='📝 Four-tier กรอก'!BR6,'📝 Four-tier กรอก'!BS8="Y"),"✅ Sound",IF(AND('📝 Four-tier กรอก'!BP8='📝 Four-tier กรอก'!BP6,'📝 Four-tier กรอก'!BQ8="Y",'📝 Four-tier กรอก'!BR8&lt;&gt;'📝 Four-tier กรอก'!BR6,'📝 Four-tier กรอก'!BS8="Y"),"🎲 Guess",IF(AND('📝 Four-tier กรอก'!BP8&lt;&gt;'📝 Four-tier กรอก'!BP6,'📝 Four-tier กรอก'!BQ8="Y",'📝 Four-tier กรอก'!BR8&lt;&gt;'📝 Four-tier กรอก'!BR6,'📝 Four-tier กรอก'!BS8="Y"),"❌ Misc.",IF(AND('📝 Four-tier กรอก'!BP8&lt;&gt;'📝 Four-tier กรอก'!BP6,'📝 Four-tier กรอก'!BQ8="N",'📝 Four-tier กรอก'!BR8&lt;&gt;'📝 Four-tier กรอก'!BR6,'📝 Four-tier กรอก'!BS8="N"),"❓ NoK","🤔 Partial")))))</f>
        <v/>
      </c>
      <c r="U6" s="68">
        <f>IF(OR('📝 Four-tier กรอก'!BT8="",'📝 Four-tier กรอก'!BV8=""),"—",IF(AND('📝 Four-tier กรอก'!BT8='📝 Four-tier กรอก'!BT6,'📝 Four-tier กรอก'!BU8="Y",'📝 Four-tier กรอก'!BV8='📝 Four-tier กรอก'!BV6,'📝 Four-tier กรอก'!BW8="Y"),"✅ Sound",IF(AND('📝 Four-tier กรอก'!BT8='📝 Four-tier กรอก'!BT6,'📝 Four-tier กรอก'!BU8="Y",'📝 Four-tier กรอก'!BV8&lt;&gt;'📝 Four-tier กรอก'!BV6,'📝 Four-tier กรอก'!BW8="Y"),"🎲 Guess",IF(AND('📝 Four-tier กรอก'!BT8&lt;&gt;'📝 Four-tier กรอก'!BT6,'📝 Four-tier กรอก'!BU8="Y",'📝 Four-tier กรอก'!BV8&lt;&gt;'📝 Four-tier กรอก'!BV6,'📝 Four-tier กรอก'!BW8="Y"),"❌ Misc.",IF(AND('📝 Four-tier กรอก'!BT8&lt;&gt;'📝 Four-tier กรอก'!BT6,'📝 Four-tier กรอก'!BU8="N",'📝 Four-tier กรอก'!BV8&lt;&gt;'📝 Four-tier กรอก'!BV6,'📝 Four-tier กรอก'!BW8="N"),"❓ NoK","🤔 Partial")))))</f>
        <v/>
      </c>
      <c r="V6" s="68">
        <f>IF(OR('📝 Four-tier กรอก'!BX8="",'📝 Four-tier กรอก'!BZ8=""),"—",IF(AND('📝 Four-tier กรอก'!BX8='📝 Four-tier กรอก'!BX6,'📝 Four-tier กรอก'!BY8="Y",'📝 Four-tier กรอก'!BZ8='📝 Four-tier กรอก'!BZ6,'📝 Four-tier กรอก'!CA8="Y"),"✅ Sound",IF(AND('📝 Four-tier กรอก'!BX8='📝 Four-tier กรอก'!BX6,'📝 Four-tier กรอก'!BY8="Y",'📝 Four-tier กรอก'!BZ8&lt;&gt;'📝 Four-tier กรอก'!BZ6,'📝 Four-tier กรอก'!CA8="Y"),"🎲 Guess",IF(AND('📝 Four-tier กรอก'!BX8&lt;&gt;'📝 Four-tier กรอก'!BX6,'📝 Four-tier กรอก'!BY8="Y",'📝 Four-tier กรอก'!BZ8&lt;&gt;'📝 Four-tier กรอก'!BZ6,'📝 Four-tier กรอก'!CA8="Y"),"❌ Misc.",IF(AND('📝 Four-tier กรอก'!BX8&lt;&gt;'📝 Four-tier กรอก'!BX6,'📝 Four-tier กรอก'!BY8="N",'📝 Four-tier กรอก'!BZ8&lt;&gt;'📝 Four-tier กรอก'!BZ6,'📝 Four-tier กรอก'!CA8="N"),"❓ NoK","🤔 Partial")))))</f>
        <v/>
      </c>
      <c r="W6" s="68">
        <f>IF(OR('📝 Four-tier กรอก'!CB8="",'📝 Four-tier กรอก'!CD8=""),"—",IF(AND('📝 Four-tier กรอก'!CB8='📝 Four-tier กรอก'!CB6,'📝 Four-tier กรอก'!CC8="Y",'📝 Four-tier กรอก'!CD8='📝 Four-tier กรอก'!CD6,'📝 Four-tier กรอก'!CE8="Y"),"✅ Sound",IF(AND('📝 Four-tier กรอก'!CB8='📝 Four-tier กรอก'!CB6,'📝 Four-tier กรอก'!CC8="Y",'📝 Four-tier กรอก'!CD8&lt;&gt;'📝 Four-tier กรอก'!CD6,'📝 Four-tier กรอก'!CE8="Y"),"🎲 Guess",IF(AND('📝 Four-tier กรอก'!CB8&lt;&gt;'📝 Four-tier กรอก'!CB6,'📝 Four-tier กรอก'!CC8="Y",'📝 Four-tier กรอก'!CD8&lt;&gt;'📝 Four-tier กรอก'!CD6,'📝 Four-tier กรอก'!CE8="Y"),"❌ Misc.",IF(AND('📝 Four-tier กรอก'!CB8&lt;&gt;'📝 Four-tier กรอก'!CB6,'📝 Four-tier กรอก'!CC8="N",'📝 Four-tier กรอก'!CD8&lt;&gt;'📝 Four-tier กรอก'!CD6,'📝 Four-tier กรอก'!CE8="N"),"❓ NoK","🤔 Partial")))))</f>
        <v/>
      </c>
      <c r="X6" s="37">
        <f>COUNTIF(D6:W6,"✅ Sound")</f>
        <v/>
      </c>
      <c r="Y6" s="37">
        <f>COUNTIF(D6:W6,"❌ Misc.")</f>
        <v/>
      </c>
      <c r="Z6" s="37">
        <f>COUNTIF(D6:W6,"🎲 Guess")</f>
        <v/>
      </c>
      <c r="AA6" s="37">
        <f>COUNTIF(D6:W6,"❓ NoK")</f>
        <v/>
      </c>
    </row>
    <row r="7" ht="18" customHeight="1">
      <c r="B7" s="46">
        <f>'📝 Four-tier กรอก'!B9</f>
        <v/>
      </c>
      <c r="C7" s="47">
        <f>'📝 Four-tier กรอก'!C9</f>
        <v/>
      </c>
      <c r="D7" s="67">
        <f>IF(OR('📝 Four-tier กรอก'!D9="",'📝 Four-tier กรอก'!F9=""),"—",IF(AND('📝 Four-tier กรอก'!D9='📝 Four-tier กรอก'!D6,'📝 Four-tier กรอก'!E9="Y",'📝 Four-tier กรอก'!F9='📝 Four-tier กรอก'!F6,'📝 Four-tier กรอก'!G9="Y"),"✅ Sound",IF(AND('📝 Four-tier กรอก'!D9='📝 Four-tier กรอก'!D6,'📝 Four-tier กรอก'!E9="Y",'📝 Four-tier กรอก'!F9&lt;&gt;'📝 Four-tier กรอก'!F6,'📝 Four-tier กรอก'!G9="Y"),"🎲 Guess",IF(AND('📝 Four-tier กรอก'!D9&lt;&gt;'📝 Four-tier กรอก'!D6,'📝 Four-tier กรอก'!E9="Y",'📝 Four-tier กรอก'!F9&lt;&gt;'📝 Four-tier กรอก'!F6,'📝 Four-tier กรอก'!G9="Y"),"❌ Misc.",IF(AND('📝 Four-tier กรอก'!D9&lt;&gt;'📝 Four-tier กรอก'!D6,'📝 Four-tier กรอก'!E9="N",'📝 Four-tier กรอก'!F9&lt;&gt;'📝 Four-tier กรอก'!F6,'📝 Four-tier กรอก'!G9="N"),"❓ NoK","🤔 Partial")))))</f>
        <v/>
      </c>
      <c r="E7" s="67">
        <f>IF(OR('📝 Four-tier กรอก'!H9="",'📝 Four-tier กรอก'!J9=""),"—",IF(AND('📝 Four-tier กรอก'!H9='📝 Four-tier กรอก'!H6,'📝 Four-tier กรอก'!I9="Y",'📝 Four-tier กรอก'!J9='📝 Four-tier กรอก'!J6,'📝 Four-tier กรอก'!K9="Y"),"✅ Sound",IF(AND('📝 Four-tier กรอก'!H9='📝 Four-tier กรอก'!H6,'📝 Four-tier กรอก'!I9="Y",'📝 Four-tier กรอก'!J9&lt;&gt;'📝 Four-tier กรอก'!J6,'📝 Four-tier กรอก'!K9="Y"),"🎲 Guess",IF(AND('📝 Four-tier กรอก'!H9&lt;&gt;'📝 Four-tier กรอก'!H6,'📝 Four-tier กรอก'!I9="Y",'📝 Four-tier กรอก'!J9&lt;&gt;'📝 Four-tier กรอก'!J6,'📝 Four-tier กรอก'!K9="Y"),"❌ Misc.",IF(AND('📝 Four-tier กรอก'!H9&lt;&gt;'📝 Four-tier กรอก'!H6,'📝 Four-tier กรอก'!I9="N",'📝 Four-tier กรอก'!J9&lt;&gt;'📝 Four-tier กรอก'!J6,'📝 Four-tier กรอก'!K9="N"),"❓ NoK","🤔 Partial")))))</f>
        <v/>
      </c>
      <c r="F7" s="67">
        <f>IF(OR('📝 Four-tier กรอก'!L9="",'📝 Four-tier กรอก'!N9=""),"—",IF(AND('📝 Four-tier กรอก'!L9='📝 Four-tier กรอก'!L6,'📝 Four-tier กรอก'!M9="Y",'📝 Four-tier กรอก'!N9='📝 Four-tier กรอก'!N6,'📝 Four-tier กรอก'!O9="Y"),"✅ Sound",IF(AND('📝 Four-tier กรอก'!L9='📝 Four-tier กรอก'!L6,'📝 Four-tier กรอก'!M9="Y",'📝 Four-tier กรอก'!N9&lt;&gt;'📝 Four-tier กรอก'!N6,'📝 Four-tier กรอก'!O9="Y"),"🎲 Guess",IF(AND('📝 Four-tier กรอก'!L9&lt;&gt;'📝 Four-tier กรอก'!L6,'📝 Four-tier กรอก'!M9="Y",'📝 Four-tier กรอก'!N9&lt;&gt;'📝 Four-tier กรอก'!N6,'📝 Four-tier กรอก'!O9="Y"),"❌ Misc.",IF(AND('📝 Four-tier กรอก'!L9&lt;&gt;'📝 Four-tier กรอก'!L6,'📝 Four-tier กรอก'!M9="N",'📝 Four-tier กรอก'!N9&lt;&gt;'📝 Four-tier กรอก'!N6,'📝 Four-tier กรอก'!O9="N"),"❓ NoK","🤔 Partial")))))</f>
        <v/>
      </c>
      <c r="G7" s="67">
        <f>IF(OR('📝 Four-tier กรอก'!P9="",'📝 Four-tier กรอก'!R9=""),"—",IF(AND('📝 Four-tier กรอก'!P9='📝 Four-tier กรอก'!P6,'📝 Four-tier กรอก'!Q9="Y",'📝 Four-tier กรอก'!R9='📝 Four-tier กรอก'!R6,'📝 Four-tier กรอก'!S9="Y"),"✅ Sound",IF(AND('📝 Four-tier กรอก'!P9='📝 Four-tier กรอก'!P6,'📝 Four-tier กรอก'!Q9="Y",'📝 Four-tier กรอก'!R9&lt;&gt;'📝 Four-tier กรอก'!R6,'📝 Four-tier กรอก'!S9="Y"),"🎲 Guess",IF(AND('📝 Four-tier กรอก'!P9&lt;&gt;'📝 Four-tier กรอก'!P6,'📝 Four-tier กรอก'!Q9="Y",'📝 Four-tier กรอก'!R9&lt;&gt;'📝 Four-tier กรอก'!R6,'📝 Four-tier กรอก'!S9="Y"),"❌ Misc.",IF(AND('📝 Four-tier กรอก'!P9&lt;&gt;'📝 Four-tier กรอก'!P6,'📝 Four-tier กรอก'!Q9="N",'📝 Four-tier กรอก'!R9&lt;&gt;'📝 Four-tier กรอก'!R6,'📝 Four-tier กรอก'!S9="N"),"❓ NoK","🤔 Partial")))))</f>
        <v/>
      </c>
      <c r="H7" s="67">
        <f>IF(OR('📝 Four-tier กรอก'!T9="",'📝 Four-tier กรอก'!V9=""),"—",IF(AND('📝 Four-tier กรอก'!T9='📝 Four-tier กรอก'!T6,'📝 Four-tier กรอก'!U9="Y",'📝 Four-tier กรอก'!V9='📝 Four-tier กรอก'!V6,'📝 Four-tier กรอก'!W9="Y"),"✅ Sound",IF(AND('📝 Four-tier กรอก'!T9='📝 Four-tier กรอก'!T6,'📝 Four-tier กรอก'!U9="Y",'📝 Four-tier กรอก'!V9&lt;&gt;'📝 Four-tier กรอก'!V6,'📝 Four-tier กรอก'!W9="Y"),"🎲 Guess",IF(AND('📝 Four-tier กรอก'!T9&lt;&gt;'📝 Four-tier กรอก'!T6,'📝 Four-tier กรอก'!U9="Y",'📝 Four-tier กรอก'!V9&lt;&gt;'📝 Four-tier กรอก'!V6,'📝 Four-tier กรอก'!W9="Y"),"❌ Misc.",IF(AND('📝 Four-tier กรอก'!T9&lt;&gt;'📝 Four-tier กรอก'!T6,'📝 Four-tier กรอก'!U9="N",'📝 Four-tier กรอก'!V9&lt;&gt;'📝 Four-tier กรอก'!V6,'📝 Four-tier กรอก'!W9="N"),"❓ NoK","🤔 Partial")))))</f>
        <v/>
      </c>
      <c r="I7" s="67">
        <f>IF(OR('📝 Four-tier กรอก'!X9="",'📝 Four-tier กรอก'!Z9=""),"—",IF(AND('📝 Four-tier กรอก'!X9='📝 Four-tier กรอก'!X6,'📝 Four-tier กรอก'!Y9="Y",'📝 Four-tier กรอก'!Z9='📝 Four-tier กรอก'!Z6,'📝 Four-tier กรอก'!AA9="Y"),"✅ Sound",IF(AND('📝 Four-tier กรอก'!X9='📝 Four-tier กรอก'!X6,'📝 Four-tier กรอก'!Y9="Y",'📝 Four-tier กรอก'!Z9&lt;&gt;'📝 Four-tier กรอก'!Z6,'📝 Four-tier กรอก'!AA9="Y"),"🎲 Guess",IF(AND('📝 Four-tier กรอก'!X9&lt;&gt;'📝 Four-tier กรอก'!X6,'📝 Four-tier กรอก'!Y9="Y",'📝 Four-tier กรอก'!Z9&lt;&gt;'📝 Four-tier กรอก'!Z6,'📝 Four-tier กรอก'!AA9="Y"),"❌ Misc.",IF(AND('📝 Four-tier กรอก'!X9&lt;&gt;'📝 Four-tier กรอก'!X6,'📝 Four-tier กรอก'!Y9="N",'📝 Four-tier กรอก'!Z9&lt;&gt;'📝 Four-tier กรอก'!Z6,'📝 Four-tier กรอก'!AA9="N"),"❓ NoK","🤔 Partial")))))</f>
        <v/>
      </c>
      <c r="J7" s="67">
        <f>IF(OR('📝 Four-tier กรอก'!AB9="",'📝 Four-tier กรอก'!AD9=""),"—",IF(AND('📝 Four-tier กรอก'!AB9='📝 Four-tier กรอก'!AB6,'📝 Four-tier กรอก'!AC9="Y",'📝 Four-tier กรอก'!AD9='📝 Four-tier กรอก'!AD6,'📝 Four-tier กรอก'!AE9="Y"),"✅ Sound",IF(AND('📝 Four-tier กรอก'!AB9='📝 Four-tier กรอก'!AB6,'📝 Four-tier กรอก'!AC9="Y",'📝 Four-tier กรอก'!AD9&lt;&gt;'📝 Four-tier กรอก'!AD6,'📝 Four-tier กรอก'!AE9="Y"),"🎲 Guess",IF(AND('📝 Four-tier กรอก'!AB9&lt;&gt;'📝 Four-tier กรอก'!AB6,'📝 Four-tier กรอก'!AC9="Y",'📝 Four-tier กรอก'!AD9&lt;&gt;'📝 Four-tier กรอก'!AD6,'📝 Four-tier กรอก'!AE9="Y"),"❌ Misc.",IF(AND('📝 Four-tier กรอก'!AB9&lt;&gt;'📝 Four-tier กรอก'!AB6,'📝 Four-tier กรอก'!AC9="N",'📝 Four-tier กรอก'!AD9&lt;&gt;'📝 Four-tier กรอก'!AD6,'📝 Four-tier กรอก'!AE9="N"),"❓ NoK","🤔 Partial")))))</f>
        <v/>
      </c>
      <c r="K7" s="67">
        <f>IF(OR('📝 Four-tier กรอก'!AF9="",'📝 Four-tier กรอก'!AH9=""),"—",IF(AND('📝 Four-tier กรอก'!AF9='📝 Four-tier กรอก'!AF6,'📝 Four-tier กรอก'!AG9="Y",'📝 Four-tier กรอก'!AH9='📝 Four-tier กรอก'!AH6,'📝 Four-tier กรอก'!AI9="Y"),"✅ Sound",IF(AND('📝 Four-tier กรอก'!AF9='📝 Four-tier กรอก'!AF6,'📝 Four-tier กรอก'!AG9="Y",'📝 Four-tier กรอก'!AH9&lt;&gt;'📝 Four-tier กรอก'!AH6,'📝 Four-tier กรอก'!AI9="Y"),"🎲 Guess",IF(AND('📝 Four-tier กรอก'!AF9&lt;&gt;'📝 Four-tier กรอก'!AF6,'📝 Four-tier กรอก'!AG9="Y",'📝 Four-tier กรอก'!AH9&lt;&gt;'📝 Four-tier กรอก'!AH6,'📝 Four-tier กรอก'!AI9="Y"),"❌ Misc.",IF(AND('📝 Four-tier กรอก'!AF9&lt;&gt;'📝 Four-tier กรอก'!AF6,'📝 Four-tier กรอก'!AG9="N",'📝 Four-tier กรอก'!AH9&lt;&gt;'📝 Four-tier กรอก'!AH6,'📝 Four-tier กรอก'!AI9="N"),"❓ NoK","🤔 Partial")))))</f>
        <v/>
      </c>
      <c r="L7" s="67">
        <f>IF(OR('📝 Four-tier กรอก'!AJ9="",'📝 Four-tier กรอก'!AL9=""),"—",IF(AND('📝 Four-tier กรอก'!AJ9='📝 Four-tier กรอก'!AJ6,'📝 Four-tier กรอก'!AK9="Y",'📝 Four-tier กรอก'!AL9='📝 Four-tier กรอก'!AL6,'📝 Four-tier กรอก'!AM9="Y"),"✅ Sound",IF(AND('📝 Four-tier กรอก'!AJ9='📝 Four-tier กรอก'!AJ6,'📝 Four-tier กรอก'!AK9="Y",'📝 Four-tier กรอก'!AL9&lt;&gt;'📝 Four-tier กรอก'!AL6,'📝 Four-tier กรอก'!AM9="Y"),"🎲 Guess",IF(AND('📝 Four-tier กรอก'!AJ9&lt;&gt;'📝 Four-tier กรอก'!AJ6,'📝 Four-tier กรอก'!AK9="Y",'📝 Four-tier กรอก'!AL9&lt;&gt;'📝 Four-tier กรอก'!AL6,'📝 Four-tier กรอก'!AM9="Y"),"❌ Misc.",IF(AND('📝 Four-tier กรอก'!AJ9&lt;&gt;'📝 Four-tier กรอก'!AJ6,'📝 Four-tier กรอก'!AK9="N",'📝 Four-tier กรอก'!AL9&lt;&gt;'📝 Four-tier กรอก'!AL6,'📝 Four-tier กรอก'!AM9="N"),"❓ NoK","🤔 Partial")))))</f>
        <v/>
      </c>
      <c r="M7" s="67">
        <f>IF(OR('📝 Four-tier กรอก'!AN9="",'📝 Four-tier กรอก'!AP9=""),"—",IF(AND('📝 Four-tier กรอก'!AN9='📝 Four-tier กรอก'!AN6,'📝 Four-tier กรอก'!AO9="Y",'📝 Four-tier กรอก'!AP9='📝 Four-tier กรอก'!AP6,'📝 Four-tier กรอก'!AQ9="Y"),"✅ Sound",IF(AND('📝 Four-tier กรอก'!AN9='📝 Four-tier กรอก'!AN6,'📝 Four-tier กรอก'!AO9="Y",'📝 Four-tier กรอก'!AP9&lt;&gt;'📝 Four-tier กรอก'!AP6,'📝 Four-tier กรอก'!AQ9="Y"),"🎲 Guess",IF(AND('📝 Four-tier กรอก'!AN9&lt;&gt;'📝 Four-tier กรอก'!AN6,'📝 Four-tier กรอก'!AO9="Y",'📝 Four-tier กรอก'!AP9&lt;&gt;'📝 Four-tier กรอก'!AP6,'📝 Four-tier กรอก'!AQ9="Y"),"❌ Misc.",IF(AND('📝 Four-tier กรอก'!AN9&lt;&gt;'📝 Four-tier กรอก'!AN6,'📝 Four-tier กรอก'!AO9="N",'📝 Four-tier กรอก'!AP9&lt;&gt;'📝 Four-tier กรอก'!AP6,'📝 Four-tier กรอก'!AQ9="N"),"❓ NoK","🤔 Partial")))))</f>
        <v/>
      </c>
      <c r="N7" s="67">
        <f>IF(OR('📝 Four-tier กรอก'!AR9="",'📝 Four-tier กรอก'!AT9=""),"—",IF(AND('📝 Four-tier กรอก'!AR9='📝 Four-tier กรอก'!AR6,'📝 Four-tier กรอก'!AS9="Y",'📝 Four-tier กรอก'!AT9='📝 Four-tier กรอก'!AT6,'📝 Four-tier กรอก'!AU9="Y"),"✅ Sound",IF(AND('📝 Four-tier กรอก'!AR9='📝 Four-tier กรอก'!AR6,'📝 Four-tier กรอก'!AS9="Y",'📝 Four-tier กรอก'!AT9&lt;&gt;'📝 Four-tier กรอก'!AT6,'📝 Four-tier กรอก'!AU9="Y"),"🎲 Guess",IF(AND('📝 Four-tier กรอก'!AR9&lt;&gt;'📝 Four-tier กรอก'!AR6,'📝 Four-tier กรอก'!AS9="Y",'📝 Four-tier กรอก'!AT9&lt;&gt;'📝 Four-tier กรอก'!AT6,'📝 Four-tier กรอก'!AU9="Y"),"❌ Misc.",IF(AND('📝 Four-tier กรอก'!AR9&lt;&gt;'📝 Four-tier กรอก'!AR6,'📝 Four-tier กรอก'!AS9="N",'📝 Four-tier กรอก'!AT9&lt;&gt;'📝 Four-tier กรอก'!AT6,'📝 Four-tier กรอก'!AU9="N"),"❓ NoK","🤔 Partial")))))</f>
        <v/>
      </c>
      <c r="O7" s="67">
        <f>IF(OR('📝 Four-tier กรอก'!AV9="",'📝 Four-tier กรอก'!AX9=""),"—",IF(AND('📝 Four-tier กรอก'!AV9='📝 Four-tier กรอก'!AV6,'📝 Four-tier กรอก'!AW9="Y",'📝 Four-tier กรอก'!AX9='📝 Four-tier กรอก'!AX6,'📝 Four-tier กรอก'!AY9="Y"),"✅ Sound",IF(AND('📝 Four-tier กรอก'!AV9='📝 Four-tier กรอก'!AV6,'📝 Four-tier กรอก'!AW9="Y",'📝 Four-tier กรอก'!AX9&lt;&gt;'📝 Four-tier กรอก'!AX6,'📝 Four-tier กรอก'!AY9="Y"),"🎲 Guess",IF(AND('📝 Four-tier กรอก'!AV9&lt;&gt;'📝 Four-tier กรอก'!AV6,'📝 Four-tier กรอก'!AW9="Y",'📝 Four-tier กรอก'!AX9&lt;&gt;'📝 Four-tier กรอก'!AX6,'📝 Four-tier กรอก'!AY9="Y"),"❌ Misc.",IF(AND('📝 Four-tier กรอก'!AV9&lt;&gt;'📝 Four-tier กรอก'!AV6,'📝 Four-tier กรอก'!AW9="N",'📝 Four-tier กรอก'!AX9&lt;&gt;'📝 Four-tier กรอก'!AX6,'📝 Four-tier กรอก'!AY9="N"),"❓ NoK","🤔 Partial")))))</f>
        <v/>
      </c>
      <c r="P7" s="67">
        <f>IF(OR('📝 Four-tier กรอก'!AZ9="",'📝 Four-tier กรอก'!BB9=""),"—",IF(AND('📝 Four-tier กรอก'!AZ9='📝 Four-tier กรอก'!AZ6,'📝 Four-tier กรอก'!BA9="Y",'📝 Four-tier กรอก'!BB9='📝 Four-tier กรอก'!BB6,'📝 Four-tier กรอก'!BC9="Y"),"✅ Sound",IF(AND('📝 Four-tier กรอก'!AZ9='📝 Four-tier กรอก'!AZ6,'📝 Four-tier กรอก'!BA9="Y",'📝 Four-tier กรอก'!BB9&lt;&gt;'📝 Four-tier กรอก'!BB6,'📝 Four-tier กรอก'!BC9="Y"),"🎲 Guess",IF(AND('📝 Four-tier กรอก'!AZ9&lt;&gt;'📝 Four-tier กรอก'!AZ6,'📝 Four-tier กรอก'!BA9="Y",'📝 Four-tier กรอก'!BB9&lt;&gt;'📝 Four-tier กรอก'!BB6,'📝 Four-tier กรอก'!BC9="Y"),"❌ Misc.",IF(AND('📝 Four-tier กรอก'!AZ9&lt;&gt;'📝 Four-tier กรอก'!AZ6,'📝 Four-tier กรอก'!BA9="N",'📝 Four-tier กรอก'!BB9&lt;&gt;'📝 Four-tier กรอก'!BB6,'📝 Four-tier กรอก'!BC9="N"),"❓ NoK","🤔 Partial")))))</f>
        <v/>
      </c>
      <c r="Q7" s="67">
        <f>IF(OR('📝 Four-tier กรอก'!BD9="",'📝 Four-tier กรอก'!BF9=""),"—",IF(AND('📝 Four-tier กรอก'!BD9='📝 Four-tier กรอก'!BD6,'📝 Four-tier กรอก'!BE9="Y",'📝 Four-tier กรอก'!BF9='📝 Four-tier กรอก'!BF6,'📝 Four-tier กรอก'!BG9="Y"),"✅ Sound",IF(AND('📝 Four-tier กรอก'!BD9='📝 Four-tier กรอก'!BD6,'📝 Four-tier กรอก'!BE9="Y",'📝 Four-tier กรอก'!BF9&lt;&gt;'📝 Four-tier กรอก'!BF6,'📝 Four-tier กรอก'!BG9="Y"),"🎲 Guess",IF(AND('📝 Four-tier กรอก'!BD9&lt;&gt;'📝 Four-tier กรอก'!BD6,'📝 Four-tier กรอก'!BE9="Y",'📝 Four-tier กรอก'!BF9&lt;&gt;'📝 Four-tier กรอก'!BF6,'📝 Four-tier กรอก'!BG9="Y"),"❌ Misc.",IF(AND('📝 Four-tier กรอก'!BD9&lt;&gt;'📝 Four-tier กรอก'!BD6,'📝 Four-tier กรอก'!BE9="N",'📝 Four-tier กรอก'!BF9&lt;&gt;'📝 Four-tier กรอก'!BF6,'📝 Four-tier กรอก'!BG9="N"),"❓ NoK","🤔 Partial")))))</f>
        <v/>
      </c>
      <c r="R7" s="67">
        <f>IF(OR('📝 Four-tier กรอก'!BH9="",'📝 Four-tier กรอก'!BJ9=""),"—",IF(AND('📝 Four-tier กรอก'!BH9='📝 Four-tier กรอก'!BH6,'📝 Four-tier กรอก'!BI9="Y",'📝 Four-tier กรอก'!BJ9='📝 Four-tier กรอก'!BJ6,'📝 Four-tier กรอก'!BK9="Y"),"✅ Sound",IF(AND('📝 Four-tier กรอก'!BH9='📝 Four-tier กรอก'!BH6,'📝 Four-tier กรอก'!BI9="Y",'📝 Four-tier กรอก'!BJ9&lt;&gt;'📝 Four-tier กรอก'!BJ6,'📝 Four-tier กรอก'!BK9="Y"),"🎲 Guess",IF(AND('📝 Four-tier กรอก'!BH9&lt;&gt;'📝 Four-tier กรอก'!BH6,'📝 Four-tier กรอก'!BI9="Y",'📝 Four-tier กรอก'!BJ9&lt;&gt;'📝 Four-tier กรอก'!BJ6,'📝 Four-tier กรอก'!BK9="Y"),"❌ Misc.",IF(AND('📝 Four-tier กรอก'!BH9&lt;&gt;'📝 Four-tier กรอก'!BH6,'📝 Four-tier กรอก'!BI9="N",'📝 Four-tier กรอก'!BJ9&lt;&gt;'📝 Four-tier กรอก'!BJ6,'📝 Four-tier กรอก'!BK9="N"),"❓ NoK","🤔 Partial")))))</f>
        <v/>
      </c>
      <c r="S7" s="67">
        <f>IF(OR('📝 Four-tier กรอก'!BL9="",'📝 Four-tier กรอก'!BN9=""),"—",IF(AND('📝 Four-tier กรอก'!BL9='📝 Four-tier กรอก'!BL6,'📝 Four-tier กรอก'!BM9="Y",'📝 Four-tier กรอก'!BN9='📝 Four-tier กรอก'!BN6,'📝 Four-tier กรอก'!BO9="Y"),"✅ Sound",IF(AND('📝 Four-tier กรอก'!BL9='📝 Four-tier กรอก'!BL6,'📝 Four-tier กรอก'!BM9="Y",'📝 Four-tier กรอก'!BN9&lt;&gt;'📝 Four-tier กรอก'!BN6,'📝 Four-tier กรอก'!BO9="Y"),"🎲 Guess",IF(AND('📝 Four-tier กรอก'!BL9&lt;&gt;'📝 Four-tier กรอก'!BL6,'📝 Four-tier กรอก'!BM9="Y",'📝 Four-tier กรอก'!BN9&lt;&gt;'📝 Four-tier กรอก'!BN6,'📝 Four-tier กรอก'!BO9="Y"),"❌ Misc.",IF(AND('📝 Four-tier กรอก'!BL9&lt;&gt;'📝 Four-tier กรอก'!BL6,'📝 Four-tier กรอก'!BM9="N",'📝 Four-tier กรอก'!BN9&lt;&gt;'📝 Four-tier กรอก'!BN6,'📝 Four-tier กรอก'!BO9="N"),"❓ NoK","🤔 Partial")))))</f>
        <v/>
      </c>
      <c r="T7" s="67">
        <f>IF(OR('📝 Four-tier กรอก'!BP9="",'📝 Four-tier กรอก'!BR9=""),"—",IF(AND('📝 Four-tier กรอก'!BP9='📝 Four-tier กรอก'!BP6,'📝 Four-tier กรอก'!BQ9="Y",'📝 Four-tier กรอก'!BR9='📝 Four-tier กรอก'!BR6,'📝 Four-tier กรอก'!BS9="Y"),"✅ Sound",IF(AND('📝 Four-tier กรอก'!BP9='📝 Four-tier กรอก'!BP6,'📝 Four-tier กรอก'!BQ9="Y",'📝 Four-tier กรอก'!BR9&lt;&gt;'📝 Four-tier กรอก'!BR6,'📝 Four-tier กรอก'!BS9="Y"),"🎲 Guess",IF(AND('📝 Four-tier กรอก'!BP9&lt;&gt;'📝 Four-tier กรอก'!BP6,'📝 Four-tier กรอก'!BQ9="Y",'📝 Four-tier กรอก'!BR9&lt;&gt;'📝 Four-tier กรอก'!BR6,'📝 Four-tier กรอก'!BS9="Y"),"❌ Misc.",IF(AND('📝 Four-tier กรอก'!BP9&lt;&gt;'📝 Four-tier กรอก'!BP6,'📝 Four-tier กรอก'!BQ9="N",'📝 Four-tier กรอก'!BR9&lt;&gt;'📝 Four-tier กรอก'!BR6,'📝 Four-tier กรอก'!BS9="N"),"❓ NoK","🤔 Partial")))))</f>
        <v/>
      </c>
      <c r="U7" s="67">
        <f>IF(OR('📝 Four-tier กรอก'!BT9="",'📝 Four-tier กรอก'!BV9=""),"—",IF(AND('📝 Four-tier กรอก'!BT9='📝 Four-tier กรอก'!BT6,'📝 Four-tier กรอก'!BU9="Y",'📝 Four-tier กรอก'!BV9='📝 Four-tier กรอก'!BV6,'📝 Four-tier กรอก'!BW9="Y"),"✅ Sound",IF(AND('📝 Four-tier กรอก'!BT9='📝 Four-tier กรอก'!BT6,'📝 Four-tier กรอก'!BU9="Y",'📝 Four-tier กรอก'!BV9&lt;&gt;'📝 Four-tier กรอก'!BV6,'📝 Four-tier กรอก'!BW9="Y"),"🎲 Guess",IF(AND('📝 Four-tier กรอก'!BT9&lt;&gt;'📝 Four-tier กรอก'!BT6,'📝 Four-tier กรอก'!BU9="Y",'📝 Four-tier กรอก'!BV9&lt;&gt;'📝 Four-tier กรอก'!BV6,'📝 Four-tier กรอก'!BW9="Y"),"❌ Misc.",IF(AND('📝 Four-tier กรอก'!BT9&lt;&gt;'📝 Four-tier กรอก'!BT6,'📝 Four-tier กรอก'!BU9="N",'📝 Four-tier กรอก'!BV9&lt;&gt;'📝 Four-tier กรอก'!BV6,'📝 Four-tier กรอก'!BW9="N"),"❓ NoK","🤔 Partial")))))</f>
        <v/>
      </c>
      <c r="V7" s="67">
        <f>IF(OR('📝 Four-tier กรอก'!BX9="",'📝 Four-tier กรอก'!BZ9=""),"—",IF(AND('📝 Four-tier กรอก'!BX9='📝 Four-tier กรอก'!BX6,'📝 Four-tier กรอก'!BY9="Y",'📝 Four-tier กรอก'!BZ9='📝 Four-tier กรอก'!BZ6,'📝 Four-tier กรอก'!CA9="Y"),"✅ Sound",IF(AND('📝 Four-tier กรอก'!BX9='📝 Four-tier กรอก'!BX6,'📝 Four-tier กรอก'!BY9="Y",'📝 Four-tier กรอก'!BZ9&lt;&gt;'📝 Four-tier กรอก'!BZ6,'📝 Four-tier กรอก'!CA9="Y"),"🎲 Guess",IF(AND('📝 Four-tier กรอก'!BX9&lt;&gt;'📝 Four-tier กรอก'!BX6,'📝 Four-tier กรอก'!BY9="Y",'📝 Four-tier กรอก'!BZ9&lt;&gt;'📝 Four-tier กรอก'!BZ6,'📝 Four-tier กรอก'!CA9="Y"),"❌ Misc.",IF(AND('📝 Four-tier กรอก'!BX9&lt;&gt;'📝 Four-tier กรอก'!BX6,'📝 Four-tier กรอก'!BY9="N",'📝 Four-tier กรอก'!BZ9&lt;&gt;'📝 Four-tier กรอก'!BZ6,'📝 Four-tier กรอก'!CA9="N"),"❓ NoK","🤔 Partial")))))</f>
        <v/>
      </c>
      <c r="W7" s="67">
        <f>IF(OR('📝 Four-tier กรอก'!CB9="",'📝 Four-tier กรอก'!CD9=""),"—",IF(AND('📝 Four-tier กรอก'!CB9='📝 Four-tier กรอก'!CB6,'📝 Four-tier กรอก'!CC9="Y",'📝 Four-tier กรอก'!CD9='📝 Four-tier กรอก'!CD6,'📝 Four-tier กรอก'!CE9="Y"),"✅ Sound",IF(AND('📝 Four-tier กรอก'!CB9='📝 Four-tier กรอก'!CB6,'📝 Four-tier กรอก'!CC9="Y",'📝 Four-tier กรอก'!CD9&lt;&gt;'📝 Four-tier กรอก'!CD6,'📝 Four-tier กรอก'!CE9="Y"),"🎲 Guess",IF(AND('📝 Four-tier กรอก'!CB9&lt;&gt;'📝 Four-tier กรอก'!CB6,'📝 Four-tier กรอก'!CC9="Y",'📝 Four-tier กรอก'!CD9&lt;&gt;'📝 Four-tier กรอก'!CD6,'📝 Four-tier กรอก'!CE9="Y"),"❌ Misc.",IF(AND('📝 Four-tier กรอก'!CB9&lt;&gt;'📝 Four-tier กรอก'!CB6,'📝 Four-tier กรอก'!CC9="N",'📝 Four-tier กรอก'!CD9&lt;&gt;'📝 Four-tier กรอก'!CD6,'📝 Four-tier กรอก'!CE9="N"),"❓ NoK","🤔 Partial")))))</f>
        <v/>
      </c>
      <c r="X7" s="37">
        <f>COUNTIF(D7:W7,"✅ Sound")</f>
        <v/>
      </c>
      <c r="Y7" s="37">
        <f>COUNTIF(D7:W7,"❌ Misc.")</f>
        <v/>
      </c>
      <c r="Z7" s="37">
        <f>COUNTIF(D7:W7,"🎲 Guess")</f>
        <v/>
      </c>
      <c r="AA7" s="37">
        <f>COUNTIF(D7:W7,"❓ NoK")</f>
        <v/>
      </c>
    </row>
    <row r="8" ht="18" customHeight="1">
      <c r="B8" s="46">
        <f>'📝 Four-tier กรอก'!B10</f>
        <v/>
      </c>
      <c r="C8" s="51">
        <f>'📝 Four-tier กรอก'!C10</f>
        <v/>
      </c>
      <c r="D8" s="68">
        <f>IF(OR('📝 Four-tier กรอก'!D10="",'📝 Four-tier กรอก'!F10=""),"—",IF(AND('📝 Four-tier กรอก'!D10='📝 Four-tier กรอก'!D6,'📝 Four-tier กรอก'!E10="Y",'📝 Four-tier กรอก'!F10='📝 Four-tier กรอก'!F6,'📝 Four-tier กรอก'!G10="Y"),"✅ Sound",IF(AND('📝 Four-tier กรอก'!D10='📝 Four-tier กรอก'!D6,'📝 Four-tier กรอก'!E10="Y",'📝 Four-tier กรอก'!F10&lt;&gt;'📝 Four-tier กรอก'!F6,'📝 Four-tier กรอก'!G10="Y"),"🎲 Guess",IF(AND('📝 Four-tier กรอก'!D10&lt;&gt;'📝 Four-tier กรอก'!D6,'📝 Four-tier กรอก'!E10="Y",'📝 Four-tier กรอก'!F10&lt;&gt;'📝 Four-tier กรอก'!F6,'📝 Four-tier กรอก'!G10="Y"),"❌ Misc.",IF(AND('📝 Four-tier กรอก'!D10&lt;&gt;'📝 Four-tier กรอก'!D6,'📝 Four-tier กรอก'!E10="N",'📝 Four-tier กรอก'!F10&lt;&gt;'📝 Four-tier กรอก'!F6,'📝 Four-tier กรอก'!G10="N"),"❓ NoK","🤔 Partial")))))</f>
        <v/>
      </c>
      <c r="E8" s="68">
        <f>IF(OR('📝 Four-tier กรอก'!H10="",'📝 Four-tier กรอก'!J10=""),"—",IF(AND('📝 Four-tier กรอก'!H10='📝 Four-tier กรอก'!H6,'📝 Four-tier กรอก'!I10="Y",'📝 Four-tier กรอก'!J10='📝 Four-tier กรอก'!J6,'📝 Four-tier กรอก'!K10="Y"),"✅ Sound",IF(AND('📝 Four-tier กรอก'!H10='📝 Four-tier กรอก'!H6,'📝 Four-tier กรอก'!I10="Y",'📝 Four-tier กรอก'!J10&lt;&gt;'📝 Four-tier กรอก'!J6,'📝 Four-tier กรอก'!K10="Y"),"🎲 Guess",IF(AND('📝 Four-tier กรอก'!H10&lt;&gt;'📝 Four-tier กรอก'!H6,'📝 Four-tier กรอก'!I10="Y",'📝 Four-tier กรอก'!J10&lt;&gt;'📝 Four-tier กรอก'!J6,'📝 Four-tier กรอก'!K10="Y"),"❌ Misc.",IF(AND('📝 Four-tier กรอก'!H10&lt;&gt;'📝 Four-tier กรอก'!H6,'📝 Four-tier กรอก'!I10="N",'📝 Four-tier กรอก'!J10&lt;&gt;'📝 Four-tier กรอก'!J6,'📝 Four-tier กรอก'!K10="N"),"❓ NoK","🤔 Partial")))))</f>
        <v/>
      </c>
      <c r="F8" s="68">
        <f>IF(OR('📝 Four-tier กรอก'!L10="",'📝 Four-tier กรอก'!N10=""),"—",IF(AND('📝 Four-tier กรอก'!L10='📝 Four-tier กรอก'!L6,'📝 Four-tier กรอก'!M10="Y",'📝 Four-tier กรอก'!N10='📝 Four-tier กรอก'!N6,'📝 Four-tier กรอก'!O10="Y"),"✅ Sound",IF(AND('📝 Four-tier กรอก'!L10='📝 Four-tier กรอก'!L6,'📝 Four-tier กรอก'!M10="Y",'📝 Four-tier กรอก'!N10&lt;&gt;'📝 Four-tier กรอก'!N6,'📝 Four-tier กรอก'!O10="Y"),"🎲 Guess",IF(AND('📝 Four-tier กรอก'!L10&lt;&gt;'📝 Four-tier กรอก'!L6,'📝 Four-tier กรอก'!M10="Y",'📝 Four-tier กรอก'!N10&lt;&gt;'📝 Four-tier กรอก'!N6,'📝 Four-tier กรอก'!O10="Y"),"❌ Misc.",IF(AND('📝 Four-tier กรอก'!L10&lt;&gt;'📝 Four-tier กรอก'!L6,'📝 Four-tier กรอก'!M10="N",'📝 Four-tier กรอก'!N10&lt;&gt;'📝 Four-tier กรอก'!N6,'📝 Four-tier กรอก'!O10="N"),"❓ NoK","🤔 Partial")))))</f>
        <v/>
      </c>
      <c r="G8" s="68">
        <f>IF(OR('📝 Four-tier กรอก'!P10="",'📝 Four-tier กรอก'!R10=""),"—",IF(AND('📝 Four-tier กรอก'!P10='📝 Four-tier กรอก'!P6,'📝 Four-tier กรอก'!Q10="Y",'📝 Four-tier กรอก'!R10='📝 Four-tier กรอก'!R6,'📝 Four-tier กรอก'!S10="Y"),"✅ Sound",IF(AND('📝 Four-tier กรอก'!P10='📝 Four-tier กรอก'!P6,'📝 Four-tier กรอก'!Q10="Y",'📝 Four-tier กรอก'!R10&lt;&gt;'📝 Four-tier กรอก'!R6,'📝 Four-tier กรอก'!S10="Y"),"🎲 Guess",IF(AND('📝 Four-tier กรอก'!P10&lt;&gt;'📝 Four-tier กรอก'!P6,'📝 Four-tier กรอก'!Q10="Y",'📝 Four-tier กรอก'!R10&lt;&gt;'📝 Four-tier กรอก'!R6,'📝 Four-tier กรอก'!S10="Y"),"❌ Misc.",IF(AND('📝 Four-tier กรอก'!P10&lt;&gt;'📝 Four-tier กรอก'!P6,'📝 Four-tier กรอก'!Q10="N",'📝 Four-tier กรอก'!R10&lt;&gt;'📝 Four-tier กรอก'!R6,'📝 Four-tier กรอก'!S10="N"),"❓ NoK","🤔 Partial")))))</f>
        <v/>
      </c>
      <c r="H8" s="68">
        <f>IF(OR('📝 Four-tier กรอก'!T10="",'📝 Four-tier กรอก'!V10=""),"—",IF(AND('📝 Four-tier กรอก'!T10='📝 Four-tier กรอก'!T6,'📝 Four-tier กรอก'!U10="Y",'📝 Four-tier กรอก'!V10='📝 Four-tier กรอก'!V6,'📝 Four-tier กรอก'!W10="Y"),"✅ Sound",IF(AND('📝 Four-tier กรอก'!T10='📝 Four-tier กรอก'!T6,'📝 Four-tier กรอก'!U10="Y",'📝 Four-tier กรอก'!V10&lt;&gt;'📝 Four-tier กรอก'!V6,'📝 Four-tier กรอก'!W10="Y"),"🎲 Guess",IF(AND('📝 Four-tier กรอก'!T10&lt;&gt;'📝 Four-tier กรอก'!T6,'📝 Four-tier กรอก'!U10="Y",'📝 Four-tier กรอก'!V10&lt;&gt;'📝 Four-tier กรอก'!V6,'📝 Four-tier กรอก'!W10="Y"),"❌ Misc.",IF(AND('📝 Four-tier กรอก'!T10&lt;&gt;'📝 Four-tier กรอก'!T6,'📝 Four-tier กรอก'!U10="N",'📝 Four-tier กรอก'!V10&lt;&gt;'📝 Four-tier กรอก'!V6,'📝 Four-tier กรอก'!W10="N"),"❓ NoK","🤔 Partial")))))</f>
        <v/>
      </c>
      <c r="I8" s="68">
        <f>IF(OR('📝 Four-tier กรอก'!X10="",'📝 Four-tier กรอก'!Z10=""),"—",IF(AND('📝 Four-tier กรอก'!X10='📝 Four-tier กรอก'!X6,'📝 Four-tier กรอก'!Y10="Y",'📝 Four-tier กรอก'!Z10='📝 Four-tier กรอก'!Z6,'📝 Four-tier กรอก'!AA10="Y"),"✅ Sound",IF(AND('📝 Four-tier กรอก'!X10='📝 Four-tier กรอก'!X6,'📝 Four-tier กรอก'!Y10="Y",'📝 Four-tier กรอก'!Z10&lt;&gt;'📝 Four-tier กรอก'!Z6,'📝 Four-tier กรอก'!AA10="Y"),"🎲 Guess",IF(AND('📝 Four-tier กรอก'!X10&lt;&gt;'📝 Four-tier กรอก'!X6,'📝 Four-tier กรอก'!Y10="Y",'📝 Four-tier กรอก'!Z10&lt;&gt;'📝 Four-tier กรอก'!Z6,'📝 Four-tier กรอก'!AA10="Y"),"❌ Misc.",IF(AND('📝 Four-tier กรอก'!X10&lt;&gt;'📝 Four-tier กรอก'!X6,'📝 Four-tier กรอก'!Y10="N",'📝 Four-tier กรอก'!Z10&lt;&gt;'📝 Four-tier กรอก'!Z6,'📝 Four-tier กรอก'!AA10="N"),"❓ NoK","🤔 Partial")))))</f>
        <v/>
      </c>
      <c r="J8" s="68">
        <f>IF(OR('📝 Four-tier กรอก'!AB10="",'📝 Four-tier กรอก'!AD10=""),"—",IF(AND('📝 Four-tier กรอก'!AB10='📝 Four-tier กรอก'!AB6,'📝 Four-tier กรอก'!AC10="Y",'📝 Four-tier กรอก'!AD10='📝 Four-tier กรอก'!AD6,'📝 Four-tier กรอก'!AE10="Y"),"✅ Sound",IF(AND('📝 Four-tier กรอก'!AB10='📝 Four-tier กรอก'!AB6,'📝 Four-tier กรอก'!AC10="Y",'📝 Four-tier กรอก'!AD10&lt;&gt;'📝 Four-tier กรอก'!AD6,'📝 Four-tier กรอก'!AE10="Y"),"🎲 Guess",IF(AND('📝 Four-tier กรอก'!AB10&lt;&gt;'📝 Four-tier กรอก'!AB6,'📝 Four-tier กรอก'!AC10="Y",'📝 Four-tier กรอก'!AD10&lt;&gt;'📝 Four-tier กรอก'!AD6,'📝 Four-tier กรอก'!AE10="Y"),"❌ Misc.",IF(AND('📝 Four-tier กรอก'!AB10&lt;&gt;'📝 Four-tier กรอก'!AB6,'📝 Four-tier กรอก'!AC10="N",'📝 Four-tier กรอก'!AD10&lt;&gt;'📝 Four-tier กรอก'!AD6,'📝 Four-tier กรอก'!AE10="N"),"❓ NoK","🤔 Partial")))))</f>
        <v/>
      </c>
      <c r="K8" s="68">
        <f>IF(OR('📝 Four-tier กรอก'!AF10="",'📝 Four-tier กรอก'!AH10=""),"—",IF(AND('📝 Four-tier กรอก'!AF10='📝 Four-tier กรอก'!AF6,'📝 Four-tier กรอก'!AG10="Y",'📝 Four-tier กรอก'!AH10='📝 Four-tier กรอก'!AH6,'📝 Four-tier กรอก'!AI10="Y"),"✅ Sound",IF(AND('📝 Four-tier กรอก'!AF10='📝 Four-tier กรอก'!AF6,'📝 Four-tier กรอก'!AG10="Y",'📝 Four-tier กรอก'!AH10&lt;&gt;'📝 Four-tier กรอก'!AH6,'📝 Four-tier กรอก'!AI10="Y"),"🎲 Guess",IF(AND('📝 Four-tier กรอก'!AF10&lt;&gt;'📝 Four-tier กรอก'!AF6,'📝 Four-tier กรอก'!AG10="Y",'📝 Four-tier กรอก'!AH10&lt;&gt;'📝 Four-tier กรอก'!AH6,'📝 Four-tier กรอก'!AI10="Y"),"❌ Misc.",IF(AND('📝 Four-tier กรอก'!AF10&lt;&gt;'📝 Four-tier กรอก'!AF6,'📝 Four-tier กรอก'!AG10="N",'📝 Four-tier กรอก'!AH10&lt;&gt;'📝 Four-tier กรอก'!AH6,'📝 Four-tier กรอก'!AI10="N"),"❓ NoK","🤔 Partial")))))</f>
        <v/>
      </c>
      <c r="L8" s="68">
        <f>IF(OR('📝 Four-tier กรอก'!AJ10="",'📝 Four-tier กรอก'!AL10=""),"—",IF(AND('📝 Four-tier กรอก'!AJ10='📝 Four-tier กรอก'!AJ6,'📝 Four-tier กรอก'!AK10="Y",'📝 Four-tier กรอก'!AL10='📝 Four-tier กรอก'!AL6,'📝 Four-tier กรอก'!AM10="Y"),"✅ Sound",IF(AND('📝 Four-tier กรอก'!AJ10='📝 Four-tier กรอก'!AJ6,'📝 Four-tier กรอก'!AK10="Y",'📝 Four-tier กรอก'!AL10&lt;&gt;'📝 Four-tier กรอก'!AL6,'📝 Four-tier กรอก'!AM10="Y"),"🎲 Guess",IF(AND('📝 Four-tier กรอก'!AJ10&lt;&gt;'📝 Four-tier กรอก'!AJ6,'📝 Four-tier กรอก'!AK10="Y",'📝 Four-tier กรอก'!AL10&lt;&gt;'📝 Four-tier กรอก'!AL6,'📝 Four-tier กรอก'!AM10="Y"),"❌ Misc.",IF(AND('📝 Four-tier กรอก'!AJ10&lt;&gt;'📝 Four-tier กรอก'!AJ6,'📝 Four-tier กรอก'!AK10="N",'📝 Four-tier กรอก'!AL10&lt;&gt;'📝 Four-tier กรอก'!AL6,'📝 Four-tier กรอก'!AM10="N"),"❓ NoK","🤔 Partial")))))</f>
        <v/>
      </c>
      <c r="M8" s="68">
        <f>IF(OR('📝 Four-tier กรอก'!AN10="",'📝 Four-tier กรอก'!AP10=""),"—",IF(AND('📝 Four-tier กรอก'!AN10='📝 Four-tier กรอก'!AN6,'📝 Four-tier กรอก'!AO10="Y",'📝 Four-tier กรอก'!AP10='📝 Four-tier กรอก'!AP6,'📝 Four-tier กรอก'!AQ10="Y"),"✅ Sound",IF(AND('📝 Four-tier กรอก'!AN10='📝 Four-tier กรอก'!AN6,'📝 Four-tier กรอก'!AO10="Y",'📝 Four-tier กรอก'!AP10&lt;&gt;'📝 Four-tier กรอก'!AP6,'📝 Four-tier กรอก'!AQ10="Y"),"🎲 Guess",IF(AND('📝 Four-tier กรอก'!AN10&lt;&gt;'📝 Four-tier กรอก'!AN6,'📝 Four-tier กรอก'!AO10="Y",'📝 Four-tier กรอก'!AP10&lt;&gt;'📝 Four-tier กรอก'!AP6,'📝 Four-tier กรอก'!AQ10="Y"),"❌ Misc.",IF(AND('📝 Four-tier กรอก'!AN10&lt;&gt;'📝 Four-tier กรอก'!AN6,'📝 Four-tier กรอก'!AO10="N",'📝 Four-tier กรอก'!AP10&lt;&gt;'📝 Four-tier กรอก'!AP6,'📝 Four-tier กรอก'!AQ10="N"),"❓ NoK","🤔 Partial")))))</f>
        <v/>
      </c>
      <c r="N8" s="68">
        <f>IF(OR('📝 Four-tier กรอก'!AR10="",'📝 Four-tier กรอก'!AT10=""),"—",IF(AND('📝 Four-tier กรอก'!AR10='📝 Four-tier กรอก'!AR6,'📝 Four-tier กรอก'!AS10="Y",'📝 Four-tier กรอก'!AT10='📝 Four-tier กรอก'!AT6,'📝 Four-tier กรอก'!AU10="Y"),"✅ Sound",IF(AND('📝 Four-tier กรอก'!AR10='📝 Four-tier กรอก'!AR6,'📝 Four-tier กรอก'!AS10="Y",'📝 Four-tier กรอก'!AT10&lt;&gt;'📝 Four-tier กรอก'!AT6,'📝 Four-tier กรอก'!AU10="Y"),"🎲 Guess",IF(AND('📝 Four-tier กรอก'!AR10&lt;&gt;'📝 Four-tier กรอก'!AR6,'📝 Four-tier กรอก'!AS10="Y",'📝 Four-tier กรอก'!AT10&lt;&gt;'📝 Four-tier กรอก'!AT6,'📝 Four-tier กรอก'!AU10="Y"),"❌ Misc.",IF(AND('📝 Four-tier กรอก'!AR10&lt;&gt;'📝 Four-tier กรอก'!AR6,'📝 Four-tier กรอก'!AS10="N",'📝 Four-tier กรอก'!AT10&lt;&gt;'📝 Four-tier กรอก'!AT6,'📝 Four-tier กรอก'!AU10="N"),"❓ NoK","🤔 Partial")))))</f>
        <v/>
      </c>
      <c r="O8" s="68">
        <f>IF(OR('📝 Four-tier กรอก'!AV10="",'📝 Four-tier กรอก'!AX10=""),"—",IF(AND('📝 Four-tier กรอก'!AV10='📝 Four-tier กรอก'!AV6,'📝 Four-tier กรอก'!AW10="Y",'📝 Four-tier กรอก'!AX10='📝 Four-tier กรอก'!AX6,'📝 Four-tier กรอก'!AY10="Y"),"✅ Sound",IF(AND('📝 Four-tier กรอก'!AV10='📝 Four-tier กรอก'!AV6,'📝 Four-tier กรอก'!AW10="Y",'📝 Four-tier กรอก'!AX10&lt;&gt;'📝 Four-tier กรอก'!AX6,'📝 Four-tier กรอก'!AY10="Y"),"🎲 Guess",IF(AND('📝 Four-tier กรอก'!AV10&lt;&gt;'📝 Four-tier กรอก'!AV6,'📝 Four-tier กรอก'!AW10="Y",'📝 Four-tier กรอก'!AX10&lt;&gt;'📝 Four-tier กรอก'!AX6,'📝 Four-tier กรอก'!AY10="Y"),"❌ Misc.",IF(AND('📝 Four-tier กรอก'!AV10&lt;&gt;'📝 Four-tier กรอก'!AV6,'📝 Four-tier กรอก'!AW10="N",'📝 Four-tier กรอก'!AX10&lt;&gt;'📝 Four-tier กรอก'!AX6,'📝 Four-tier กรอก'!AY10="N"),"❓ NoK","🤔 Partial")))))</f>
        <v/>
      </c>
      <c r="P8" s="68">
        <f>IF(OR('📝 Four-tier กรอก'!AZ10="",'📝 Four-tier กรอก'!BB10=""),"—",IF(AND('📝 Four-tier กรอก'!AZ10='📝 Four-tier กรอก'!AZ6,'📝 Four-tier กรอก'!BA10="Y",'📝 Four-tier กรอก'!BB10='📝 Four-tier กรอก'!BB6,'📝 Four-tier กรอก'!BC10="Y"),"✅ Sound",IF(AND('📝 Four-tier กรอก'!AZ10='📝 Four-tier กรอก'!AZ6,'📝 Four-tier กรอก'!BA10="Y",'📝 Four-tier กรอก'!BB10&lt;&gt;'📝 Four-tier กรอก'!BB6,'📝 Four-tier กรอก'!BC10="Y"),"🎲 Guess",IF(AND('📝 Four-tier กรอก'!AZ10&lt;&gt;'📝 Four-tier กรอก'!AZ6,'📝 Four-tier กรอก'!BA10="Y",'📝 Four-tier กรอก'!BB10&lt;&gt;'📝 Four-tier กรอก'!BB6,'📝 Four-tier กรอก'!BC10="Y"),"❌ Misc.",IF(AND('📝 Four-tier กรอก'!AZ10&lt;&gt;'📝 Four-tier กรอก'!AZ6,'📝 Four-tier กรอก'!BA10="N",'📝 Four-tier กรอก'!BB10&lt;&gt;'📝 Four-tier กรอก'!BB6,'📝 Four-tier กรอก'!BC10="N"),"❓ NoK","🤔 Partial")))))</f>
        <v/>
      </c>
      <c r="Q8" s="68">
        <f>IF(OR('📝 Four-tier กรอก'!BD10="",'📝 Four-tier กรอก'!BF10=""),"—",IF(AND('📝 Four-tier กรอก'!BD10='📝 Four-tier กรอก'!BD6,'📝 Four-tier กรอก'!BE10="Y",'📝 Four-tier กรอก'!BF10='📝 Four-tier กรอก'!BF6,'📝 Four-tier กรอก'!BG10="Y"),"✅ Sound",IF(AND('📝 Four-tier กรอก'!BD10='📝 Four-tier กรอก'!BD6,'📝 Four-tier กรอก'!BE10="Y",'📝 Four-tier กรอก'!BF10&lt;&gt;'📝 Four-tier กรอก'!BF6,'📝 Four-tier กรอก'!BG10="Y"),"🎲 Guess",IF(AND('📝 Four-tier กรอก'!BD10&lt;&gt;'📝 Four-tier กรอก'!BD6,'📝 Four-tier กรอก'!BE10="Y",'📝 Four-tier กรอก'!BF10&lt;&gt;'📝 Four-tier กรอก'!BF6,'📝 Four-tier กรอก'!BG10="Y"),"❌ Misc.",IF(AND('📝 Four-tier กรอก'!BD10&lt;&gt;'📝 Four-tier กรอก'!BD6,'📝 Four-tier กรอก'!BE10="N",'📝 Four-tier กรอก'!BF10&lt;&gt;'📝 Four-tier กรอก'!BF6,'📝 Four-tier กรอก'!BG10="N"),"❓ NoK","🤔 Partial")))))</f>
        <v/>
      </c>
      <c r="R8" s="68">
        <f>IF(OR('📝 Four-tier กรอก'!BH10="",'📝 Four-tier กรอก'!BJ10=""),"—",IF(AND('📝 Four-tier กรอก'!BH10='📝 Four-tier กรอก'!BH6,'📝 Four-tier กรอก'!BI10="Y",'📝 Four-tier กรอก'!BJ10='📝 Four-tier กรอก'!BJ6,'📝 Four-tier กรอก'!BK10="Y"),"✅ Sound",IF(AND('📝 Four-tier กรอก'!BH10='📝 Four-tier กรอก'!BH6,'📝 Four-tier กรอก'!BI10="Y",'📝 Four-tier กรอก'!BJ10&lt;&gt;'📝 Four-tier กรอก'!BJ6,'📝 Four-tier กรอก'!BK10="Y"),"🎲 Guess",IF(AND('📝 Four-tier กรอก'!BH10&lt;&gt;'📝 Four-tier กรอก'!BH6,'📝 Four-tier กรอก'!BI10="Y",'📝 Four-tier กรอก'!BJ10&lt;&gt;'📝 Four-tier กรอก'!BJ6,'📝 Four-tier กรอก'!BK10="Y"),"❌ Misc.",IF(AND('📝 Four-tier กรอก'!BH10&lt;&gt;'📝 Four-tier กรอก'!BH6,'📝 Four-tier กรอก'!BI10="N",'📝 Four-tier กรอก'!BJ10&lt;&gt;'📝 Four-tier กรอก'!BJ6,'📝 Four-tier กรอก'!BK10="N"),"❓ NoK","🤔 Partial")))))</f>
        <v/>
      </c>
      <c r="S8" s="68">
        <f>IF(OR('📝 Four-tier กรอก'!BL10="",'📝 Four-tier กรอก'!BN10=""),"—",IF(AND('📝 Four-tier กรอก'!BL10='📝 Four-tier กรอก'!BL6,'📝 Four-tier กรอก'!BM10="Y",'📝 Four-tier กรอก'!BN10='📝 Four-tier กรอก'!BN6,'📝 Four-tier กรอก'!BO10="Y"),"✅ Sound",IF(AND('📝 Four-tier กรอก'!BL10='📝 Four-tier กรอก'!BL6,'📝 Four-tier กรอก'!BM10="Y",'📝 Four-tier กรอก'!BN10&lt;&gt;'📝 Four-tier กรอก'!BN6,'📝 Four-tier กรอก'!BO10="Y"),"🎲 Guess",IF(AND('📝 Four-tier กรอก'!BL10&lt;&gt;'📝 Four-tier กรอก'!BL6,'📝 Four-tier กรอก'!BM10="Y",'📝 Four-tier กรอก'!BN10&lt;&gt;'📝 Four-tier กรอก'!BN6,'📝 Four-tier กรอก'!BO10="Y"),"❌ Misc.",IF(AND('📝 Four-tier กรอก'!BL10&lt;&gt;'📝 Four-tier กรอก'!BL6,'📝 Four-tier กรอก'!BM10="N",'📝 Four-tier กรอก'!BN10&lt;&gt;'📝 Four-tier กรอก'!BN6,'📝 Four-tier กรอก'!BO10="N"),"❓ NoK","🤔 Partial")))))</f>
        <v/>
      </c>
      <c r="T8" s="68">
        <f>IF(OR('📝 Four-tier กรอก'!BP10="",'📝 Four-tier กรอก'!BR10=""),"—",IF(AND('📝 Four-tier กรอก'!BP10='📝 Four-tier กรอก'!BP6,'📝 Four-tier กรอก'!BQ10="Y",'📝 Four-tier กรอก'!BR10='📝 Four-tier กรอก'!BR6,'📝 Four-tier กรอก'!BS10="Y"),"✅ Sound",IF(AND('📝 Four-tier กรอก'!BP10='📝 Four-tier กรอก'!BP6,'📝 Four-tier กรอก'!BQ10="Y",'📝 Four-tier กรอก'!BR10&lt;&gt;'📝 Four-tier กรอก'!BR6,'📝 Four-tier กรอก'!BS10="Y"),"🎲 Guess",IF(AND('📝 Four-tier กรอก'!BP10&lt;&gt;'📝 Four-tier กรอก'!BP6,'📝 Four-tier กรอก'!BQ10="Y",'📝 Four-tier กรอก'!BR10&lt;&gt;'📝 Four-tier กรอก'!BR6,'📝 Four-tier กรอก'!BS10="Y"),"❌ Misc.",IF(AND('📝 Four-tier กรอก'!BP10&lt;&gt;'📝 Four-tier กรอก'!BP6,'📝 Four-tier กรอก'!BQ10="N",'📝 Four-tier กรอก'!BR10&lt;&gt;'📝 Four-tier กรอก'!BR6,'📝 Four-tier กรอก'!BS10="N"),"❓ NoK","🤔 Partial")))))</f>
        <v/>
      </c>
      <c r="U8" s="68">
        <f>IF(OR('📝 Four-tier กรอก'!BT10="",'📝 Four-tier กรอก'!BV10=""),"—",IF(AND('📝 Four-tier กรอก'!BT10='📝 Four-tier กรอก'!BT6,'📝 Four-tier กรอก'!BU10="Y",'📝 Four-tier กรอก'!BV10='📝 Four-tier กรอก'!BV6,'📝 Four-tier กรอก'!BW10="Y"),"✅ Sound",IF(AND('📝 Four-tier กรอก'!BT10='📝 Four-tier กรอก'!BT6,'📝 Four-tier กรอก'!BU10="Y",'📝 Four-tier กรอก'!BV10&lt;&gt;'📝 Four-tier กรอก'!BV6,'📝 Four-tier กรอก'!BW10="Y"),"🎲 Guess",IF(AND('📝 Four-tier กรอก'!BT10&lt;&gt;'📝 Four-tier กรอก'!BT6,'📝 Four-tier กรอก'!BU10="Y",'📝 Four-tier กรอก'!BV10&lt;&gt;'📝 Four-tier กรอก'!BV6,'📝 Four-tier กรอก'!BW10="Y"),"❌ Misc.",IF(AND('📝 Four-tier กรอก'!BT10&lt;&gt;'📝 Four-tier กรอก'!BT6,'📝 Four-tier กรอก'!BU10="N",'📝 Four-tier กรอก'!BV10&lt;&gt;'📝 Four-tier กรอก'!BV6,'📝 Four-tier กรอก'!BW10="N"),"❓ NoK","🤔 Partial")))))</f>
        <v/>
      </c>
      <c r="V8" s="68">
        <f>IF(OR('📝 Four-tier กรอก'!BX10="",'📝 Four-tier กรอก'!BZ10=""),"—",IF(AND('📝 Four-tier กรอก'!BX10='📝 Four-tier กรอก'!BX6,'📝 Four-tier กรอก'!BY10="Y",'📝 Four-tier กรอก'!BZ10='📝 Four-tier กรอก'!BZ6,'📝 Four-tier กรอก'!CA10="Y"),"✅ Sound",IF(AND('📝 Four-tier กรอก'!BX10='📝 Four-tier กรอก'!BX6,'📝 Four-tier กรอก'!BY10="Y",'📝 Four-tier กรอก'!BZ10&lt;&gt;'📝 Four-tier กรอก'!BZ6,'📝 Four-tier กรอก'!CA10="Y"),"🎲 Guess",IF(AND('📝 Four-tier กรอก'!BX10&lt;&gt;'📝 Four-tier กรอก'!BX6,'📝 Four-tier กรอก'!BY10="Y",'📝 Four-tier กรอก'!BZ10&lt;&gt;'📝 Four-tier กรอก'!BZ6,'📝 Four-tier กรอก'!CA10="Y"),"❌ Misc.",IF(AND('📝 Four-tier กรอก'!BX10&lt;&gt;'📝 Four-tier กรอก'!BX6,'📝 Four-tier กรอก'!BY10="N",'📝 Four-tier กรอก'!BZ10&lt;&gt;'📝 Four-tier กรอก'!BZ6,'📝 Four-tier กรอก'!CA10="N"),"❓ NoK","🤔 Partial")))))</f>
        <v/>
      </c>
      <c r="W8" s="68">
        <f>IF(OR('📝 Four-tier กรอก'!CB10="",'📝 Four-tier กรอก'!CD10=""),"—",IF(AND('📝 Four-tier กรอก'!CB10='📝 Four-tier กรอก'!CB6,'📝 Four-tier กรอก'!CC10="Y",'📝 Four-tier กรอก'!CD10='📝 Four-tier กรอก'!CD6,'📝 Four-tier กรอก'!CE10="Y"),"✅ Sound",IF(AND('📝 Four-tier กรอก'!CB10='📝 Four-tier กรอก'!CB6,'📝 Four-tier กรอก'!CC10="Y",'📝 Four-tier กรอก'!CD10&lt;&gt;'📝 Four-tier กรอก'!CD6,'📝 Four-tier กรอก'!CE10="Y"),"🎲 Guess",IF(AND('📝 Four-tier กรอก'!CB10&lt;&gt;'📝 Four-tier กรอก'!CB6,'📝 Four-tier กรอก'!CC10="Y",'📝 Four-tier กรอก'!CD10&lt;&gt;'📝 Four-tier กรอก'!CD6,'📝 Four-tier กรอก'!CE10="Y"),"❌ Misc.",IF(AND('📝 Four-tier กรอก'!CB10&lt;&gt;'📝 Four-tier กรอก'!CB6,'📝 Four-tier กรอก'!CC10="N",'📝 Four-tier กรอก'!CD10&lt;&gt;'📝 Four-tier กรอก'!CD6,'📝 Four-tier กรอก'!CE10="N"),"❓ NoK","🤔 Partial")))))</f>
        <v/>
      </c>
      <c r="X8" s="37">
        <f>COUNTIF(D8:W8,"✅ Sound")</f>
        <v/>
      </c>
      <c r="Y8" s="37">
        <f>COUNTIF(D8:W8,"❌ Misc.")</f>
        <v/>
      </c>
      <c r="Z8" s="37">
        <f>COUNTIF(D8:W8,"🎲 Guess")</f>
        <v/>
      </c>
      <c r="AA8" s="37">
        <f>COUNTIF(D8:W8,"❓ NoK")</f>
        <v/>
      </c>
    </row>
    <row r="9" ht="18" customHeight="1">
      <c r="B9" s="46">
        <f>'📝 Four-tier กรอก'!B11</f>
        <v/>
      </c>
      <c r="C9" s="47">
        <f>'📝 Four-tier กรอก'!C11</f>
        <v/>
      </c>
      <c r="D9" s="67">
        <f>IF(OR('📝 Four-tier กรอก'!D11="",'📝 Four-tier กรอก'!F11=""),"—",IF(AND('📝 Four-tier กรอก'!D11='📝 Four-tier กรอก'!D6,'📝 Four-tier กรอก'!E11="Y",'📝 Four-tier กรอก'!F11='📝 Four-tier กรอก'!F6,'📝 Four-tier กรอก'!G11="Y"),"✅ Sound",IF(AND('📝 Four-tier กรอก'!D11='📝 Four-tier กรอก'!D6,'📝 Four-tier กรอก'!E11="Y",'📝 Four-tier กรอก'!F11&lt;&gt;'📝 Four-tier กรอก'!F6,'📝 Four-tier กรอก'!G11="Y"),"🎲 Guess",IF(AND('📝 Four-tier กรอก'!D11&lt;&gt;'📝 Four-tier กรอก'!D6,'📝 Four-tier กรอก'!E11="Y",'📝 Four-tier กรอก'!F11&lt;&gt;'📝 Four-tier กรอก'!F6,'📝 Four-tier กรอก'!G11="Y"),"❌ Misc.",IF(AND('📝 Four-tier กรอก'!D11&lt;&gt;'📝 Four-tier กรอก'!D6,'📝 Four-tier กรอก'!E11="N",'📝 Four-tier กรอก'!F11&lt;&gt;'📝 Four-tier กรอก'!F6,'📝 Four-tier กรอก'!G11="N"),"❓ NoK","🤔 Partial")))))</f>
        <v/>
      </c>
      <c r="E9" s="67">
        <f>IF(OR('📝 Four-tier กรอก'!H11="",'📝 Four-tier กรอก'!J11=""),"—",IF(AND('📝 Four-tier กรอก'!H11='📝 Four-tier กรอก'!H6,'📝 Four-tier กรอก'!I11="Y",'📝 Four-tier กรอก'!J11='📝 Four-tier กรอก'!J6,'📝 Four-tier กรอก'!K11="Y"),"✅ Sound",IF(AND('📝 Four-tier กรอก'!H11='📝 Four-tier กรอก'!H6,'📝 Four-tier กรอก'!I11="Y",'📝 Four-tier กรอก'!J11&lt;&gt;'📝 Four-tier กรอก'!J6,'📝 Four-tier กรอก'!K11="Y"),"🎲 Guess",IF(AND('📝 Four-tier กรอก'!H11&lt;&gt;'📝 Four-tier กรอก'!H6,'📝 Four-tier กรอก'!I11="Y",'📝 Four-tier กรอก'!J11&lt;&gt;'📝 Four-tier กรอก'!J6,'📝 Four-tier กรอก'!K11="Y"),"❌ Misc.",IF(AND('📝 Four-tier กรอก'!H11&lt;&gt;'📝 Four-tier กรอก'!H6,'📝 Four-tier กรอก'!I11="N",'📝 Four-tier กรอก'!J11&lt;&gt;'📝 Four-tier กรอก'!J6,'📝 Four-tier กรอก'!K11="N"),"❓ NoK","🤔 Partial")))))</f>
        <v/>
      </c>
      <c r="F9" s="67">
        <f>IF(OR('📝 Four-tier กรอก'!L11="",'📝 Four-tier กรอก'!N11=""),"—",IF(AND('📝 Four-tier กรอก'!L11='📝 Four-tier กรอก'!L6,'📝 Four-tier กรอก'!M11="Y",'📝 Four-tier กรอก'!N11='📝 Four-tier กรอก'!N6,'📝 Four-tier กรอก'!O11="Y"),"✅ Sound",IF(AND('📝 Four-tier กรอก'!L11='📝 Four-tier กรอก'!L6,'📝 Four-tier กรอก'!M11="Y",'📝 Four-tier กรอก'!N11&lt;&gt;'📝 Four-tier กรอก'!N6,'📝 Four-tier กรอก'!O11="Y"),"🎲 Guess",IF(AND('📝 Four-tier กรอก'!L11&lt;&gt;'📝 Four-tier กรอก'!L6,'📝 Four-tier กรอก'!M11="Y",'📝 Four-tier กรอก'!N11&lt;&gt;'📝 Four-tier กรอก'!N6,'📝 Four-tier กรอก'!O11="Y"),"❌ Misc.",IF(AND('📝 Four-tier กรอก'!L11&lt;&gt;'📝 Four-tier กรอก'!L6,'📝 Four-tier กรอก'!M11="N",'📝 Four-tier กรอก'!N11&lt;&gt;'📝 Four-tier กรอก'!N6,'📝 Four-tier กรอก'!O11="N"),"❓ NoK","🤔 Partial")))))</f>
        <v/>
      </c>
      <c r="G9" s="67">
        <f>IF(OR('📝 Four-tier กรอก'!P11="",'📝 Four-tier กรอก'!R11=""),"—",IF(AND('📝 Four-tier กรอก'!P11='📝 Four-tier กรอก'!P6,'📝 Four-tier กรอก'!Q11="Y",'📝 Four-tier กรอก'!R11='📝 Four-tier กรอก'!R6,'📝 Four-tier กรอก'!S11="Y"),"✅ Sound",IF(AND('📝 Four-tier กรอก'!P11='📝 Four-tier กรอก'!P6,'📝 Four-tier กรอก'!Q11="Y",'📝 Four-tier กรอก'!R11&lt;&gt;'📝 Four-tier กรอก'!R6,'📝 Four-tier กรอก'!S11="Y"),"🎲 Guess",IF(AND('📝 Four-tier กรอก'!P11&lt;&gt;'📝 Four-tier กรอก'!P6,'📝 Four-tier กรอก'!Q11="Y",'📝 Four-tier กรอก'!R11&lt;&gt;'📝 Four-tier กรอก'!R6,'📝 Four-tier กรอก'!S11="Y"),"❌ Misc.",IF(AND('📝 Four-tier กรอก'!P11&lt;&gt;'📝 Four-tier กรอก'!P6,'📝 Four-tier กรอก'!Q11="N",'📝 Four-tier กรอก'!R11&lt;&gt;'📝 Four-tier กรอก'!R6,'📝 Four-tier กรอก'!S11="N"),"❓ NoK","🤔 Partial")))))</f>
        <v/>
      </c>
      <c r="H9" s="67">
        <f>IF(OR('📝 Four-tier กรอก'!T11="",'📝 Four-tier กรอก'!V11=""),"—",IF(AND('📝 Four-tier กรอก'!T11='📝 Four-tier กรอก'!T6,'📝 Four-tier กรอก'!U11="Y",'📝 Four-tier กรอก'!V11='📝 Four-tier กรอก'!V6,'📝 Four-tier กรอก'!W11="Y"),"✅ Sound",IF(AND('📝 Four-tier กรอก'!T11='📝 Four-tier กรอก'!T6,'📝 Four-tier กรอก'!U11="Y",'📝 Four-tier กรอก'!V11&lt;&gt;'📝 Four-tier กรอก'!V6,'📝 Four-tier กรอก'!W11="Y"),"🎲 Guess",IF(AND('📝 Four-tier กรอก'!T11&lt;&gt;'📝 Four-tier กรอก'!T6,'📝 Four-tier กรอก'!U11="Y",'📝 Four-tier กรอก'!V11&lt;&gt;'📝 Four-tier กรอก'!V6,'📝 Four-tier กรอก'!W11="Y"),"❌ Misc.",IF(AND('📝 Four-tier กรอก'!T11&lt;&gt;'📝 Four-tier กรอก'!T6,'📝 Four-tier กรอก'!U11="N",'📝 Four-tier กรอก'!V11&lt;&gt;'📝 Four-tier กรอก'!V6,'📝 Four-tier กรอก'!W11="N"),"❓ NoK","🤔 Partial")))))</f>
        <v/>
      </c>
      <c r="I9" s="67">
        <f>IF(OR('📝 Four-tier กรอก'!X11="",'📝 Four-tier กรอก'!Z11=""),"—",IF(AND('📝 Four-tier กรอก'!X11='📝 Four-tier กรอก'!X6,'📝 Four-tier กรอก'!Y11="Y",'📝 Four-tier กรอก'!Z11='📝 Four-tier กรอก'!Z6,'📝 Four-tier กรอก'!AA11="Y"),"✅ Sound",IF(AND('📝 Four-tier กรอก'!X11='📝 Four-tier กรอก'!X6,'📝 Four-tier กรอก'!Y11="Y",'📝 Four-tier กรอก'!Z11&lt;&gt;'📝 Four-tier กรอก'!Z6,'📝 Four-tier กรอก'!AA11="Y"),"🎲 Guess",IF(AND('📝 Four-tier กรอก'!X11&lt;&gt;'📝 Four-tier กรอก'!X6,'📝 Four-tier กรอก'!Y11="Y",'📝 Four-tier กรอก'!Z11&lt;&gt;'📝 Four-tier กรอก'!Z6,'📝 Four-tier กรอก'!AA11="Y"),"❌ Misc.",IF(AND('📝 Four-tier กรอก'!X11&lt;&gt;'📝 Four-tier กรอก'!X6,'📝 Four-tier กรอก'!Y11="N",'📝 Four-tier กรอก'!Z11&lt;&gt;'📝 Four-tier กรอก'!Z6,'📝 Four-tier กรอก'!AA11="N"),"❓ NoK","🤔 Partial")))))</f>
        <v/>
      </c>
      <c r="J9" s="67">
        <f>IF(OR('📝 Four-tier กรอก'!AB11="",'📝 Four-tier กรอก'!AD11=""),"—",IF(AND('📝 Four-tier กรอก'!AB11='📝 Four-tier กรอก'!AB6,'📝 Four-tier กรอก'!AC11="Y",'📝 Four-tier กรอก'!AD11='📝 Four-tier กรอก'!AD6,'📝 Four-tier กรอก'!AE11="Y"),"✅ Sound",IF(AND('📝 Four-tier กรอก'!AB11='📝 Four-tier กรอก'!AB6,'📝 Four-tier กรอก'!AC11="Y",'📝 Four-tier กรอก'!AD11&lt;&gt;'📝 Four-tier กรอก'!AD6,'📝 Four-tier กรอก'!AE11="Y"),"🎲 Guess",IF(AND('📝 Four-tier กรอก'!AB11&lt;&gt;'📝 Four-tier กรอก'!AB6,'📝 Four-tier กรอก'!AC11="Y",'📝 Four-tier กรอก'!AD11&lt;&gt;'📝 Four-tier กรอก'!AD6,'📝 Four-tier กรอก'!AE11="Y"),"❌ Misc.",IF(AND('📝 Four-tier กรอก'!AB11&lt;&gt;'📝 Four-tier กรอก'!AB6,'📝 Four-tier กรอก'!AC11="N",'📝 Four-tier กรอก'!AD11&lt;&gt;'📝 Four-tier กรอก'!AD6,'📝 Four-tier กรอก'!AE11="N"),"❓ NoK","🤔 Partial")))))</f>
        <v/>
      </c>
      <c r="K9" s="67">
        <f>IF(OR('📝 Four-tier กรอก'!AF11="",'📝 Four-tier กรอก'!AH11=""),"—",IF(AND('📝 Four-tier กรอก'!AF11='📝 Four-tier กรอก'!AF6,'📝 Four-tier กรอก'!AG11="Y",'📝 Four-tier กรอก'!AH11='📝 Four-tier กรอก'!AH6,'📝 Four-tier กรอก'!AI11="Y"),"✅ Sound",IF(AND('📝 Four-tier กรอก'!AF11='📝 Four-tier กรอก'!AF6,'📝 Four-tier กรอก'!AG11="Y",'📝 Four-tier กรอก'!AH11&lt;&gt;'📝 Four-tier กรอก'!AH6,'📝 Four-tier กรอก'!AI11="Y"),"🎲 Guess",IF(AND('📝 Four-tier กรอก'!AF11&lt;&gt;'📝 Four-tier กรอก'!AF6,'📝 Four-tier กรอก'!AG11="Y",'📝 Four-tier กรอก'!AH11&lt;&gt;'📝 Four-tier กรอก'!AH6,'📝 Four-tier กรอก'!AI11="Y"),"❌ Misc.",IF(AND('📝 Four-tier กรอก'!AF11&lt;&gt;'📝 Four-tier กรอก'!AF6,'📝 Four-tier กรอก'!AG11="N",'📝 Four-tier กรอก'!AH11&lt;&gt;'📝 Four-tier กรอก'!AH6,'📝 Four-tier กรอก'!AI11="N"),"❓ NoK","🤔 Partial")))))</f>
        <v/>
      </c>
      <c r="L9" s="67">
        <f>IF(OR('📝 Four-tier กรอก'!AJ11="",'📝 Four-tier กรอก'!AL11=""),"—",IF(AND('📝 Four-tier กรอก'!AJ11='📝 Four-tier กรอก'!AJ6,'📝 Four-tier กรอก'!AK11="Y",'📝 Four-tier กรอก'!AL11='📝 Four-tier กรอก'!AL6,'📝 Four-tier กรอก'!AM11="Y"),"✅ Sound",IF(AND('📝 Four-tier กรอก'!AJ11='📝 Four-tier กรอก'!AJ6,'📝 Four-tier กรอก'!AK11="Y",'📝 Four-tier กรอก'!AL11&lt;&gt;'📝 Four-tier กรอก'!AL6,'📝 Four-tier กรอก'!AM11="Y"),"🎲 Guess",IF(AND('📝 Four-tier กรอก'!AJ11&lt;&gt;'📝 Four-tier กรอก'!AJ6,'📝 Four-tier กรอก'!AK11="Y",'📝 Four-tier กรอก'!AL11&lt;&gt;'📝 Four-tier กรอก'!AL6,'📝 Four-tier กรอก'!AM11="Y"),"❌ Misc.",IF(AND('📝 Four-tier กรอก'!AJ11&lt;&gt;'📝 Four-tier กรอก'!AJ6,'📝 Four-tier กรอก'!AK11="N",'📝 Four-tier กรอก'!AL11&lt;&gt;'📝 Four-tier กรอก'!AL6,'📝 Four-tier กรอก'!AM11="N"),"❓ NoK","🤔 Partial")))))</f>
        <v/>
      </c>
      <c r="M9" s="67">
        <f>IF(OR('📝 Four-tier กรอก'!AN11="",'📝 Four-tier กรอก'!AP11=""),"—",IF(AND('📝 Four-tier กรอก'!AN11='📝 Four-tier กรอก'!AN6,'📝 Four-tier กรอก'!AO11="Y",'📝 Four-tier กรอก'!AP11='📝 Four-tier กรอก'!AP6,'📝 Four-tier กรอก'!AQ11="Y"),"✅ Sound",IF(AND('📝 Four-tier กรอก'!AN11='📝 Four-tier กรอก'!AN6,'📝 Four-tier กรอก'!AO11="Y",'📝 Four-tier กรอก'!AP11&lt;&gt;'📝 Four-tier กรอก'!AP6,'📝 Four-tier กรอก'!AQ11="Y"),"🎲 Guess",IF(AND('📝 Four-tier กรอก'!AN11&lt;&gt;'📝 Four-tier กรอก'!AN6,'📝 Four-tier กรอก'!AO11="Y",'📝 Four-tier กรอก'!AP11&lt;&gt;'📝 Four-tier กรอก'!AP6,'📝 Four-tier กรอก'!AQ11="Y"),"❌ Misc.",IF(AND('📝 Four-tier กรอก'!AN11&lt;&gt;'📝 Four-tier กรอก'!AN6,'📝 Four-tier กรอก'!AO11="N",'📝 Four-tier กรอก'!AP11&lt;&gt;'📝 Four-tier กรอก'!AP6,'📝 Four-tier กรอก'!AQ11="N"),"❓ NoK","🤔 Partial")))))</f>
        <v/>
      </c>
      <c r="N9" s="67">
        <f>IF(OR('📝 Four-tier กรอก'!AR11="",'📝 Four-tier กรอก'!AT11=""),"—",IF(AND('📝 Four-tier กรอก'!AR11='📝 Four-tier กรอก'!AR6,'📝 Four-tier กรอก'!AS11="Y",'📝 Four-tier กรอก'!AT11='📝 Four-tier กรอก'!AT6,'📝 Four-tier กรอก'!AU11="Y"),"✅ Sound",IF(AND('📝 Four-tier กรอก'!AR11='📝 Four-tier กรอก'!AR6,'📝 Four-tier กรอก'!AS11="Y",'📝 Four-tier กรอก'!AT11&lt;&gt;'📝 Four-tier กรอก'!AT6,'📝 Four-tier กรอก'!AU11="Y"),"🎲 Guess",IF(AND('📝 Four-tier กรอก'!AR11&lt;&gt;'📝 Four-tier กรอก'!AR6,'📝 Four-tier กรอก'!AS11="Y",'📝 Four-tier กรอก'!AT11&lt;&gt;'📝 Four-tier กรอก'!AT6,'📝 Four-tier กรอก'!AU11="Y"),"❌ Misc.",IF(AND('📝 Four-tier กรอก'!AR11&lt;&gt;'📝 Four-tier กรอก'!AR6,'📝 Four-tier กรอก'!AS11="N",'📝 Four-tier กรอก'!AT11&lt;&gt;'📝 Four-tier กรอก'!AT6,'📝 Four-tier กรอก'!AU11="N"),"❓ NoK","🤔 Partial")))))</f>
        <v/>
      </c>
      <c r="O9" s="67">
        <f>IF(OR('📝 Four-tier กรอก'!AV11="",'📝 Four-tier กรอก'!AX11=""),"—",IF(AND('📝 Four-tier กรอก'!AV11='📝 Four-tier กรอก'!AV6,'📝 Four-tier กรอก'!AW11="Y",'📝 Four-tier กรอก'!AX11='📝 Four-tier กรอก'!AX6,'📝 Four-tier กรอก'!AY11="Y"),"✅ Sound",IF(AND('📝 Four-tier กรอก'!AV11='📝 Four-tier กรอก'!AV6,'📝 Four-tier กรอก'!AW11="Y",'📝 Four-tier กรอก'!AX11&lt;&gt;'📝 Four-tier กรอก'!AX6,'📝 Four-tier กรอก'!AY11="Y"),"🎲 Guess",IF(AND('📝 Four-tier กรอก'!AV11&lt;&gt;'📝 Four-tier กรอก'!AV6,'📝 Four-tier กรอก'!AW11="Y",'📝 Four-tier กรอก'!AX11&lt;&gt;'📝 Four-tier กรอก'!AX6,'📝 Four-tier กรอก'!AY11="Y"),"❌ Misc.",IF(AND('📝 Four-tier กรอก'!AV11&lt;&gt;'📝 Four-tier กรอก'!AV6,'📝 Four-tier กรอก'!AW11="N",'📝 Four-tier กรอก'!AX11&lt;&gt;'📝 Four-tier กรอก'!AX6,'📝 Four-tier กรอก'!AY11="N"),"❓ NoK","🤔 Partial")))))</f>
        <v/>
      </c>
      <c r="P9" s="67">
        <f>IF(OR('📝 Four-tier กรอก'!AZ11="",'📝 Four-tier กรอก'!BB11=""),"—",IF(AND('📝 Four-tier กรอก'!AZ11='📝 Four-tier กรอก'!AZ6,'📝 Four-tier กรอก'!BA11="Y",'📝 Four-tier กรอก'!BB11='📝 Four-tier กรอก'!BB6,'📝 Four-tier กรอก'!BC11="Y"),"✅ Sound",IF(AND('📝 Four-tier กรอก'!AZ11='📝 Four-tier กรอก'!AZ6,'📝 Four-tier กรอก'!BA11="Y",'📝 Four-tier กรอก'!BB11&lt;&gt;'📝 Four-tier กรอก'!BB6,'📝 Four-tier กรอก'!BC11="Y"),"🎲 Guess",IF(AND('📝 Four-tier กรอก'!AZ11&lt;&gt;'📝 Four-tier กรอก'!AZ6,'📝 Four-tier กรอก'!BA11="Y",'📝 Four-tier กรอก'!BB11&lt;&gt;'📝 Four-tier กรอก'!BB6,'📝 Four-tier กรอก'!BC11="Y"),"❌ Misc.",IF(AND('📝 Four-tier กรอก'!AZ11&lt;&gt;'📝 Four-tier กรอก'!AZ6,'📝 Four-tier กรอก'!BA11="N",'📝 Four-tier กรอก'!BB11&lt;&gt;'📝 Four-tier กรอก'!BB6,'📝 Four-tier กรอก'!BC11="N"),"❓ NoK","🤔 Partial")))))</f>
        <v/>
      </c>
      <c r="Q9" s="67">
        <f>IF(OR('📝 Four-tier กรอก'!BD11="",'📝 Four-tier กรอก'!BF11=""),"—",IF(AND('📝 Four-tier กรอก'!BD11='📝 Four-tier กรอก'!BD6,'📝 Four-tier กรอก'!BE11="Y",'📝 Four-tier กรอก'!BF11='📝 Four-tier กรอก'!BF6,'📝 Four-tier กรอก'!BG11="Y"),"✅ Sound",IF(AND('📝 Four-tier กรอก'!BD11='📝 Four-tier กรอก'!BD6,'📝 Four-tier กรอก'!BE11="Y",'📝 Four-tier กรอก'!BF11&lt;&gt;'📝 Four-tier กรอก'!BF6,'📝 Four-tier กรอก'!BG11="Y"),"🎲 Guess",IF(AND('📝 Four-tier กรอก'!BD11&lt;&gt;'📝 Four-tier กรอก'!BD6,'📝 Four-tier กรอก'!BE11="Y",'📝 Four-tier กรอก'!BF11&lt;&gt;'📝 Four-tier กรอก'!BF6,'📝 Four-tier กรอก'!BG11="Y"),"❌ Misc.",IF(AND('📝 Four-tier กรอก'!BD11&lt;&gt;'📝 Four-tier กรอก'!BD6,'📝 Four-tier กรอก'!BE11="N",'📝 Four-tier กรอก'!BF11&lt;&gt;'📝 Four-tier กรอก'!BF6,'📝 Four-tier กรอก'!BG11="N"),"❓ NoK","🤔 Partial")))))</f>
        <v/>
      </c>
      <c r="R9" s="67">
        <f>IF(OR('📝 Four-tier กรอก'!BH11="",'📝 Four-tier กรอก'!BJ11=""),"—",IF(AND('📝 Four-tier กรอก'!BH11='📝 Four-tier กรอก'!BH6,'📝 Four-tier กรอก'!BI11="Y",'📝 Four-tier กรอก'!BJ11='📝 Four-tier กรอก'!BJ6,'📝 Four-tier กรอก'!BK11="Y"),"✅ Sound",IF(AND('📝 Four-tier กรอก'!BH11='📝 Four-tier กรอก'!BH6,'📝 Four-tier กรอก'!BI11="Y",'📝 Four-tier กรอก'!BJ11&lt;&gt;'📝 Four-tier กรอก'!BJ6,'📝 Four-tier กรอก'!BK11="Y"),"🎲 Guess",IF(AND('📝 Four-tier กรอก'!BH11&lt;&gt;'📝 Four-tier กรอก'!BH6,'📝 Four-tier กรอก'!BI11="Y",'📝 Four-tier กรอก'!BJ11&lt;&gt;'📝 Four-tier กรอก'!BJ6,'📝 Four-tier กรอก'!BK11="Y"),"❌ Misc.",IF(AND('📝 Four-tier กรอก'!BH11&lt;&gt;'📝 Four-tier กรอก'!BH6,'📝 Four-tier กรอก'!BI11="N",'📝 Four-tier กรอก'!BJ11&lt;&gt;'📝 Four-tier กรอก'!BJ6,'📝 Four-tier กรอก'!BK11="N"),"❓ NoK","🤔 Partial")))))</f>
        <v/>
      </c>
      <c r="S9" s="67">
        <f>IF(OR('📝 Four-tier กรอก'!BL11="",'📝 Four-tier กรอก'!BN11=""),"—",IF(AND('📝 Four-tier กรอก'!BL11='📝 Four-tier กรอก'!BL6,'📝 Four-tier กรอก'!BM11="Y",'📝 Four-tier กรอก'!BN11='📝 Four-tier กรอก'!BN6,'📝 Four-tier กรอก'!BO11="Y"),"✅ Sound",IF(AND('📝 Four-tier กรอก'!BL11='📝 Four-tier กรอก'!BL6,'📝 Four-tier กรอก'!BM11="Y",'📝 Four-tier กรอก'!BN11&lt;&gt;'📝 Four-tier กรอก'!BN6,'📝 Four-tier กรอก'!BO11="Y"),"🎲 Guess",IF(AND('📝 Four-tier กรอก'!BL11&lt;&gt;'📝 Four-tier กรอก'!BL6,'📝 Four-tier กรอก'!BM11="Y",'📝 Four-tier กรอก'!BN11&lt;&gt;'📝 Four-tier กรอก'!BN6,'📝 Four-tier กรอก'!BO11="Y"),"❌ Misc.",IF(AND('📝 Four-tier กรอก'!BL11&lt;&gt;'📝 Four-tier กรอก'!BL6,'📝 Four-tier กรอก'!BM11="N",'📝 Four-tier กรอก'!BN11&lt;&gt;'📝 Four-tier กรอก'!BN6,'📝 Four-tier กรอก'!BO11="N"),"❓ NoK","🤔 Partial")))))</f>
        <v/>
      </c>
      <c r="T9" s="67">
        <f>IF(OR('📝 Four-tier กรอก'!BP11="",'📝 Four-tier กรอก'!BR11=""),"—",IF(AND('📝 Four-tier กรอก'!BP11='📝 Four-tier กรอก'!BP6,'📝 Four-tier กรอก'!BQ11="Y",'📝 Four-tier กรอก'!BR11='📝 Four-tier กรอก'!BR6,'📝 Four-tier กรอก'!BS11="Y"),"✅ Sound",IF(AND('📝 Four-tier กรอก'!BP11='📝 Four-tier กรอก'!BP6,'📝 Four-tier กรอก'!BQ11="Y",'📝 Four-tier กรอก'!BR11&lt;&gt;'📝 Four-tier กรอก'!BR6,'📝 Four-tier กรอก'!BS11="Y"),"🎲 Guess",IF(AND('📝 Four-tier กรอก'!BP11&lt;&gt;'📝 Four-tier กรอก'!BP6,'📝 Four-tier กรอก'!BQ11="Y",'📝 Four-tier กรอก'!BR11&lt;&gt;'📝 Four-tier กรอก'!BR6,'📝 Four-tier กรอก'!BS11="Y"),"❌ Misc.",IF(AND('📝 Four-tier กรอก'!BP11&lt;&gt;'📝 Four-tier กรอก'!BP6,'📝 Four-tier กรอก'!BQ11="N",'📝 Four-tier กรอก'!BR11&lt;&gt;'📝 Four-tier กรอก'!BR6,'📝 Four-tier กรอก'!BS11="N"),"❓ NoK","🤔 Partial")))))</f>
        <v/>
      </c>
      <c r="U9" s="67">
        <f>IF(OR('📝 Four-tier กรอก'!BT11="",'📝 Four-tier กรอก'!BV11=""),"—",IF(AND('📝 Four-tier กรอก'!BT11='📝 Four-tier กรอก'!BT6,'📝 Four-tier กรอก'!BU11="Y",'📝 Four-tier กรอก'!BV11='📝 Four-tier กรอก'!BV6,'📝 Four-tier กรอก'!BW11="Y"),"✅ Sound",IF(AND('📝 Four-tier กรอก'!BT11='📝 Four-tier กรอก'!BT6,'📝 Four-tier กรอก'!BU11="Y",'📝 Four-tier กรอก'!BV11&lt;&gt;'📝 Four-tier กรอก'!BV6,'📝 Four-tier กรอก'!BW11="Y"),"🎲 Guess",IF(AND('📝 Four-tier กรอก'!BT11&lt;&gt;'📝 Four-tier กรอก'!BT6,'📝 Four-tier กรอก'!BU11="Y",'📝 Four-tier กรอก'!BV11&lt;&gt;'📝 Four-tier กรอก'!BV6,'📝 Four-tier กรอก'!BW11="Y"),"❌ Misc.",IF(AND('📝 Four-tier กรอก'!BT11&lt;&gt;'📝 Four-tier กรอก'!BT6,'📝 Four-tier กรอก'!BU11="N",'📝 Four-tier กรอก'!BV11&lt;&gt;'📝 Four-tier กรอก'!BV6,'📝 Four-tier กรอก'!BW11="N"),"❓ NoK","🤔 Partial")))))</f>
        <v/>
      </c>
      <c r="V9" s="67">
        <f>IF(OR('📝 Four-tier กรอก'!BX11="",'📝 Four-tier กรอก'!BZ11=""),"—",IF(AND('📝 Four-tier กรอก'!BX11='📝 Four-tier กรอก'!BX6,'📝 Four-tier กรอก'!BY11="Y",'📝 Four-tier กรอก'!BZ11='📝 Four-tier กรอก'!BZ6,'📝 Four-tier กรอก'!CA11="Y"),"✅ Sound",IF(AND('📝 Four-tier กรอก'!BX11='📝 Four-tier กรอก'!BX6,'📝 Four-tier กรอก'!BY11="Y",'📝 Four-tier กรอก'!BZ11&lt;&gt;'📝 Four-tier กรอก'!BZ6,'📝 Four-tier กรอก'!CA11="Y"),"🎲 Guess",IF(AND('📝 Four-tier กรอก'!BX11&lt;&gt;'📝 Four-tier กรอก'!BX6,'📝 Four-tier กรอก'!BY11="Y",'📝 Four-tier กรอก'!BZ11&lt;&gt;'📝 Four-tier กรอก'!BZ6,'📝 Four-tier กรอก'!CA11="Y"),"❌ Misc.",IF(AND('📝 Four-tier กรอก'!BX11&lt;&gt;'📝 Four-tier กรอก'!BX6,'📝 Four-tier กรอก'!BY11="N",'📝 Four-tier กรอก'!BZ11&lt;&gt;'📝 Four-tier กรอก'!BZ6,'📝 Four-tier กรอก'!CA11="N"),"❓ NoK","🤔 Partial")))))</f>
        <v/>
      </c>
      <c r="W9" s="67">
        <f>IF(OR('📝 Four-tier กรอก'!CB11="",'📝 Four-tier กรอก'!CD11=""),"—",IF(AND('📝 Four-tier กรอก'!CB11='📝 Four-tier กรอก'!CB6,'📝 Four-tier กรอก'!CC11="Y",'📝 Four-tier กรอก'!CD11='📝 Four-tier กรอก'!CD6,'📝 Four-tier กรอก'!CE11="Y"),"✅ Sound",IF(AND('📝 Four-tier กรอก'!CB11='📝 Four-tier กรอก'!CB6,'📝 Four-tier กรอก'!CC11="Y",'📝 Four-tier กรอก'!CD11&lt;&gt;'📝 Four-tier กรอก'!CD6,'📝 Four-tier กรอก'!CE11="Y"),"🎲 Guess",IF(AND('📝 Four-tier กรอก'!CB11&lt;&gt;'📝 Four-tier กรอก'!CB6,'📝 Four-tier กรอก'!CC11="Y",'📝 Four-tier กรอก'!CD11&lt;&gt;'📝 Four-tier กรอก'!CD6,'📝 Four-tier กรอก'!CE11="Y"),"❌ Misc.",IF(AND('📝 Four-tier กรอก'!CB11&lt;&gt;'📝 Four-tier กรอก'!CB6,'📝 Four-tier กรอก'!CC11="N",'📝 Four-tier กรอก'!CD11&lt;&gt;'📝 Four-tier กรอก'!CD6,'📝 Four-tier กรอก'!CE11="N"),"❓ NoK","🤔 Partial")))))</f>
        <v/>
      </c>
      <c r="X9" s="37">
        <f>COUNTIF(D9:W9,"✅ Sound")</f>
        <v/>
      </c>
      <c r="Y9" s="37">
        <f>COUNTIF(D9:W9,"❌ Misc.")</f>
        <v/>
      </c>
      <c r="Z9" s="37">
        <f>COUNTIF(D9:W9,"🎲 Guess")</f>
        <v/>
      </c>
      <c r="AA9" s="37">
        <f>COUNTIF(D9:W9,"❓ NoK")</f>
        <v/>
      </c>
    </row>
    <row r="10" ht="18" customHeight="1">
      <c r="B10" s="46">
        <f>'📝 Four-tier กรอก'!B12</f>
        <v/>
      </c>
      <c r="C10" s="51">
        <f>'📝 Four-tier กรอก'!C12</f>
        <v/>
      </c>
      <c r="D10" s="68">
        <f>IF(OR('📝 Four-tier กรอก'!D12="",'📝 Four-tier กรอก'!F12=""),"—",IF(AND('📝 Four-tier กรอก'!D12='📝 Four-tier กรอก'!D6,'📝 Four-tier กรอก'!E12="Y",'📝 Four-tier กรอก'!F12='📝 Four-tier กรอก'!F6,'📝 Four-tier กรอก'!G12="Y"),"✅ Sound",IF(AND('📝 Four-tier กรอก'!D12='📝 Four-tier กรอก'!D6,'📝 Four-tier กรอก'!E12="Y",'📝 Four-tier กรอก'!F12&lt;&gt;'📝 Four-tier กรอก'!F6,'📝 Four-tier กรอก'!G12="Y"),"🎲 Guess",IF(AND('📝 Four-tier กรอก'!D12&lt;&gt;'📝 Four-tier กรอก'!D6,'📝 Four-tier กรอก'!E12="Y",'📝 Four-tier กรอก'!F12&lt;&gt;'📝 Four-tier กรอก'!F6,'📝 Four-tier กรอก'!G12="Y"),"❌ Misc.",IF(AND('📝 Four-tier กรอก'!D12&lt;&gt;'📝 Four-tier กรอก'!D6,'📝 Four-tier กรอก'!E12="N",'📝 Four-tier กรอก'!F12&lt;&gt;'📝 Four-tier กรอก'!F6,'📝 Four-tier กรอก'!G12="N"),"❓ NoK","🤔 Partial")))))</f>
        <v/>
      </c>
      <c r="E10" s="68">
        <f>IF(OR('📝 Four-tier กรอก'!H12="",'📝 Four-tier กรอก'!J12=""),"—",IF(AND('📝 Four-tier กรอก'!H12='📝 Four-tier กรอก'!H6,'📝 Four-tier กรอก'!I12="Y",'📝 Four-tier กรอก'!J12='📝 Four-tier กรอก'!J6,'📝 Four-tier กรอก'!K12="Y"),"✅ Sound",IF(AND('📝 Four-tier กรอก'!H12='📝 Four-tier กรอก'!H6,'📝 Four-tier กรอก'!I12="Y",'📝 Four-tier กรอก'!J12&lt;&gt;'📝 Four-tier กรอก'!J6,'📝 Four-tier กรอก'!K12="Y"),"🎲 Guess",IF(AND('📝 Four-tier กรอก'!H12&lt;&gt;'📝 Four-tier กรอก'!H6,'📝 Four-tier กรอก'!I12="Y",'📝 Four-tier กรอก'!J12&lt;&gt;'📝 Four-tier กรอก'!J6,'📝 Four-tier กรอก'!K12="Y"),"❌ Misc.",IF(AND('📝 Four-tier กรอก'!H12&lt;&gt;'📝 Four-tier กรอก'!H6,'📝 Four-tier กรอก'!I12="N",'📝 Four-tier กรอก'!J12&lt;&gt;'📝 Four-tier กรอก'!J6,'📝 Four-tier กรอก'!K12="N"),"❓ NoK","🤔 Partial")))))</f>
        <v/>
      </c>
      <c r="F10" s="68">
        <f>IF(OR('📝 Four-tier กรอก'!L12="",'📝 Four-tier กรอก'!N12=""),"—",IF(AND('📝 Four-tier กรอก'!L12='📝 Four-tier กรอก'!L6,'📝 Four-tier กรอก'!M12="Y",'📝 Four-tier กรอก'!N12='📝 Four-tier กรอก'!N6,'📝 Four-tier กรอก'!O12="Y"),"✅ Sound",IF(AND('📝 Four-tier กรอก'!L12='📝 Four-tier กรอก'!L6,'📝 Four-tier กรอก'!M12="Y",'📝 Four-tier กรอก'!N12&lt;&gt;'📝 Four-tier กรอก'!N6,'📝 Four-tier กรอก'!O12="Y"),"🎲 Guess",IF(AND('📝 Four-tier กรอก'!L12&lt;&gt;'📝 Four-tier กรอก'!L6,'📝 Four-tier กรอก'!M12="Y",'📝 Four-tier กรอก'!N12&lt;&gt;'📝 Four-tier กรอก'!N6,'📝 Four-tier กรอก'!O12="Y"),"❌ Misc.",IF(AND('📝 Four-tier กรอก'!L12&lt;&gt;'📝 Four-tier กรอก'!L6,'📝 Four-tier กรอก'!M12="N",'📝 Four-tier กรอก'!N12&lt;&gt;'📝 Four-tier กรอก'!N6,'📝 Four-tier กรอก'!O12="N"),"❓ NoK","🤔 Partial")))))</f>
        <v/>
      </c>
      <c r="G10" s="68">
        <f>IF(OR('📝 Four-tier กรอก'!P12="",'📝 Four-tier กรอก'!R12=""),"—",IF(AND('📝 Four-tier กรอก'!P12='📝 Four-tier กรอก'!P6,'📝 Four-tier กรอก'!Q12="Y",'📝 Four-tier กรอก'!R12='📝 Four-tier กรอก'!R6,'📝 Four-tier กรอก'!S12="Y"),"✅ Sound",IF(AND('📝 Four-tier กรอก'!P12='📝 Four-tier กรอก'!P6,'📝 Four-tier กรอก'!Q12="Y",'📝 Four-tier กรอก'!R12&lt;&gt;'📝 Four-tier กรอก'!R6,'📝 Four-tier กรอก'!S12="Y"),"🎲 Guess",IF(AND('📝 Four-tier กรอก'!P12&lt;&gt;'📝 Four-tier กรอก'!P6,'📝 Four-tier กรอก'!Q12="Y",'📝 Four-tier กรอก'!R12&lt;&gt;'📝 Four-tier กรอก'!R6,'📝 Four-tier กรอก'!S12="Y"),"❌ Misc.",IF(AND('📝 Four-tier กรอก'!P12&lt;&gt;'📝 Four-tier กรอก'!P6,'📝 Four-tier กรอก'!Q12="N",'📝 Four-tier กรอก'!R12&lt;&gt;'📝 Four-tier กรอก'!R6,'📝 Four-tier กรอก'!S12="N"),"❓ NoK","🤔 Partial")))))</f>
        <v/>
      </c>
      <c r="H10" s="68">
        <f>IF(OR('📝 Four-tier กรอก'!T12="",'📝 Four-tier กรอก'!V12=""),"—",IF(AND('📝 Four-tier กรอก'!T12='📝 Four-tier กรอก'!T6,'📝 Four-tier กรอก'!U12="Y",'📝 Four-tier กรอก'!V12='📝 Four-tier กรอก'!V6,'📝 Four-tier กรอก'!W12="Y"),"✅ Sound",IF(AND('📝 Four-tier กรอก'!T12='📝 Four-tier กรอก'!T6,'📝 Four-tier กรอก'!U12="Y",'📝 Four-tier กรอก'!V12&lt;&gt;'📝 Four-tier กรอก'!V6,'📝 Four-tier กรอก'!W12="Y"),"🎲 Guess",IF(AND('📝 Four-tier กรอก'!T12&lt;&gt;'📝 Four-tier กรอก'!T6,'📝 Four-tier กรอก'!U12="Y",'📝 Four-tier กรอก'!V12&lt;&gt;'📝 Four-tier กรอก'!V6,'📝 Four-tier กรอก'!W12="Y"),"❌ Misc.",IF(AND('📝 Four-tier กรอก'!T12&lt;&gt;'📝 Four-tier กรอก'!T6,'📝 Four-tier กรอก'!U12="N",'📝 Four-tier กรอก'!V12&lt;&gt;'📝 Four-tier กรอก'!V6,'📝 Four-tier กรอก'!W12="N"),"❓ NoK","🤔 Partial")))))</f>
        <v/>
      </c>
      <c r="I10" s="68">
        <f>IF(OR('📝 Four-tier กรอก'!X12="",'📝 Four-tier กรอก'!Z12=""),"—",IF(AND('📝 Four-tier กรอก'!X12='📝 Four-tier กรอก'!X6,'📝 Four-tier กรอก'!Y12="Y",'📝 Four-tier กรอก'!Z12='📝 Four-tier กรอก'!Z6,'📝 Four-tier กรอก'!AA12="Y"),"✅ Sound",IF(AND('📝 Four-tier กรอก'!X12='📝 Four-tier กรอก'!X6,'📝 Four-tier กรอก'!Y12="Y",'📝 Four-tier กรอก'!Z12&lt;&gt;'📝 Four-tier กรอก'!Z6,'📝 Four-tier กรอก'!AA12="Y"),"🎲 Guess",IF(AND('📝 Four-tier กรอก'!X12&lt;&gt;'📝 Four-tier กรอก'!X6,'📝 Four-tier กรอก'!Y12="Y",'📝 Four-tier กรอก'!Z12&lt;&gt;'📝 Four-tier กรอก'!Z6,'📝 Four-tier กรอก'!AA12="Y"),"❌ Misc.",IF(AND('📝 Four-tier กรอก'!X12&lt;&gt;'📝 Four-tier กรอก'!X6,'📝 Four-tier กรอก'!Y12="N",'📝 Four-tier กรอก'!Z12&lt;&gt;'📝 Four-tier กรอก'!Z6,'📝 Four-tier กรอก'!AA12="N"),"❓ NoK","🤔 Partial")))))</f>
        <v/>
      </c>
      <c r="J10" s="68">
        <f>IF(OR('📝 Four-tier กรอก'!AB12="",'📝 Four-tier กรอก'!AD12=""),"—",IF(AND('📝 Four-tier กรอก'!AB12='📝 Four-tier กรอก'!AB6,'📝 Four-tier กรอก'!AC12="Y",'📝 Four-tier กรอก'!AD12='📝 Four-tier กรอก'!AD6,'📝 Four-tier กรอก'!AE12="Y"),"✅ Sound",IF(AND('📝 Four-tier กรอก'!AB12='📝 Four-tier กรอก'!AB6,'📝 Four-tier กรอก'!AC12="Y",'📝 Four-tier กรอก'!AD12&lt;&gt;'📝 Four-tier กรอก'!AD6,'📝 Four-tier กรอก'!AE12="Y"),"🎲 Guess",IF(AND('📝 Four-tier กรอก'!AB12&lt;&gt;'📝 Four-tier กรอก'!AB6,'📝 Four-tier กรอก'!AC12="Y",'📝 Four-tier กรอก'!AD12&lt;&gt;'📝 Four-tier กรอก'!AD6,'📝 Four-tier กรอก'!AE12="Y"),"❌ Misc.",IF(AND('📝 Four-tier กรอก'!AB12&lt;&gt;'📝 Four-tier กรอก'!AB6,'📝 Four-tier กรอก'!AC12="N",'📝 Four-tier กรอก'!AD12&lt;&gt;'📝 Four-tier กรอก'!AD6,'📝 Four-tier กรอก'!AE12="N"),"❓ NoK","🤔 Partial")))))</f>
        <v/>
      </c>
      <c r="K10" s="68">
        <f>IF(OR('📝 Four-tier กรอก'!AF12="",'📝 Four-tier กรอก'!AH12=""),"—",IF(AND('📝 Four-tier กรอก'!AF12='📝 Four-tier กรอก'!AF6,'📝 Four-tier กรอก'!AG12="Y",'📝 Four-tier กรอก'!AH12='📝 Four-tier กรอก'!AH6,'📝 Four-tier กรอก'!AI12="Y"),"✅ Sound",IF(AND('📝 Four-tier กรอก'!AF12='📝 Four-tier กรอก'!AF6,'📝 Four-tier กรอก'!AG12="Y",'📝 Four-tier กรอก'!AH12&lt;&gt;'📝 Four-tier กรอก'!AH6,'📝 Four-tier กรอก'!AI12="Y"),"🎲 Guess",IF(AND('📝 Four-tier กรอก'!AF12&lt;&gt;'📝 Four-tier กรอก'!AF6,'📝 Four-tier กรอก'!AG12="Y",'📝 Four-tier กรอก'!AH12&lt;&gt;'📝 Four-tier กรอก'!AH6,'📝 Four-tier กรอก'!AI12="Y"),"❌ Misc.",IF(AND('📝 Four-tier กรอก'!AF12&lt;&gt;'📝 Four-tier กรอก'!AF6,'📝 Four-tier กรอก'!AG12="N",'📝 Four-tier กรอก'!AH12&lt;&gt;'📝 Four-tier กรอก'!AH6,'📝 Four-tier กรอก'!AI12="N"),"❓ NoK","🤔 Partial")))))</f>
        <v/>
      </c>
      <c r="L10" s="68">
        <f>IF(OR('📝 Four-tier กรอก'!AJ12="",'📝 Four-tier กรอก'!AL12=""),"—",IF(AND('📝 Four-tier กรอก'!AJ12='📝 Four-tier กรอก'!AJ6,'📝 Four-tier กรอก'!AK12="Y",'📝 Four-tier กรอก'!AL12='📝 Four-tier กรอก'!AL6,'📝 Four-tier กรอก'!AM12="Y"),"✅ Sound",IF(AND('📝 Four-tier กรอก'!AJ12='📝 Four-tier กรอก'!AJ6,'📝 Four-tier กรอก'!AK12="Y",'📝 Four-tier กรอก'!AL12&lt;&gt;'📝 Four-tier กรอก'!AL6,'📝 Four-tier กรอก'!AM12="Y"),"🎲 Guess",IF(AND('📝 Four-tier กรอก'!AJ12&lt;&gt;'📝 Four-tier กรอก'!AJ6,'📝 Four-tier กรอก'!AK12="Y",'📝 Four-tier กรอก'!AL12&lt;&gt;'📝 Four-tier กรอก'!AL6,'📝 Four-tier กรอก'!AM12="Y"),"❌ Misc.",IF(AND('📝 Four-tier กรอก'!AJ12&lt;&gt;'📝 Four-tier กรอก'!AJ6,'📝 Four-tier กรอก'!AK12="N",'📝 Four-tier กรอก'!AL12&lt;&gt;'📝 Four-tier กรอก'!AL6,'📝 Four-tier กรอก'!AM12="N"),"❓ NoK","🤔 Partial")))))</f>
        <v/>
      </c>
      <c r="M10" s="68">
        <f>IF(OR('📝 Four-tier กรอก'!AN12="",'📝 Four-tier กรอก'!AP12=""),"—",IF(AND('📝 Four-tier กรอก'!AN12='📝 Four-tier กรอก'!AN6,'📝 Four-tier กรอก'!AO12="Y",'📝 Four-tier กรอก'!AP12='📝 Four-tier กรอก'!AP6,'📝 Four-tier กรอก'!AQ12="Y"),"✅ Sound",IF(AND('📝 Four-tier กรอก'!AN12='📝 Four-tier กรอก'!AN6,'📝 Four-tier กรอก'!AO12="Y",'📝 Four-tier กรอก'!AP12&lt;&gt;'📝 Four-tier กรอก'!AP6,'📝 Four-tier กรอก'!AQ12="Y"),"🎲 Guess",IF(AND('📝 Four-tier กรอก'!AN12&lt;&gt;'📝 Four-tier กรอก'!AN6,'📝 Four-tier กรอก'!AO12="Y",'📝 Four-tier กรอก'!AP12&lt;&gt;'📝 Four-tier กรอก'!AP6,'📝 Four-tier กรอก'!AQ12="Y"),"❌ Misc.",IF(AND('📝 Four-tier กรอก'!AN12&lt;&gt;'📝 Four-tier กรอก'!AN6,'📝 Four-tier กรอก'!AO12="N",'📝 Four-tier กรอก'!AP12&lt;&gt;'📝 Four-tier กรอก'!AP6,'📝 Four-tier กรอก'!AQ12="N"),"❓ NoK","🤔 Partial")))))</f>
        <v/>
      </c>
      <c r="N10" s="68">
        <f>IF(OR('📝 Four-tier กรอก'!AR12="",'📝 Four-tier กรอก'!AT12=""),"—",IF(AND('📝 Four-tier กรอก'!AR12='📝 Four-tier กรอก'!AR6,'📝 Four-tier กรอก'!AS12="Y",'📝 Four-tier กรอก'!AT12='📝 Four-tier กรอก'!AT6,'📝 Four-tier กรอก'!AU12="Y"),"✅ Sound",IF(AND('📝 Four-tier กรอก'!AR12='📝 Four-tier กรอก'!AR6,'📝 Four-tier กรอก'!AS12="Y",'📝 Four-tier กรอก'!AT12&lt;&gt;'📝 Four-tier กรอก'!AT6,'📝 Four-tier กรอก'!AU12="Y"),"🎲 Guess",IF(AND('📝 Four-tier กรอก'!AR12&lt;&gt;'📝 Four-tier กรอก'!AR6,'📝 Four-tier กรอก'!AS12="Y",'📝 Four-tier กรอก'!AT12&lt;&gt;'📝 Four-tier กรอก'!AT6,'📝 Four-tier กรอก'!AU12="Y"),"❌ Misc.",IF(AND('📝 Four-tier กรอก'!AR12&lt;&gt;'📝 Four-tier กรอก'!AR6,'📝 Four-tier กรอก'!AS12="N",'📝 Four-tier กรอก'!AT12&lt;&gt;'📝 Four-tier กรอก'!AT6,'📝 Four-tier กรอก'!AU12="N"),"❓ NoK","🤔 Partial")))))</f>
        <v/>
      </c>
      <c r="O10" s="68">
        <f>IF(OR('📝 Four-tier กรอก'!AV12="",'📝 Four-tier กรอก'!AX12=""),"—",IF(AND('📝 Four-tier กรอก'!AV12='📝 Four-tier กรอก'!AV6,'📝 Four-tier กรอก'!AW12="Y",'📝 Four-tier กรอก'!AX12='📝 Four-tier กรอก'!AX6,'📝 Four-tier กรอก'!AY12="Y"),"✅ Sound",IF(AND('📝 Four-tier กรอก'!AV12='📝 Four-tier กรอก'!AV6,'📝 Four-tier กรอก'!AW12="Y",'📝 Four-tier กรอก'!AX12&lt;&gt;'📝 Four-tier กรอก'!AX6,'📝 Four-tier กรอก'!AY12="Y"),"🎲 Guess",IF(AND('📝 Four-tier กรอก'!AV12&lt;&gt;'📝 Four-tier กรอก'!AV6,'📝 Four-tier กรอก'!AW12="Y",'📝 Four-tier กรอก'!AX12&lt;&gt;'📝 Four-tier กรอก'!AX6,'📝 Four-tier กรอก'!AY12="Y"),"❌ Misc.",IF(AND('📝 Four-tier กรอก'!AV12&lt;&gt;'📝 Four-tier กรอก'!AV6,'📝 Four-tier กรอก'!AW12="N",'📝 Four-tier กรอก'!AX12&lt;&gt;'📝 Four-tier กรอก'!AX6,'📝 Four-tier กรอก'!AY12="N"),"❓ NoK","🤔 Partial")))))</f>
        <v/>
      </c>
      <c r="P10" s="68">
        <f>IF(OR('📝 Four-tier กรอก'!AZ12="",'📝 Four-tier กรอก'!BB12=""),"—",IF(AND('📝 Four-tier กรอก'!AZ12='📝 Four-tier กรอก'!AZ6,'📝 Four-tier กรอก'!BA12="Y",'📝 Four-tier กรอก'!BB12='📝 Four-tier กรอก'!BB6,'📝 Four-tier กรอก'!BC12="Y"),"✅ Sound",IF(AND('📝 Four-tier กรอก'!AZ12='📝 Four-tier กรอก'!AZ6,'📝 Four-tier กรอก'!BA12="Y",'📝 Four-tier กรอก'!BB12&lt;&gt;'📝 Four-tier กรอก'!BB6,'📝 Four-tier กรอก'!BC12="Y"),"🎲 Guess",IF(AND('📝 Four-tier กรอก'!AZ12&lt;&gt;'📝 Four-tier กรอก'!AZ6,'📝 Four-tier กรอก'!BA12="Y",'📝 Four-tier กรอก'!BB12&lt;&gt;'📝 Four-tier กรอก'!BB6,'📝 Four-tier กรอก'!BC12="Y"),"❌ Misc.",IF(AND('📝 Four-tier กรอก'!AZ12&lt;&gt;'📝 Four-tier กรอก'!AZ6,'📝 Four-tier กรอก'!BA12="N",'📝 Four-tier กรอก'!BB12&lt;&gt;'📝 Four-tier กรอก'!BB6,'📝 Four-tier กรอก'!BC12="N"),"❓ NoK","🤔 Partial")))))</f>
        <v/>
      </c>
      <c r="Q10" s="68">
        <f>IF(OR('📝 Four-tier กรอก'!BD12="",'📝 Four-tier กรอก'!BF12=""),"—",IF(AND('📝 Four-tier กรอก'!BD12='📝 Four-tier กรอก'!BD6,'📝 Four-tier กรอก'!BE12="Y",'📝 Four-tier กรอก'!BF12='📝 Four-tier กรอก'!BF6,'📝 Four-tier กรอก'!BG12="Y"),"✅ Sound",IF(AND('📝 Four-tier กรอก'!BD12='📝 Four-tier กรอก'!BD6,'📝 Four-tier กรอก'!BE12="Y",'📝 Four-tier กรอก'!BF12&lt;&gt;'📝 Four-tier กรอก'!BF6,'📝 Four-tier กรอก'!BG12="Y"),"🎲 Guess",IF(AND('📝 Four-tier กรอก'!BD12&lt;&gt;'📝 Four-tier กรอก'!BD6,'📝 Four-tier กรอก'!BE12="Y",'📝 Four-tier กรอก'!BF12&lt;&gt;'📝 Four-tier กรอก'!BF6,'📝 Four-tier กรอก'!BG12="Y"),"❌ Misc.",IF(AND('📝 Four-tier กรอก'!BD12&lt;&gt;'📝 Four-tier กรอก'!BD6,'📝 Four-tier กรอก'!BE12="N",'📝 Four-tier กรอก'!BF12&lt;&gt;'📝 Four-tier กรอก'!BF6,'📝 Four-tier กรอก'!BG12="N"),"❓ NoK","🤔 Partial")))))</f>
        <v/>
      </c>
      <c r="R10" s="68">
        <f>IF(OR('📝 Four-tier กรอก'!BH12="",'📝 Four-tier กรอก'!BJ12=""),"—",IF(AND('📝 Four-tier กรอก'!BH12='📝 Four-tier กรอก'!BH6,'📝 Four-tier กรอก'!BI12="Y",'📝 Four-tier กรอก'!BJ12='📝 Four-tier กรอก'!BJ6,'📝 Four-tier กรอก'!BK12="Y"),"✅ Sound",IF(AND('📝 Four-tier กรอก'!BH12='📝 Four-tier กรอก'!BH6,'📝 Four-tier กรอก'!BI12="Y",'📝 Four-tier กรอก'!BJ12&lt;&gt;'📝 Four-tier กรอก'!BJ6,'📝 Four-tier กรอก'!BK12="Y"),"🎲 Guess",IF(AND('📝 Four-tier กรอก'!BH12&lt;&gt;'📝 Four-tier กรอก'!BH6,'📝 Four-tier กรอก'!BI12="Y",'📝 Four-tier กรอก'!BJ12&lt;&gt;'📝 Four-tier กรอก'!BJ6,'📝 Four-tier กรอก'!BK12="Y"),"❌ Misc.",IF(AND('📝 Four-tier กรอก'!BH12&lt;&gt;'📝 Four-tier กรอก'!BH6,'📝 Four-tier กรอก'!BI12="N",'📝 Four-tier กรอก'!BJ12&lt;&gt;'📝 Four-tier กรอก'!BJ6,'📝 Four-tier กรอก'!BK12="N"),"❓ NoK","🤔 Partial")))))</f>
        <v/>
      </c>
      <c r="S10" s="68">
        <f>IF(OR('📝 Four-tier กรอก'!BL12="",'📝 Four-tier กรอก'!BN12=""),"—",IF(AND('📝 Four-tier กรอก'!BL12='📝 Four-tier กรอก'!BL6,'📝 Four-tier กรอก'!BM12="Y",'📝 Four-tier กรอก'!BN12='📝 Four-tier กรอก'!BN6,'📝 Four-tier กรอก'!BO12="Y"),"✅ Sound",IF(AND('📝 Four-tier กรอก'!BL12='📝 Four-tier กรอก'!BL6,'📝 Four-tier กรอก'!BM12="Y",'📝 Four-tier กรอก'!BN12&lt;&gt;'📝 Four-tier กรอก'!BN6,'📝 Four-tier กรอก'!BO12="Y"),"🎲 Guess",IF(AND('📝 Four-tier กรอก'!BL12&lt;&gt;'📝 Four-tier กรอก'!BL6,'📝 Four-tier กรอก'!BM12="Y",'📝 Four-tier กรอก'!BN12&lt;&gt;'📝 Four-tier กรอก'!BN6,'📝 Four-tier กรอก'!BO12="Y"),"❌ Misc.",IF(AND('📝 Four-tier กรอก'!BL12&lt;&gt;'📝 Four-tier กรอก'!BL6,'📝 Four-tier กรอก'!BM12="N",'📝 Four-tier กรอก'!BN12&lt;&gt;'📝 Four-tier กรอก'!BN6,'📝 Four-tier กรอก'!BO12="N"),"❓ NoK","🤔 Partial")))))</f>
        <v/>
      </c>
      <c r="T10" s="68">
        <f>IF(OR('📝 Four-tier กรอก'!BP12="",'📝 Four-tier กรอก'!BR12=""),"—",IF(AND('📝 Four-tier กรอก'!BP12='📝 Four-tier กรอก'!BP6,'📝 Four-tier กรอก'!BQ12="Y",'📝 Four-tier กรอก'!BR12='📝 Four-tier กรอก'!BR6,'📝 Four-tier กรอก'!BS12="Y"),"✅ Sound",IF(AND('📝 Four-tier กรอก'!BP12='📝 Four-tier กรอก'!BP6,'📝 Four-tier กรอก'!BQ12="Y",'📝 Four-tier กรอก'!BR12&lt;&gt;'📝 Four-tier กรอก'!BR6,'📝 Four-tier กรอก'!BS12="Y"),"🎲 Guess",IF(AND('📝 Four-tier กรอก'!BP12&lt;&gt;'📝 Four-tier กรอก'!BP6,'📝 Four-tier กรอก'!BQ12="Y",'📝 Four-tier กรอก'!BR12&lt;&gt;'📝 Four-tier กรอก'!BR6,'📝 Four-tier กรอก'!BS12="Y"),"❌ Misc.",IF(AND('📝 Four-tier กรอก'!BP12&lt;&gt;'📝 Four-tier กรอก'!BP6,'📝 Four-tier กรอก'!BQ12="N",'📝 Four-tier กรอก'!BR12&lt;&gt;'📝 Four-tier กรอก'!BR6,'📝 Four-tier กรอก'!BS12="N"),"❓ NoK","🤔 Partial")))))</f>
        <v/>
      </c>
      <c r="U10" s="68">
        <f>IF(OR('📝 Four-tier กรอก'!BT12="",'📝 Four-tier กรอก'!BV12=""),"—",IF(AND('📝 Four-tier กรอก'!BT12='📝 Four-tier กรอก'!BT6,'📝 Four-tier กรอก'!BU12="Y",'📝 Four-tier กรอก'!BV12='📝 Four-tier กรอก'!BV6,'📝 Four-tier กรอก'!BW12="Y"),"✅ Sound",IF(AND('📝 Four-tier กรอก'!BT12='📝 Four-tier กรอก'!BT6,'📝 Four-tier กรอก'!BU12="Y",'📝 Four-tier กรอก'!BV12&lt;&gt;'📝 Four-tier กรอก'!BV6,'📝 Four-tier กรอก'!BW12="Y"),"🎲 Guess",IF(AND('📝 Four-tier กรอก'!BT12&lt;&gt;'📝 Four-tier กรอก'!BT6,'📝 Four-tier กรอก'!BU12="Y",'📝 Four-tier กรอก'!BV12&lt;&gt;'📝 Four-tier กรอก'!BV6,'📝 Four-tier กรอก'!BW12="Y"),"❌ Misc.",IF(AND('📝 Four-tier กรอก'!BT12&lt;&gt;'📝 Four-tier กรอก'!BT6,'📝 Four-tier กรอก'!BU12="N",'📝 Four-tier กรอก'!BV12&lt;&gt;'📝 Four-tier กรอก'!BV6,'📝 Four-tier กรอก'!BW12="N"),"❓ NoK","🤔 Partial")))))</f>
        <v/>
      </c>
      <c r="V10" s="68">
        <f>IF(OR('📝 Four-tier กรอก'!BX12="",'📝 Four-tier กรอก'!BZ12=""),"—",IF(AND('📝 Four-tier กรอก'!BX12='📝 Four-tier กรอก'!BX6,'📝 Four-tier กรอก'!BY12="Y",'📝 Four-tier กรอก'!BZ12='📝 Four-tier กรอก'!BZ6,'📝 Four-tier กรอก'!CA12="Y"),"✅ Sound",IF(AND('📝 Four-tier กรอก'!BX12='📝 Four-tier กรอก'!BX6,'📝 Four-tier กรอก'!BY12="Y",'📝 Four-tier กรอก'!BZ12&lt;&gt;'📝 Four-tier กรอก'!BZ6,'📝 Four-tier กรอก'!CA12="Y"),"🎲 Guess",IF(AND('📝 Four-tier กรอก'!BX12&lt;&gt;'📝 Four-tier กรอก'!BX6,'📝 Four-tier กรอก'!BY12="Y",'📝 Four-tier กรอก'!BZ12&lt;&gt;'📝 Four-tier กรอก'!BZ6,'📝 Four-tier กรอก'!CA12="Y"),"❌ Misc.",IF(AND('📝 Four-tier กรอก'!BX12&lt;&gt;'📝 Four-tier กรอก'!BX6,'📝 Four-tier กรอก'!BY12="N",'📝 Four-tier กรอก'!BZ12&lt;&gt;'📝 Four-tier กรอก'!BZ6,'📝 Four-tier กรอก'!CA12="N"),"❓ NoK","🤔 Partial")))))</f>
        <v/>
      </c>
      <c r="W10" s="68">
        <f>IF(OR('📝 Four-tier กรอก'!CB12="",'📝 Four-tier กรอก'!CD12=""),"—",IF(AND('📝 Four-tier กรอก'!CB12='📝 Four-tier กรอก'!CB6,'📝 Four-tier กรอก'!CC12="Y",'📝 Four-tier กรอก'!CD12='📝 Four-tier กรอก'!CD6,'📝 Four-tier กรอก'!CE12="Y"),"✅ Sound",IF(AND('📝 Four-tier กรอก'!CB12='📝 Four-tier กรอก'!CB6,'📝 Four-tier กรอก'!CC12="Y",'📝 Four-tier กรอก'!CD12&lt;&gt;'📝 Four-tier กรอก'!CD6,'📝 Four-tier กรอก'!CE12="Y"),"🎲 Guess",IF(AND('📝 Four-tier กรอก'!CB12&lt;&gt;'📝 Four-tier กรอก'!CB6,'📝 Four-tier กรอก'!CC12="Y",'📝 Four-tier กรอก'!CD12&lt;&gt;'📝 Four-tier กรอก'!CD6,'📝 Four-tier กรอก'!CE12="Y"),"❌ Misc.",IF(AND('📝 Four-tier กรอก'!CB12&lt;&gt;'📝 Four-tier กรอก'!CB6,'📝 Four-tier กรอก'!CC12="N",'📝 Four-tier กรอก'!CD12&lt;&gt;'📝 Four-tier กรอก'!CD6,'📝 Four-tier กรอก'!CE12="N"),"❓ NoK","🤔 Partial")))))</f>
        <v/>
      </c>
      <c r="X10" s="37">
        <f>COUNTIF(D10:W10,"✅ Sound")</f>
        <v/>
      </c>
      <c r="Y10" s="37">
        <f>COUNTIF(D10:W10,"❌ Misc.")</f>
        <v/>
      </c>
      <c r="Z10" s="37">
        <f>COUNTIF(D10:W10,"🎲 Guess")</f>
        <v/>
      </c>
      <c r="AA10" s="37">
        <f>COUNTIF(D10:W10,"❓ NoK")</f>
        <v/>
      </c>
    </row>
    <row r="11" ht="18" customHeight="1">
      <c r="B11" s="46">
        <f>'📝 Four-tier กรอก'!B13</f>
        <v/>
      </c>
      <c r="C11" s="47">
        <f>'📝 Four-tier กรอก'!C13</f>
        <v/>
      </c>
      <c r="D11" s="67">
        <f>IF(OR('📝 Four-tier กรอก'!D13="",'📝 Four-tier กรอก'!F13=""),"—",IF(AND('📝 Four-tier กรอก'!D13='📝 Four-tier กรอก'!D6,'📝 Four-tier กรอก'!E13="Y",'📝 Four-tier กรอก'!F13='📝 Four-tier กรอก'!F6,'📝 Four-tier กรอก'!G13="Y"),"✅ Sound",IF(AND('📝 Four-tier กรอก'!D13='📝 Four-tier กรอก'!D6,'📝 Four-tier กรอก'!E13="Y",'📝 Four-tier กรอก'!F13&lt;&gt;'📝 Four-tier กรอก'!F6,'📝 Four-tier กรอก'!G13="Y"),"🎲 Guess",IF(AND('📝 Four-tier กรอก'!D13&lt;&gt;'📝 Four-tier กรอก'!D6,'📝 Four-tier กรอก'!E13="Y",'📝 Four-tier กรอก'!F13&lt;&gt;'📝 Four-tier กรอก'!F6,'📝 Four-tier กรอก'!G13="Y"),"❌ Misc.",IF(AND('📝 Four-tier กรอก'!D13&lt;&gt;'📝 Four-tier กรอก'!D6,'📝 Four-tier กรอก'!E13="N",'📝 Four-tier กรอก'!F13&lt;&gt;'📝 Four-tier กรอก'!F6,'📝 Four-tier กรอก'!G13="N"),"❓ NoK","🤔 Partial")))))</f>
        <v/>
      </c>
      <c r="E11" s="67">
        <f>IF(OR('📝 Four-tier กรอก'!H13="",'📝 Four-tier กรอก'!J13=""),"—",IF(AND('📝 Four-tier กรอก'!H13='📝 Four-tier กรอก'!H6,'📝 Four-tier กรอก'!I13="Y",'📝 Four-tier กรอก'!J13='📝 Four-tier กรอก'!J6,'📝 Four-tier กรอก'!K13="Y"),"✅ Sound",IF(AND('📝 Four-tier กรอก'!H13='📝 Four-tier กรอก'!H6,'📝 Four-tier กรอก'!I13="Y",'📝 Four-tier กรอก'!J13&lt;&gt;'📝 Four-tier กรอก'!J6,'📝 Four-tier กรอก'!K13="Y"),"🎲 Guess",IF(AND('📝 Four-tier กรอก'!H13&lt;&gt;'📝 Four-tier กรอก'!H6,'📝 Four-tier กรอก'!I13="Y",'📝 Four-tier กรอก'!J13&lt;&gt;'📝 Four-tier กรอก'!J6,'📝 Four-tier กรอก'!K13="Y"),"❌ Misc.",IF(AND('📝 Four-tier กรอก'!H13&lt;&gt;'📝 Four-tier กรอก'!H6,'📝 Four-tier กรอก'!I13="N",'📝 Four-tier กรอก'!J13&lt;&gt;'📝 Four-tier กรอก'!J6,'📝 Four-tier กรอก'!K13="N"),"❓ NoK","🤔 Partial")))))</f>
        <v/>
      </c>
      <c r="F11" s="67">
        <f>IF(OR('📝 Four-tier กรอก'!L13="",'📝 Four-tier กรอก'!N13=""),"—",IF(AND('📝 Four-tier กรอก'!L13='📝 Four-tier กรอก'!L6,'📝 Four-tier กรอก'!M13="Y",'📝 Four-tier กรอก'!N13='📝 Four-tier กรอก'!N6,'📝 Four-tier กรอก'!O13="Y"),"✅ Sound",IF(AND('📝 Four-tier กรอก'!L13='📝 Four-tier กรอก'!L6,'📝 Four-tier กรอก'!M13="Y",'📝 Four-tier กรอก'!N13&lt;&gt;'📝 Four-tier กรอก'!N6,'📝 Four-tier กรอก'!O13="Y"),"🎲 Guess",IF(AND('📝 Four-tier กรอก'!L13&lt;&gt;'📝 Four-tier กรอก'!L6,'📝 Four-tier กรอก'!M13="Y",'📝 Four-tier กรอก'!N13&lt;&gt;'📝 Four-tier กรอก'!N6,'📝 Four-tier กรอก'!O13="Y"),"❌ Misc.",IF(AND('📝 Four-tier กรอก'!L13&lt;&gt;'📝 Four-tier กรอก'!L6,'📝 Four-tier กรอก'!M13="N",'📝 Four-tier กรอก'!N13&lt;&gt;'📝 Four-tier กรอก'!N6,'📝 Four-tier กรอก'!O13="N"),"❓ NoK","🤔 Partial")))))</f>
        <v/>
      </c>
      <c r="G11" s="67">
        <f>IF(OR('📝 Four-tier กรอก'!P13="",'📝 Four-tier กรอก'!R13=""),"—",IF(AND('📝 Four-tier กรอก'!P13='📝 Four-tier กรอก'!P6,'📝 Four-tier กรอก'!Q13="Y",'📝 Four-tier กรอก'!R13='📝 Four-tier กรอก'!R6,'📝 Four-tier กรอก'!S13="Y"),"✅ Sound",IF(AND('📝 Four-tier กรอก'!P13='📝 Four-tier กรอก'!P6,'📝 Four-tier กรอก'!Q13="Y",'📝 Four-tier กรอก'!R13&lt;&gt;'📝 Four-tier กรอก'!R6,'📝 Four-tier กรอก'!S13="Y"),"🎲 Guess",IF(AND('📝 Four-tier กรอก'!P13&lt;&gt;'📝 Four-tier กรอก'!P6,'📝 Four-tier กรอก'!Q13="Y",'📝 Four-tier กรอก'!R13&lt;&gt;'📝 Four-tier กรอก'!R6,'📝 Four-tier กรอก'!S13="Y"),"❌ Misc.",IF(AND('📝 Four-tier กรอก'!P13&lt;&gt;'📝 Four-tier กรอก'!P6,'📝 Four-tier กรอก'!Q13="N",'📝 Four-tier กรอก'!R13&lt;&gt;'📝 Four-tier กรอก'!R6,'📝 Four-tier กรอก'!S13="N"),"❓ NoK","🤔 Partial")))))</f>
        <v/>
      </c>
      <c r="H11" s="67">
        <f>IF(OR('📝 Four-tier กรอก'!T13="",'📝 Four-tier กรอก'!V13=""),"—",IF(AND('📝 Four-tier กรอก'!T13='📝 Four-tier กรอก'!T6,'📝 Four-tier กรอก'!U13="Y",'📝 Four-tier กรอก'!V13='📝 Four-tier กรอก'!V6,'📝 Four-tier กรอก'!W13="Y"),"✅ Sound",IF(AND('📝 Four-tier กรอก'!T13='📝 Four-tier กรอก'!T6,'📝 Four-tier กรอก'!U13="Y",'📝 Four-tier กรอก'!V13&lt;&gt;'📝 Four-tier กรอก'!V6,'📝 Four-tier กรอก'!W13="Y"),"🎲 Guess",IF(AND('📝 Four-tier กรอก'!T13&lt;&gt;'📝 Four-tier กรอก'!T6,'📝 Four-tier กรอก'!U13="Y",'📝 Four-tier กรอก'!V13&lt;&gt;'📝 Four-tier กรอก'!V6,'📝 Four-tier กรอก'!W13="Y"),"❌ Misc.",IF(AND('📝 Four-tier กรอก'!T13&lt;&gt;'📝 Four-tier กรอก'!T6,'📝 Four-tier กรอก'!U13="N",'📝 Four-tier กรอก'!V13&lt;&gt;'📝 Four-tier กรอก'!V6,'📝 Four-tier กรอก'!W13="N"),"❓ NoK","🤔 Partial")))))</f>
        <v/>
      </c>
      <c r="I11" s="67">
        <f>IF(OR('📝 Four-tier กรอก'!X13="",'📝 Four-tier กรอก'!Z13=""),"—",IF(AND('📝 Four-tier กรอก'!X13='📝 Four-tier กรอก'!X6,'📝 Four-tier กรอก'!Y13="Y",'📝 Four-tier กรอก'!Z13='📝 Four-tier กรอก'!Z6,'📝 Four-tier กรอก'!AA13="Y"),"✅ Sound",IF(AND('📝 Four-tier กรอก'!X13='📝 Four-tier กรอก'!X6,'📝 Four-tier กรอก'!Y13="Y",'📝 Four-tier กรอก'!Z13&lt;&gt;'📝 Four-tier กรอก'!Z6,'📝 Four-tier กรอก'!AA13="Y"),"🎲 Guess",IF(AND('📝 Four-tier กรอก'!X13&lt;&gt;'📝 Four-tier กรอก'!X6,'📝 Four-tier กรอก'!Y13="Y",'📝 Four-tier กรอก'!Z13&lt;&gt;'📝 Four-tier กรอก'!Z6,'📝 Four-tier กรอก'!AA13="Y"),"❌ Misc.",IF(AND('📝 Four-tier กรอก'!X13&lt;&gt;'📝 Four-tier กรอก'!X6,'📝 Four-tier กรอก'!Y13="N",'📝 Four-tier กรอก'!Z13&lt;&gt;'📝 Four-tier กรอก'!Z6,'📝 Four-tier กรอก'!AA13="N"),"❓ NoK","🤔 Partial")))))</f>
        <v/>
      </c>
      <c r="J11" s="67">
        <f>IF(OR('📝 Four-tier กรอก'!AB13="",'📝 Four-tier กรอก'!AD13=""),"—",IF(AND('📝 Four-tier กรอก'!AB13='📝 Four-tier กรอก'!AB6,'📝 Four-tier กรอก'!AC13="Y",'📝 Four-tier กรอก'!AD13='📝 Four-tier กรอก'!AD6,'📝 Four-tier กรอก'!AE13="Y"),"✅ Sound",IF(AND('📝 Four-tier กรอก'!AB13='📝 Four-tier กรอก'!AB6,'📝 Four-tier กรอก'!AC13="Y",'📝 Four-tier กรอก'!AD13&lt;&gt;'📝 Four-tier กรอก'!AD6,'📝 Four-tier กรอก'!AE13="Y"),"🎲 Guess",IF(AND('📝 Four-tier กรอก'!AB13&lt;&gt;'📝 Four-tier กรอก'!AB6,'📝 Four-tier กรอก'!AC13="Y",'📝 Four-tier กรอก'!AD13&lt;&gt;'📝 Four-tier กรอก'!AD6,'📝 Four-tier กรอก'!AE13="Y"),"❌ Misc.",IF(AND('📝 Four-tier กรอก'!AB13&lt;&gt;'📝 Four-tier กรอก'!AB6,'📝 Four-tier กรอก'!AC13="N",'📝 Four-tier กรอก'!AD13&lt;&gt;'📝 Four-tier กรอก'!AD6,'📝 Four-tier กรอก'!AE13="N"),"❓ NoK","🤔 Partial")))))</f>
        <v/>
      </c>
      <c r="K11" s="67">
        <f>IF(OR('📝 Four-tier กรอก'!AF13="",'📝 Four-tier กรอก'!AH13=""),"—",IF(AND('📝 Four-tier กรอก'!AF13='📝 Four-tier กรอก'!AF6,'📝 Four-tier กรอก'!AG13="Y",'📝 Four-tier กรอก'!AH13='📝 Four-tier กรอก'!AH6,'📝 Four-tier กรอก'!AI13="Y"),"✅ Sound",IF(AND('📝 Four-tier กรอก'!AF13='📝 Four-tier กรอก'!AF6,'📝 Four-tier กรอก'!AG13="Y",'📝 Four-tier กรอก'!AH13&lt;&gt;'📝 Four-tier กรอก'!AH6,'📝 Four-tier กรอก'!AI13="Y"),"🎲 Guess",IF(AND('📝 Four-tier กรอก'!AF13&lt;&gt;'📝 Four-tier กรอก'!AF6,'📝 Four-tier กรอก'!AG13="Y",'📝 Four-tier กรอก'!AH13&lt;&gt;'📝 Four-tier กรอก'!AH6,'📝 Four-tier กรอก'!AI13="Y"),"❌ Misc.",IF(AND('📝 Four-tier กรอก'!AF13&lt;&gt;'📝 Four-tier กรอก'!AF6,'📝 Four-tier กรอก'!AG13="N",'📝 Four-tier กรอก'!AH13&lt;&gt;'📝 Four-tier กรอก'!AH6,'📝 Four-tier กรอก'!AI13="N"),"❓ NoK","🤔 Partial")))))</f>
        <v/>
      </c>
      <c r="L11" s="67">
        <f>IF(OR('📝 Four-tier กรอก'!AJ13="",'📝 Four-tier กรอก'!AL13=""),"—",IF(AND('📝 Four-tier กรอก'!AJ13='📝 Four-tier กรอก'!AJ6,'📝 Four-tier กรอก'!AK13="Y",'📝 Four-tier กรอก'!AL13='📝 Four-tier กรอก'!AL6,'📝 Four-tier กรอก'!AM13="Y"),"✅ Sound",IF(AND('📝 Four-tier กรอก'!AJ13='📝 Four-tier กรอก'!AJ6,'📝 Four-tier กรอก'!AK13="Y",'📝 Four-tier กรอก'!AL13&lt;&gt;'📝 Four-tier กรอก'!AL6,'📝 Four-tier กรอก'!AM13="Y"),"🎲 Guess",IF(AND('📝 Four-tier กรอก'!AJ13&lt;&gt;'📝 Four-tier กรอก'!AJ6,'📝 Four-tier กรอก'!AK13="Y",'📝 Four-tier กรอก'!AL13&lt;&gt;'📝 Four-tier กรอก'!AL6,'📝 Four-tier กรอก'!AM13="Y"),"❌ Misc.",IF(AND('📝 Four-tier กรอก'!AJ13&lt;&gt;'📝 Four-tier กรอก'!AJ6,'📝 Four-tier กรอก'!AK13="N",'📝 Four-tier กรอก'!AL13&lt;&gt;'📝 Four-tier กรอก'!AL6,'📝 Four-tier กรอก'!AM13="N"),"❓ NoK","🤔 Partial")))))</f>
        <v/>
      </c>
      <c r="M11" s="67">
        <f>IF(OR('📝 Four-tier กรอก'!AN13="",'📝 Four-tier กรอก'!AP13=""),"—",IF(AND('📝 Four-tier กรอก'!AN13='📝 Four-tier กรอก'!AN6,'📝 Four-tier กรอก'!AO13="Y",'📝 Four-tier กรอก'!AP13='📝 Four-tier กรอก'!AP6,'📝 Four-tier กรอก'!AQ13="Y"),"✅ Sound",IF(AND('📝 Four-tier กรอก'!AN13='📝 Four-tier กรอก'!AN6,'📝 Four-tier กรอก'!AO13="Y",'📝 Four-tier กรอก'!AP13&lt;&gt;'📝 Four-tier กรอก'!AP6,'📝 Four-tier กรอก'!AQ13="Y"),"🎲 Guess",IF(AND('📝 Four-tier กรอก'!AN13&lt;&gt;'📝 Four-tier กรอก'!AN6,'📝 Four-tier กรอก'!AO13="Y",'📝 Four-tier กรอก'!AP13&lt;&gt;'📝 Four-tier กรอก'!AP6,'📝 Four-tier กรอก'!AQ13="Y"),"❌ Misc.",IF(AND('📝 Four-tier กรอก'!AN13&lt;&gt;'📝 Four-tier กรอก'!AN6,'📝 Four-tier กรอก'!AO13="N",'📝 Four-tier กรอก'!AP13&lt;&gt;'📝 Four-tier กรอก'!AP6,'📝 Four-tier กรอก'!AQ13="N"),"❓ NoK","🤔 Partial")))))</f>
        <v/>
      </c>
      <c r="N11" s="67">
        <f>IF(OR('📝 Four-tier กรอก'!AR13="",'📝 Four-tier กรอก'!AT13=""),"—",IF(AND('📝 Four-tier กรอก'!AR13='📝 Four-tier กรอก'!AR6,'📝 Four-tier กรอก'!AS13="Y",'📝 Four-tier กรอก'!AT13='📝 Four-tier กรอก'!AT6,'📝 Four-tier กรอก'!AU13="Y"),"✅ Sound",IF(AND('📝 Four-tier กรอก'!AR13='📝 Four-tier กรอก'!AR6,'📝 Four-tier กรอก'!AS13="Y",'📝 Four-tier กรอก'!AT13&lt;&gt;'📝 Four-tier กรอก'!AT6,'📝 Four-tier กรอก'!AU13="Y"),"🎲 Guess",IF(AND('📝 Four-tier กรอก'!AR13&lt;&gt;'📝 Four-tier กรอก'!AR6,'📝 Four-tier กรอก'!AS13="Y",'📝 Four-tier กรอก'!AT13&lt;&gt;'📝 Four-tier กรอก'!AT6,'📝 Four-tier กรอก'!AU13="Y"),"❌ Misc.",IF(AND('📝 Four-tier กรอก'!AR13&lt;&gt;'📝 Four-tier กรอก'!AR6,'📝 Four-tier กรอก'!AS13="N",'📝 Four-tier กรอก'!AT13&lt;&gt;'📝 Four-tier กรอก'!AT6,'📝 Four-tier กรอก'!AU13="N"),"❓ NoK","🤔 Partial")))))</f>
        <v/>
      </c>
      <c r="O11" s="67">
        <f>IF(OR('📝 Four-tier กรอก'!AV13="",'📝 Four-tier กรอก'!AX13=""),"—",IF(AND('📝 Four-tier กรอก'!AV13='📝 Four-tier กรอก'!AV6,'📝 Four-tier กรอก'!AW13="Y",'📝 Four-tier กรอก'!AX13='📝 Four-tier กรอก'!AX6,'📝 Four-tier กรอก'!AY13="Y"),"✅ Sound",IF(AND('📝 Four-tier กรอก'!AV13='📝 Four-tier กรอก'!AV6,'📝 Four-tier กรอก'!AW13="Y",'📝 Four-tier กรอก'!AX13&lt;&gt;'📝 Four-tier กรอก'!AX6,'📝 Four-tier กรอก'!AY13="Y"),"🎲 Guess",IF(AND('📝 Four-tier กรอก'!AV13&lt;&gt;'📝 Four-tier กรอก'!AV6,'📝 Four-tier กรอก'!AW13="Y",'📝 Four-tier กรอก'!AX13&lt;&gt;'📝 Four-tier กรอก'!AX6,'📝 Four-tier กรอก'!AY13="Y"),"❌ Misc.",IF(AND('📝 Four-tier กรอก'!AV13&lt;&gt;'📝 Four-tier กรอก'!AV6,'📝 Four-tier กรอก'!AW13="N",'📝 Four-tier กรอก'!AX13&lt;&gt;'📝 Four-tier กรอก'!AX6,'📝 Four-tier กรอก'!AY13="N"),"❓ NoK","🤔 Partial")))))</f>
        <v/>
      </c>
      <c r="P11" s="67">
        <f>IF(OR('📝 Four-tier กรอก'!AZ13="",'📝 Four-tier กรอก'!BB13=""),"—",IF(AND('📝 Four-tier กรอก'!AZ13='📝 Four-tier กรอก'!AZ6,'📝 Four-tier กรอก'!BA13="Y",'📝 Four-tier กรอก'!BB13='📝 Four-tier กรอก'!BB6,'📝 Four-tier กรอก'!BC13="Y"),"✅ Sound",IF(AND('📝 Four-tier กรอก'!AZ13='📝 Four-tier กรอก'!AZ6,'📝 Four-tier กรอก'!BA13="Y",'📝 Four-tier กรอก'!BB13&lt;&gt;'📝 Four-tier กรอก'!BB6,'📝 Four-tier กรอก'!BC13="Y"),"🎲 Guess",IF(AND('📝 Four-tier กรอก'!AZ13&lt;&gt;'📝 Four-tier กรอก'!AZ6,'📝 Four-tier กรอก'!BA13="Y",'📝 Four-tier กรอก'!BB13&lt;&gt;'📝 Four-tier กรอก'!BB6,'📝 Four-tier กรอก'!BC13="Y"),"❌ Misc.",IF(AND('📝 Four-tier กรอก'!AZ13&lt;&gt;'📝 Four-tier กรอก'!AZ6,'📝 Four-tier กรอก'!BA13="N",'📝 Four-tier กรอก'!BB13&lt;&gt;'📝 Four-tier กรอก'!BB6,'📝 Four-tier กรอก'!BC13="N"),"❓ NoK","🤔 Partial")))))</f>
        <v/>
      </c>
      <c r="Q11" s="67">
        <f>IF(OR('📝 Four-tier กรอก'!BD13="",'📝 Four-tier กรอก'!BF13=""),"—",IF(AND('📝 Four-tier กรอก'!BD13='📝 Four-tier กรอก'!BD6,'📝 Four-tier กรอก'!BE13="Y",'📝 Four-tier กรอก'!BF13='📝 Four-tier กรอก'!BF6,'📝 Four-tier กรอก'!BG13="Y"),"✅ Sound",IF(AND('📝 Four-tier กรอก'!BD13='📝 Four-tier กรอก'!BD6,'📝 Four-tier กรอก'!BE13="Y",'📝 Four-tier กรอก'!BF13&lt;&gt;'📝 Four-tier กรอก'!BF6,'📝 Four-tier กรอก'!BG13="Y"),"🎲 Guess",IF(AND('📝 Four-tier กรอก'!BD13&lt;&gt;'📝 Four-tier กรอก'!BD6,'📝 Four-tier กรอก'!BE13="Y",'📝 Four-tier กรอก'!BF13&lt;&gt;'📝 Four-tier กรอก'!BF6,'📝 Four-tier กรอก'!BG13="Y"),"❌ Misc.",IF(AND('📝 Four-tier กรอก'!BD13&lt;&gt;'📝 Four-tier กรอก'!BD6,'📝 Four-tier กรอก'!BE13="N",'📝 Four-tier กรอก'!BF13&lt;&gt;'📝 Four-tier กรอก'!BF6,'📝 Four-tier กรอก'!BG13="N"),"❓ NoK","🤔 Partial")))))</f>
        <v/>
      </c>
      <c r="R11" s="67">
        <f>IF(OR('📝 Four-tier กรอก'!BH13="",'📝 Four-tier กรอก'!BJ13=""),"—",IF(AND('📝 Four-tier กรอก'!BH13='📝 Four-tier กรอก'!BH6,'📝 Four-tier กรอก'!BI13="Y",'📝 Four-tier กรอก'!BJ13='📝 Four-tier กรอก'!BJ6,'📝 Four-tier กรอก'!BK13="Y"),"✅ Sound",IF(AND('📝 Four-tier กรอก'!BH13='📝 Four-tier กรอก'!BH6,'📝 Four-tier กรอก'!BI13="Y",'📝 Four-tier กรอก'!BJ13&lt;&gt;'📝 Four-tier กรอก'!BJ6,'📝 Four-tier กรอก'!BK13="Y"),"🎲 Guess",IF(AND('📝 Four-tier กรอก'!BH13&lt;&gt;'📝 Four-tier กรอก'!BH6,'📝 Four-tier กรอก'!BI13="Y",'📝 Four-tier กรอก'!BJ13&lt;&gt;'📝 Four-tier กรอก'!BJ6,'📝 Four-tier กรอก'!BK13="Y"),"❌ Misc.",IF(AND('📝 Four-tier กรอก'!BH13&lt;&gt;'📝 Four-tier กรอก'!BH6,'📝 Four-tier กรอก'!BI13="N",'📝 Four-tier กรอก'!BJ13&lt;&gt;'📝 Four-tier กรอก'!BJ6,'📝 Four-tier กรอก'!BK13="N"),"❓ NoK","🤔 Partial")))))</f>
        <v/>
      </c>
      <c r="S11" s="67">
        <f>IF(OR('📝 Four-tier กรอก'!BL13="",'📝 Four-tier กรอก'!BN13=""),"—",IF(AND('📝 Four-tier กรอก'!BL13='📝 Four-tier กรอก'!BL6,'📝 Four-tier กรอก'!BM13="Y",'📝 Four-tier กรอก'!BN13='📝 Four-tier กรอก'!BN6,'📝 Four-tier กรอก'!BO13="Y"),"✅ Sound",IF(AND('📝 Four-tier กรอก'!BL13='📝 Four-tier กรอก'!BL6,'📝 Four-tier กรอก'!BM13="Y",'📝 Four-tier กรอก'!BN13&lt;&gt;'📝 Four-tier กรอก'!BN6,'📝 Four-tier กรอก'!BO13="Y"),"🎲 Guess",IF(AND('📝 Four-tier กรอก'!BL13&lt;&gt;'📝 Four-tier กรอก'!BL6,'📝 Four-tier กรอก'!BM13="Y",'📝 Four-tier กรอก'!BN13&lt;&gt;'📝 Four-tier กรอก'!BN6,'📝 Four-tier กรอก'!BO13="Y"),"❌ Misc.",IF(AND('📝 Four-tier กรอก'!BL13&lt;&gt;'📝 Four-tier กรอก'!BL6,'📝 Four-tier กรอก'!BM13="N",'📝 Four-tier กรอก'!BN13&lt;&gt;'📝 Four-tier กรอก'!BN6,'📝 Four-tier กรอก'!BO13="N"),"❓ NoK","🤔 Partial")))))</f>
        <v/>
      </c>
      <c r="T11" s="67">
        <f>IF(OR('📝 Four-tier กรอก'!BP13="",'📝 Four-tier กรอก'!BR13=""),"—",IF(AND('📝 Four-tier กรอก'!BP13='📝 Four-tier กรอก'!BP6,'📝 Four-tier กรอก'!BQ13="Y",'📝 Four-tier กรอก'!BR13='📝 Four-tier กรอก'!BR6,'📝 Four-tier กรอก'!BS13="Y"),"✅ Sound",IF(AND('📝 Four-tier กรอก'!BP13='📝 Four-tier กรอก'!BP6,'📝 Four-tier กรอก'!BQ13="Y",'📝 Four-tier กรอก'!BR13&lt;&gt;'📝 Four-tier กรอก'!BR6,'📝 Four-tier กรอก'!BS13="Y"),"🎲 Guess",IF(AND('📝 Four-tier กรอก'!BP13&lt;&gt;'📝 Four-tier กรอก'!BP6,'📝 Four-tier กรอก'!BQ13="Y",'📝 Four-tier กรอก'!BR13&lt;&gt;'📝 Four-tier กรอก'!BR6,'📝 Four-tier กรอก'!BS13="Y"),"❌ Misc.",IF(AND('📝 Four-tier กรอก'!BP13&lt;&gt;'📝 Four-tier กรอก'!BP6,'📝 Four-tier กรอก'!BQ13="N",'📝 Four-tier กรอก'!BR13&lt;&gt;'📝 Four-tier กรอก'!BR6,'📝 Four-tier กรอก'!BS13="N"),"❓ NoK","🤔 Partial")))))</f>
        <v/>
      </c>
      <c r="U11" s="67">
        <f>IF(OR('📝 Four-tier กรอก'!BT13="",'📝 Four-tier กรอก'!BV13=""),"—",IF(AND('📝 Four-tier กรอก'!BT13='📝 Four-tier กรอก'!BT6,'📝 Four-tier กรอก'!BU13="Y",'📝 Four-tier กรอก'!BV13='📝 Four-tier กรอก'!BV6,'📝 Four-tier กรอก'!BW13="Y"),"✅ Sound",IF(AND('📝 Four-tier กรอก'!BT13='📝 Four-tier กรอก'!BT6,'📝 Four-tier กรอก'!BU13="Y",'📝 Four-tier กรอก'!BV13&lt;&gt;'📝 Four-tier กรอก'!BV6,'📝 Four-tier กรอก'!BW13="Y"),"🎲 Guess",IF(AND('📝 Four-tier กรอก'!BT13&lt;&gt;'📝 Four-tier กรอก'!BT6,'📝 Four-tier กรอก'!BU13="Y",'📝 Four-tier กรอก'!BV13&lt;&gt;'📝 Four-tier กรอก'!BV6,'📝 Four-tier กรอก'!BW13="Y"),"❌ Misc.",IF(AND('📝 Four-tier กรอก'!BT13&lt;&gt;'📝 Four-tier กรอก'!BT6,'📝 Four-tier กรอก'!BU13="N",'📝 Four-tier กรอก'!BV13&lt;&gt;'📝 Four-tier กรอก'!BV6,'📝 Four-tier กรอก'!BW13="N"),"❓ NoK","🤔 Partial")))))</f>
        <v/>
      </c>
      <c r="V11" s="67">
        <f>IF(OR('📝 Four-tier กรอก'!BX13="",'📝 Four-tier กรอก'!BZ13=""),"—",IF(AND('📝 Four-tier กรอก'!BX13='📝 Four-tier กรอก'!BX6,'📝 Four-tier กรอก'!BY13="Y",'📝 Four-tier กรอก'!BZ13='📝 Four-tier กรอก'!BZ6,'📝 Four-tier กรอก'!CA13="Y"),"✅ Sound",IF(AND('📝 Four-tier กรอก'!BX13='📝 Four-tier กรอก'!BX6,'📝 Four-tier กรอก'!BY13="Y",'📝 Four-tier กรอก'!BZ13&lt;&gt;'📝 Four-tier กรอก'!BZ6,'📝 Four-tier กรอก'!CA13="Y"),"🎲 Guess",IF(AND('📝 Four-tier กรอก'!BX13&lt;&gt;'📝 Four-tier กรอก'!BX6,'📝 Four-tier กรอก'!BY13="Y",'📝 Four-tier กรอก'!BZ13&lt;&gt;'📝 Four-tier กรอก'!BZ6,'📝 Four-tier กรอก'!CA13="Y"),"❌ Misc.",IF(AND('📝 Four-tier กรอก'!BX13&lt;&gt;'📝 Four-tier กรอก'!BX6,'📝 Four-tier กรอก'!BY13="N",'📝 Four-tier กรอก'!BZ13&lt;&gt;'📝 Four-tier กรอก'!BZ6,'📝 Four-tier กรอก'!CA13="N"),"❓ NoK","🤔 Partial")))))</f>
        <v/>
      </c>
      <c r="W11" s="67">
        <f>IF(OR('📝 Four-tier กรอก'!CB13="",'📝 Four-tier กรอก'!CD13=""),"—",IF(AND('📝 Four-tier กรอก'!CB13='📝 Four-tier กรอก'!CB6,'📝 Four-tier กรอก'!CC13="Y",'📝 Four-tier กรอก'!CD13='📝 Four-tier กรอก'!CD6,'📝 Four-tier กรอก'!CE13="Y"),"✅ Sound",IF(AND('📝 Four-tier กรอก'!CB13='📝 Four-tier กรอก'!CB6,'📝 Four-tier กรอก'!CC13="Y",'📝 Four-tier กรอก'!CD13&lt;&gt;'📝 Four-tier กรอก'!CD6,'📝 Four-tier กรอก'!CE13="Y"),"🎲 Guess",IF(AND('📝 Four-tier กรอก'!CB13&lt;&gt;'📝 Four-tier กรอก'!CB6,'📝 Four-tier กรอก'!CC13="Y",'📝 Four-tier กรอก'!CD13&lt;&gt;'📝 Four-tier กรอก'!CD6,'📝 Four-tier กรอก'!CE13="Y"),"❌ Misc.",IF(AND('📝 Four-tier กรอก'!CB13&lt;&gt;'📝 Four-tier กรอก'!CB6,'📝 Four-tier กรอก'!CC13="N",'📝 Four-tier กรอก'!CD13&lt;&gt;'📝 Four-tier กรอก'!CD6,'📝 Four-tier กรอก'!CE13="N"),"❓ NoK","🤔 Partial")))))</f>
        <v/>
      </c>
      <c r="X11" s="37">
        <f>COUNTIF(D11:W11,"✅ Sound")</f>
        <v/>
      </c>
      <c r="Y11" s="37">
        <f>COUNTIF(D11:W11,"❌ Misc.")</f>
        <v/>
      </c>
      <c r="Z11" s="37">
        <f>COUNTIF(D11:W11,"🎲 Guess")</f>
        <v/>
      </c>
      <c r="AA11" s="37">
        <f>COUNTIF(D11:W11,"❓ NoK")</f>
        <v/>
      </c>
    </row>
    <row r="12" ht="18" customHeight="1">
      <c r="B12" s="46">
        <f>'📝 Four-tier กรอก'!B14</f>
        <v/>
      </c>
      <c r="C12" s="51">
        <f>'📝 Four-tier กรอก'!C14</f>
        <v/>
      </c>
      <c r="D12" s="68">
        <f>IF(OR('📝 Four-tier กรอก'!D14="",'📝 Four-tier กรอก'!F14=""),"—",IF(AND('📝 Four-tier กรอก'!D14='📝 Four-tier กรอก'!D6,'📝 Four-tier กรอก'!E14="Y",'📝 Four-tier กรอก'!F14='📝 Four-tier กรอก'!F6,'📝 Four-tier กรอก'!G14="Y"),"✅ Sound",IF(AND('📝 Four-tier กรอก'!D14='📝 Four-tier กรอก'!D6,'📝 Four-tier กรอก'!E14="Y",'📝 Four-tier กรอก'!F14&lt;&gt;'📝 Four-tier กรอก'!F6,'📝 Four-tier กรอก'!G14="Y"),"🎲 Guess",IF(AND('📝 Four-tier กรอก'!D14&lt;&gt;'📝 Four-tier กรอก'!D6,'📝 Four-tier กรอก'!E14="Y",'📝 Four-tier กรอก'!F14&lt;&gt;'📝 Four-tier กรอก'!F6,'📝 Four-tier กรอก'!G14="Y"),"❌ Misc.",IF(AND('📝 Four-tier กรอก'!D14&lt;&gt;'📝 Four-tier กรอก'!D6,'📝 Four-tier กรอก'!E14="N",'📝 Four-tier กรอก'!F14&lt;&gt;'📝 Four-tier กรอก'!F6,'📝 Four-tier กรอก'!G14="N"),"❓ NoK","🤔 Partial")))))</f>
        <v/>
      </c>
      <c r="E12" s="68">
        <f>IF(OR('📝 Four-tier กรอก'!H14="",'📝 Four-tier กรอก'!J14=""),"—",IF(AND('📝 Four-tier กรอก'!H14='📝 Four-tier กรอก'!H6,'📝 Four-tier กรอก'!I14="Y",'📝 Four-tier กรอก'!J14='📝 Four-tier กรอก'!J6,'📝 Four-tier กรอก'!K14="Y"),"✅ Sound",IF(AND('📝 Four-tier กรอก'!H14='📝 Four-tier กรอก'!H6,'📝 Four-tier กรอก'!I14="Y",'📝 Four-tier กรอก'!J14&lt;&gt;'📝 Four-tier กรอก'!J6,'📝 Four-tier กรอก'!K14="Y"),"🎲 Guess",IF(AND('📝 Four-tier กรอก'!H14&lt;&gt;'📝 Four-tier กรอก'!H6,'📝 Four-tier กรอก'!I14="Y",'📝 Four-tier กรอก'!J14&lt;&gt;'📝 Four-tier กรอก'!J6,'📝 Four-tier กรอก'!K14="Y"),"❌ Misc.",IF(AND('📝 Four-tier กรอก'!H14&lt;&gt;'📝 Four-tier กรอก'!H6,'📝 Four-tier กรอก'!I14="N",'📝 Four-tier กรอก'!J14&lt;&gt;'📝 Four-tier กรอก'!J6,'📝 Four-tier กรอก'!K14="N"),"❓ NoK","🤔 Partial")))))</f>
        <v/>
      </c>
      <c r="F12" s="68">
        <f>IF(OR('📝 Four-tier กรอก'!L14="",'📝 Four-tier กรอก'!N14=""),"—",IF(AND('📝 Four-tier กรอก'!L14='📝 Four-tier กรอก'!L6,'📝 Four-tier กรอก'!M14="Y",'📝 Four-tier กรอก'!N14='📝 Four-tier กรอก'!N6,'📝 Four-tier กรอก'!O14="Y"),"✅ Sound",IF(AND('📝 Four-tier กรอก'!L14='📝 Four-tier กรอก'!L6,'📝 Four-tier กรอก'!M14="Y",'📝 Four-tier กรอก'!N14&lt;&gt;'📝 Four-tier กรอก'!N6,'📝 Four-tier กรอก'!O14="Y"),"🎲 Guess",IF(AND('📝 Four-tier กรอก'!L14&lt;&gt;'📝 Four-tier กรอก'!L6,'📝 Four-tier กรอก'!M14="Y",'📝 Four-tier กรอก'!N14&lt;&gt;'📝 Four-tier กรอก'!N6,'📝 Four-tier กรอก'!O14="Y"),"❌ Misc.",IF(AND('📝 Four-tier กรอก'!L14&lt;&gt;'📝 Four-tier กรอก'!L6,'📝 Four-tier กรอก'!M14="N",'📝 Four-tier กรอก'!N14&lt;&gt;'📝 Four-tier กรอก'!N6,'📝 Four-tier กรอก'!O14="N"),"❓ NoK","🤔 Partial")))))</f>
        <v/>
      </c>
      <c r="G12" s="68">
        <f>IF(OR('📝 Four-tier กรอก'!P14="",'📝 Four-tier กรอก'!R14=""),"—",IF(AND('📝 Four-tier กรอก'!P14='📝 Four-tier กรอก'!P6,'📝 Four-tier กรอก'!Q14="Y",'📝 Four-tier กรอก'!R14='📝 Four-tier กรอก'!R6,'📝 Four-tier กรอก'!S14="Y"),"✅ Sound",IF(AND('📝 Four-tier กรอก'!P14='📝 Four-tier กรอก'!P6,'📝 Four-tier กรอก'!Q14="Y",'📝 Four-tier กรอก'!R14&lt;&gt;'📝 Four-tier กรอก'!R6,'📝 Four-tier กรอก'!S14="Y"),"🎲 Guess",IF(AND('📝 Four-tier กรอก'!P14&lt;&gt;'📝 Four-tier กรอก'!P6,'📝 Four-tier กรอก'!Q14="Y",'📝 Four-tier กรอก'!R14&lt;&gt;'📝 Four-tier กรอก'!R6,'📝 Four-tier กรอก'!S14="Y"),"❌ Misc.",IF(AND('📝 Four-tier กรอก'!P14&lt;&gt;'📝 Four-tier กรอก'!P6,'📝 Four-tier กรอก'!Q14="N",'📝 Four-tier กรอก'!R14&lt;&gt;'📝 Four-tier กรอก'!R6,'📝 Four-tier กรอก'!S14="N"),"❓ NoK","🤔 Partial")))))</f>
        <v/>
      </c>
      <c r="H12" s="68">
        <f>IF(OR('📝 Four-tier กรอก'!T14="",'📝 Four-tier กรอก'!V14=""),"—",IF(AND('📝 Four-tier กรอก'!T14='📝 Four-tier กรอก'!T6,'📝 Four-tier กรอก'!U14="Y",'📝 Four-tier กรอก'!V14='📝 Four-tier กรอก'!V6,'📝 Four-tier กรอก'!W14="Y"),"✅ Sound",IF(AND('📝 Four-tier กรอก'!T14='📝 Four-tier กรอก'!T6,'📝 Four-tier กรอก'!U14="Y",'📝 Four-tier กรอก'!V14&lt;&gt;'📝 Four-tier กรอก'!V6,'📝 Four-tier กรอก'!W14="Y"),"🎲 Guess",IF(AND('📝 Four-tier กรอก'!T14&lt;&gt;'📝 Four-tier กรอก'!T6,'📝 Four-tier กรอก'!U14="Y",'📝 Four-tier กรอก'!V14&lt;&gt;'📝 Four-tier กรอก'!V6,'📝 Four-tier กรอก'!W14="Y"),"❌ Misc.",IF(AND('📝 Four-tier กรอก'!T14&lt;&gt;'📝 Four-tier กรอก'!T6,'📝 Four-tier กรอก'!U14="N",'📝 Four-tier กรอก'!V14&lt;&gt;'📝 Four-tier กรอก'!V6,'📝 Four-tier กรอก'!W14="N"),"❓ NoK","🤔 Partial")))))</f>
        <v/>
      </c>
      <c r="I12" s="68">
        <f>IF(OR('📝 Four-tier กรอก'!X14="",'📝 Four-tier กรอก'!Z14=""),"—",IF(AND('📝 Four-tier กรอก'!X14='📝 Four-tier กรอก'!X6,'📝 Four-tier กรอก'!Y14="Y",'📝 Four-tier กรอก'!Z14='📝 Four-tier กรอก'!Z6,'📝 Four-tier กรอก'!AA14="Y"),"✅ Sound",IF(AND('📝 Four-tier กรอก'!X14='📝 Four-tier กรอก'!X6,'📝 Four-tier กรอก'!Y14="Y",'📝 Four-tier กรอก'!Z14&lt;&gt;'📝 Four-tier กรอก'!Z6,'📝 Four-tier กรอก'!AA14="Y"),"🎲 Guess",IF(AND('📝 Four-tier กรอก'!X14&lt;&gt;'📝 Four-tier กรอก'!X6,'📝 Four-tier กรอก'!Y14="Y",'📝 Four-tier กรอก'!Z14&lt;&gt;'📝 Four-tier กรอก'!Z6,'📝 Four-tier กรอก'!AA14="Y"),"❌ Misc.",IF(AND('📝 Four-tier กรอก'!X14&lt;&gt;'📝 Four-tier กรอก'!X6,'📝 Four-tier กรอก'!Y14="N",'📝 Four-tier กรอก'!Z14&lt;&gt;'📝 Four-tier กรอก'!Z6,'📝 Four-tier กรอก'!AA14="N"),"❓ NoK","🤔 Partial")))))</f>
        <v/>
      </c>
      <c r="J12" s="68">
        <f>IF(OR('📝 Four-tier กรอก'!AB14="",'📝 Four-tier กรอก'!AD14=""),"—",IF(AND('📝 Four-tier กรอก'!AB14='📝 Four-tier กรอก'!AB6,'📝 Four-tier กรอก'!AC14="Y",'📝 Four-tier กรอก'!AD14='📝 Four-tier กรอก'!AD6,'📝 Four-tier กรอก'!AE14="Y"),"✅ Sound",IF(AND('📝 Four-tier กรอก'!AB14='📝 Four-tier กรอก'!AB6,'📝 Four-tier กรอก'!AC14="Y",'📝 Four-tier กรอก'!AD14&lt;&gt;'📝 Four-tier กรอก'!AD6,'📝 Four-tier กรอก'!AE14="Y"),"🎲 Guess",IF(AND('📝 Four-tier กรอก'!AB14&lt;&gt;'📝 Four-tier กรอก'!AB6,'📝 Four-tier กรอก'!AC14="Y",'📝 Four-tier กรอก'!AD14&lt;&gt;'📝 Four-tier กรอก'!AD6,'📝 Four-tier กรอก'!AE14="Y"),"❌ Misc.",IF(AND('📝 Four-tier กรอก'!AB14&lt;&gt;'📝 Four-tier กรอก'!AB6,'📝 Four-tier กรอก'!AC14="N",'📝 Four-tier กรอก'!AD14&lt;&gt;'📝 Four-tier กรอก'!AD6,'📝 Four-tier กรอก'!AE14="N"),"❓ NoK","🤔 Partial")))))</f>
        <v/>
      </c>
      <c r="K12" s="68">
        <f>IF(OR('📝 Four-tier กรอก'!AF14="",'📝 Four-tier กรอก'!AH14=""),"—",IF(AND('📝 Four-tier กรอก'!AF14='📝 Four-tier กรอก'!AF6,'📝 Four-tier กรอก'!AG14="Y",'📝 Four-tier กรอก'!AH14='📝 Four-tier กรอก'!AH6,'📝 Four-tier กรอก'!AI14="Y"),"✅ Sound",IF(AND('📝 Four-tier กรอก'!AF14='📝 Four-tier กรอก'!AF6,'📝 Four-tier กรอก'!AG14="Y",'📝 Four-tier กรอก'!AH14&lt;&gt;'📝 Four-tier กรอก'!AH6,'📝 Four-tier กรอก'!AI14="Y"),"🎲 Guess",IF(AND('📝 Four-tier กรอก'!AF14&lt;&gt;'📝 Four-tier กรอก'!AF6,'📝 Four-tier กรอก'!AG14="Y",'📝 Four-tier กรอก'!AH14&lt;&gt;'📝 Four-tier กรอก'!AH6,'📝 Four-tier กรอก'!AI14="Y"),"❌ Misc.",IF(AND('📝 Four-tier กรอก'!AF14&lt;&gt;'📝 Four-tier กรอก'!AF6,'📝 Four-tier กรอก'!AG14="N",'📝 Four-tier กรอก'!AH14&lt;&gt;'📝 Four-tier กรอก'!AH6,'📝 Four-tier กรอก'!AI14="N"),"❓ NoK","🤔 Partial")))))</f>
        <v/>
      </c>
      <c r="L12" s="68">
        <f>IF(OR('📝 Four-tier กรอก'!AJ14="",'📝 Four-tier กรอก'!AL14=""),"—",IF(AND('📝 Four-tier กรอก'!AJ14='📝 Four-tier กรอก'!AJ6,'📝 Four-tier กรอก'!AK14="Y",'📝 Four-tier กรอก'!AL14='📝 Four-tier กรอก'!AL6,'📝 Four-tier กรอก'!AM14="Y"),"✅ Sound",IF(AND('📝 Four-tier กรอก'!AJ14='📝 Four-tier กรอก'!AJ6,'📝 Four-tier กรอก'!AK14="Y",'📝 Four-tier กรอก'!AL14&lt;&gt;'📝 Four-tier กรอก'!AL6,'📝 Four-tier กรอก'!AM14="Y"),"🎲 Guess",IF(AND('📝 Four-tier กรอก'!AJ14&lt;&gt;'📝 Four-tier กรอก'!AJ6,'📝 Four-tier กรอก'!AK14="Y",'📝 Four-tier กรอก'!AL14&lt;&gt;'📝 Four-tier กรอก'!AL6,'📝 Four-tier กรอก'!AM14="Y"),"❌ Misc.",IF(AND('📝 Four-tier กรอก'!AJ14&lt;&gt;'📝 Four-tier กรอก'!AJ6,'📝 Four-tier กรอก'!AK14="N",'📝 Four-tier กรอก'!AL14&lt;&gt;'📝 Four-tier กรอก'!AL6,'📝 Four-tier กรอก'!AM14="N"),"❓ NoK","🤔 Partial")))))</f>
        <v/>
      </c>
      <c r="M12" s="68">
        <f>IF(OR('📝 Four-tier กรอก'!AN14="",'📝 Four-tier กรอก'!AP14=""),"—",IF(AND('📝 Four-tier กรอก'!AN14='📝 Four-tier กรอก'!AN6,'📝 Four-tier กรอก'!AO14="Y",'📝 Four-tier กรอก'!AP14='📝 Four-tier กรอก'!AP6,'📝 Four-tier กรอก'!AQ14="Y"),"✅ Sound",IF(AND('📝 Four-tier กรอก'!AN14='📝 Four-tier กรอก'!AN6,'📝 Four-tier กรอก'!AO14="Y",'📝 Four-tier กรอก'!AP14&lt;&gt;'📝 Four-tier กรอก'!AP6,'📝 Four-tier กรอก'!AQ14="Y"),"🎲 Guess",IF(AND('📝 Four-tier กรอก'!AN14&lt;&gt;'📝 Four-tier กรอก'!AN6,'📝 Four-tier กรอก'!AO14="Y",'📝 Four-tier กรอก'!AP14&lt;&gt;'📝 Four-tier กรอก'!AP6,'📝 Four-tier กรอก'!AQ14="Y"),"❌ Misc.",IF(AND('📝 Four-tier กรอก'!AN14&lt;&gt;'📝 Four-tier กรอก'!AN6,'📝 Four-tier กรอก'!AO14="N",'📝 Four-tier กรอก'!AP14&lt;&gt;'📝 Four-tier กรอก'!AP6,'📝 Four-tier กรอก'!AQ14="N"),"❓ NoK","🤔 Partial")))))</f>
        <v/>
      </c>
      <c r="N12" s="68">
        <f>IF(OR('📝 Four-tier กรอก'!AR14="",'📝 Four-tier กรอก'!AT14=""),"—",IF(AND('📝 Four-tier กรอก'!AR14='📝 Four-tier กรอก'!AR6,'📝 Four-tier กรอก'!AS14="Y",'📝 Four-tier กรอก'!AT14='📝 Four-tier กรอก'!AT6,'📝 Four-tier กรอก'!AU14="Y"),"✅ Sound",IF(AND('📝 Four-tier กรอก'!AR14='📝 Four-tier กรอก'!AR6,'📝 Four-tier กรอก'!AS14="Y",'📝 Four-tier กรอก'!AT14&lt;&gt;'📝 Four-tier กรอก'!AT6,'📝 Four-tier กรอก'!AU14="Y"),"🎲 Guess",IF(AND('📝 Four-tier กรอก'!AR14&lt;&gt;'📝 Four-tier กรอก'!AR6,'📝 Four-tier กรอก'!AS14="Y",'📝 Four-tier กรอก'!AT14&lt;&gt;'📝 Four-tier กรอก'!AT6,'📝 Four-tier กรอก'!AU14="Y"),"❌ Misc.",IF(AND('📝 Four-tier กรอก'!AR14&lt;&gt;'📝 Four-tier กรอก'!AR6,'📝 Four-tier กรอก'!AS14="N",'📝 Four-tier กรอก'!AT14&lt;&gt;'📝 Four-tier กรอก'!AT6,'📝 Four-tier กรอก'!AU14="N"),"❓ NoK","🤔 Partial")))))</f>
        <v/>
      </c>
      <c r="O12" s="68">
        <f>IF(OR('📝 Four-tier กรอก'!AV14="",'📝 Four-tier กรอก'!AX14=""),"—",IF(AND('📝 Four-tier กรอก'!AV14='📝 Four-tier กรอก'!AV6,'📝 Four-tier กรอก'!AW14="Y",'📝 Four-tier กรอก'!AX14='📝 Four-tier กรอก'!AX6,'📝 Four-tier กรอก'!AY14="Y"),"✅ Sound",IF(AND('📝 Four-tier กรอก'!AV14='📝 Four-tier กรอก'!AV6,'📝 Four-tier กรอก'!AW14="Y",'📝 Four-tier กรอก'!AX14&lt;&gt;'📝 Four-tier กรอก'!AX6,'📝 Four-tier กรอก'!AY14="Y"),"🎲 Guess",IF(AND('📝 Four-tier กรอก'!AV14&lt;&gt;'📝 Four-tier กรอก'!AV6,'📝 Four-tier กรอก'!AW14="Y",'📝 Four-tier กรอก'!AX14&lt;&gt;'📝 Four-tier กรอก'!AX6,'📝 Four-tier กรอก'!AY14="Y"),"❌ Misc.",IF(AND('📝 Four-tier กรอก'!AV14&lt;&gt;'📝 Four-tier กรอก'!AV6,'📝 Four-tier กรอก'!AW14="N",'📝 Four-tier กรอก'!AX14&lt;&gt;'📝 Four-tier กรอก'!AX6,'📝 Four-tier กรอก'!AY14="N"),"❓ NoK","🤔 Partial")))))</f>
        <v/>
      </c>
      <c r="P12" s="68">
        <f>IF(OR('📝 Four-tier กรอก'!AZ14="",'📝 Four-tier กรอก'!BB14=""),"—",IF(AND('📝 Four-tier กรอก'!AZ14='📝 Four-tier กรอก'!AZ6,'📝 Four-tier กรอก'!BA14="Y",'📝 Four-tier กรอก'!BB14='📝 Four-tier กรอก'!BB6,'📝 Four-tier กรอก'!BC14="Y"),"✅ Sound",IF(AND('📝 Four-tier กรอก'!AZ14='📝 Four-tier กรอก'!AZ6,'📝 Four-tier กรอก'!BA14="Y",'📝 Four-tier กรอก'!BB14&lt;&gt;'📝 Four-tier กรอก'!BB6,'📝 Four-tier กรอก'!BC14="Y"),"🎲 Guess",IF(AND('📝 Four-tier กรอก'!AZ14&lt;&gt;'📝 Four-tier กรอก'!AZ6,'📝 Four-tier กรอก'!BA14="Y",'📝 Four-tier กรอก'!BB14&lt;&gt;'📝 Four-tier กรอก'!BB6,'📝 Four-tier กรอก'!BC14="Y"),"❌ Misc.",IF(AND('📝 Four-tier กรอก'!AZ14&lt;&gt;'📝 Four-tier กรอก'!AZ6,'📝 Four-tier กรอก'!BA14="N",'📝 Four-tier กรอก'!BB14&lt;&gt;'📝 Four-tier กรอก'!BB6,'📝 Four-tier กรอก'!BC14="N"),"❓ NoK","🤔 Partial")))))</f>
        <v/>
      </c>
      <c r="Q12" s="68">
        <f>IF(OR('📝 Four-tier กรอก'!BD14="",'📝 Four-tier กรอก'!BF14=""),"—",IF(AND('📝 Four-tier กรอก'!BD14='📝 Four-tier กรอก'!BD6,'📝 Four-tier กรอก'!BE14="Y",'📝 Four-tier กรอก'!BF14='📝 Four-tier กรอก'!BF6,'📝 Four-tier กรอก'!BG14="Y"),"✅ Sound",IF(AND('📝 Four-tier กรอก'!BD14='📝 Four-tier กรอก'!BD6,'📝 Four-tier กรอก'!BE14="Y",'📝 Four-tier กรอก'!BF14&lt;&gt;'📝 Four-tier กรอก'!BF6,'📝 Four-tier กรอก'!BG14="Y"),"🎲 Guess",IF(AND('📝 Four-tier กรอก'!BD14&lt;&gt;'📝 Four-tier กรอก'!BD6,'📝 Four-tier กรอก'!BE14="Y",'📝 Four-tier กรอก'!BF14&lt;&gt;'📝 Four-tier กรอก'!BF6,'📝 Four-tier กรอก'!BG14="Y"),"❌ Misc.",IF(AND('📝 Four-tier กรอก'!BD14&lt;&gt;'📝 Four-tier กรอก'!BD6,'📝 Four-tier กรอก'!BE14="N",'📝 Four-tier กรอก'!BF14&lt;&gt;'📝 Four-tier กรอก'!BF6,'📝 Four-tier กรอก'!BG14="N"),"❓ NoK","🤔 Partial")))))</f>
        <v/>
      </c>
      <c r="R12" s="68">
        <f>IF(OR('📝 Four-tier กรอก'!BH14="",'📝 Four-tier กรอก'!BJ14=""),"—",IF(AND('📝 Four-tier กรอก'!BH14='📝 Four-tier กรอก'!BH6,'📝 Four-tier กรอก'!BI14="Y",'📝 Four-tier กรอก'!BJ14='📝 Four-tier กรอก'!BJ6,'📝 Four-tier กรอก'!BK14="Y"),"✅ Sound",IF(AND('📝 Four-tier กรอก'!BH14='📝 Four-tier กรอก'!BH6,'📝 Four-tier กรอก'!BI14="Y",'📝 Four-tier กรอก'!BJ14&lt;&gt;'📝 Four-tier กรอก'!BJ6,'📝 Four-tier กรอก'!BK14="Y"),"🎲 Guess",IF(AND('📝 Four-tier กรอก'!BH14&lt;&gt;'📝 Four-tier กรอก'!BH6,'📝 Four-tier กรอก'!BI14="Y",'📝 Four-tier กรอก'!BJ14&lt;&gt;'📝 Four-tier กรอก'!BJ6,'📝 Four-tier กรอก'!BK14="Y"),"❌ Misc.",IF(AND('📝 Four-tier กรอก'!BH14&lt;&gt;'📝 Four-tier กรอก'!BH6,'📝 Four-tier กรอก'!BI14="N",'📝 Four-tier กรอก'!BJ14&lt;&gt;'📝 Four-tier กรอก'!BJ6,'📝 Four-tier กรอก'!BK14="N"),"❓ NoK","🤔 Partial")))))</f>
        <v/>
      </c>
      <c r="S12" s="68">
        <f>IF(OR('📝 Four-tier กรอก'!BL14="",'📝 Four-tier กรอก'!BN14=""),"—",IF(AND('📝 Four-tier กรอก'!BL14='📝 Four-tier กรอก'!BL6,'📝 Four-tier กรอก'!BM14="Y",'📝 Four-tier กรอก'!BN14='📝 Four-tier กรอก'!BN6,'📝 Four-tier กรอก'!BO14="Y"),"✅ Sound",IF(AND('📝 Four-tier กรอก'!BL14='📝 Four-tier กรอก'!BL6,'📝 Four-tier กรอก'!BM14="Y",'📝 Four-tier กรอก'!BN14&lt;&gt;'📝 Four-tier กรอก'!BN6,'📝 Four-tier กรอก'!BO14="Y"),"🎲 Guess",IF(AND('📝 Four-tier กรอก'!BL14&lt;&gt;'📝 Four-tier กรอก'!BL6,'📝 Four-tier กรอก'!BM14="Y",'📝 Four-tier กรอก'!BN14&lt;&gt;'📝 Four-tier กรอก'!BN6,'📝 Four-tier กรอก'!BO14="Y"),"❌ Misc.",IF(AND('📝 Four-tier กรอก'!BL14&lt;&gt;'📝 Four-tier กรอก'!BL6,'📝 Four-tier กรอก'!BM14="N",'📝 Four-tier กรอก'!BN14&lt;&gt;'📝 Four-tier กรอก'!BN6,'📝 Four-tier กรอก'!BO14="N"),"❓ NoK","🤔 Partial")))))</f>
        <v/>
      </c>
      <c r="T12" s="68">
        <f>IF(OR('📝 Four-tier กรอก'!BP14="",'📝 Four-tier กรอก'!BR14=""),"—",IF(AND('📝 Four-tier กรอก'!BP14='📝 Four-tier กรอก'!BP6,'📝 Four-tier กรอก'!BQ14="Y",'📝 Four-tier กรอก'!BR14='📝 Four-tier กรอก'!BR6,'📝 Four-tier กรอก'!BS14="Y"),"✅ Sound",IF(AND('📝 Four-tier กรอก'!BP14='📝 Four-tier กรอก'!BP6,'📝 Four-tier กรอก'!BQ14="Y",'📝 Four-tier กรอก'!BR14&lt;&gt;'📝 Four-tier กรอก'!BR6,'📝 Four-tier กรอก'!BS14="Y"),"🎲 Guess",IF(AND('📝 Four-tier กรอก'!BP14&lt;&gt;'📝 Four-tier กรอก'!BP6,'📝 Four-tier กรอก'!BQ14="Y",'📝 Four-tier กรอก'!BR14&lt;&gt;'📝 Four-tier กรอก'!BR6,'📝 Four-tier กรอก'!BS14="Y"),"❌ Misc.",IF(AND('📝 Four-tier กรอก'!BP14&lt;&gt;'📝 Four-tier กรอก'!BP6,'📝 Four-tier กรอก'!BQ14="N",'📝 Four-tier กรอก'!BR14&lt;&gt;'📝 Four-tier กรอก'!BR6,'📝 Four-tier กรอก'!BS14="N"),"❓ NoK","🤔 Partial")))))</f>
        <v/>
      </c>
      <c r="U12" s="68">
        <f>IF(OR('📝 Four-tier กรอก'!BT14="",'📝 Four-tier กรอก'!BV14=""),"—",IF(AND('📝 Four-tier กรอก'!BT14='📝 Four-tier กรอก'!BT6,'📝 Four-tier กรอก'!BU14="Y",'📝 Four-tier กรอก'!BV14='📝 Four-tier กรอก'!BV6,'📝 Four-tier กรอก'!BW14="Y"),"✅ Sound",IF(AND('📝 Four-tier กรอก'!BT14='📝 Four-tier กรอก'!BT6,'📝 Four-tier กรอก'!BU14="Y",'📝 Four-tier กรอก'!BV14&lt;&gt;'📝 Four-tier กรอก'!BV6,'📝 Four-tier กรอก'!BW14="Y"),"🎲 Guess",IF(AND('📝 Four-tier กรอก'!BT14&lt;&gt;'📝 Four-tier กรอก'!BT6,'📝 Four-tier กรอก'!BU14="Y",'📝 Four-tier กรอก'!BV14&lt;&gt;'📝 Four-tier กรอก'!BV6,'📝 Four-tier กรอก'!BW14="Y"),"❌ Misc.",IF(AND('📝 Four-tier กรอก'!BT14&lt;&gt;'📝 Four-tier กรอก'!BT6,'📝 Four-tier กรอก'!BU14="N",'📝 Four-tier กรอก'!BV14&lt;&gt;'📝 Four-tier กรอก'!BV6,'📝 Four-tier กรอก'!BW14="N"),"❓ NoK","🤔 Partial")))))</f>
        <v/>
      </c>
      <c r="V12" s="68">
        <f>IF(OR('📝 Four-tier กรอก'!BX14="",'📝 Four-tier กรอก'!BZ14=""),"—",IF(AND('📝 Four-tier กรอก'!BX14='📝 Four-tier กรอก'!BX6,'📝 Four-tier กรอก'!BY14="Y",'📝 Four-tier กรอก'!BZ14='📝 Four-tier กรอก'!BZ6,'📝 Four-tier กรอก'!CA14="Y"),"✅ Sound",IF(AND('📝 Four-tier กรอก'!BX14='📝 Four-tier กรอก'!BX6,'📝 Four-tier กรอก'!BY14="Y",'📝 Four-tier กรอก'!BZ14&lt;&gt;'📝 Four-tier กรอก'!BZ6,'📝 Four-tier กรอก'!CA14="Y"),"🎲 Guess",IF(AND('📝 Four-tier กรอก'!BX14&lt;&gt;'📝 Four-tier กรอก'!BX6,'📝 Four-tier กรอก'!BY14="Y",'📝 Four-tier กรอก'!BZ14&lt;&gt;'📝 Four-tier กรอก'!BZ6,'📝 Four-tier กรอก'!CA14="Y"),"❌ Misc.",IF(AND('📝 Four-tier กรอก'!BX14&lt;&gt;'📝 Four-tier กรอก'!BX6,'📝 Four-tier กรอก'!BY14="N",'📝 Four-tier กรอก'!BZ14&lt;&gt;'📝 Four-tier กรอก'!BZ6,'📝 Four-tier กรอก'!CA14="N"),"❓ NoK","🤔 Partial")))))</f>
        <v/>
      </c>
      <c r="W12" s="68">
        <f>IF(OR('📝 Four-tier กรอก'!CB14="",'📝 Four-tier กรอก'!CD14=""),"—",IF(AND('📝 Four-tier กรอก'!CB14='📝 Four-tier กรอก'!CB6,'📝 Four-tier กรอก'!CC14="Y",'📝 Four-tier กรอก'!CD14='📝 Four-tier กรอก'!CD6,'📝 Four-tier กรอก'!CE14="Y"),"✅ Sound",IF(AND('📝 Four-tier กรอก'!CB14='📝 Four-tier กรอก'!CB6,'📝 Four-tier กรอก'!CC14="Y",'📝 Four-tier กรอก'!CD14&lt;&gt;'📝 Four-tier กรอก'!CD6,'📝 Four-tier กรอก'!CE14="Y"),"🎲 Guess",IF(AND('📝 Four-tier กรอก'!CB14&lt;&gt;'📝 Four-tier กรอก'!CB6,'📝 Four-tier กรอก'!CC14="Y",'📝 Four-tier กรอก'!CD14&lt;&gt;'📝 Four-tier กรอก'!CD6,'📝 Four-tier กรอก'!CE14="Y"),"❌ Misc.",IF(AND('📝 Four-tier กรอก'!CB14&lt;&gt;'📝 Four-tier กรอก'!CB6,'📝 Four-tier กรอก'!CC14="N",'📝 Four-tier กรอก'!CD14&lt;&gt;'📝 Four-tier กรอก'!CD6,'📝 Four-tier กรอก'!CE14="N"),"❓ NoK","🤔 Partial")))))</f>
        <v/>
      </c>
      <c r="X12" s="37">
        <f>COUNTIF(D12:W12,"✅ Sound")</f>
        <v/>
      </c>
      <c r="Y12" s="37">
        <f>COUNTIF(D12:W12,"❌ Misc.")</f>
        <v/>
      </c>
      <c r="Z12" s="37">
        <f>COUNTIF(D12:W12,"🎲 Guess")</f>
        <v/>
      </c>
      <c r="AA12" s="37">
        <f>COUNTIF(D12:W12,"❓ NoK")</f>
        <v/>
      </c>
    </row>
    <row r="13" ht="18" customHeight="1">
      <c r="B13" s="46">
        <f>'📝 Four-tier กรอก'!B15</f>
        <v/>
      </c>
      <c r="C13" s="47">
        <f>'📝 Four-tier กรอก'!C15</f>
        <v/>
      </c>
      <c r="D13" s="67">
        <f>IF(OR('📝 Four-tier กรอก'!D15="",'📝 Four-tier กรอก'!F15=""),"—",IF(AND('📝 Four-tier กรอก'!D15='📝 Four-tier กรอก'!D6,'📝 Four-tier กรอก'!E15="Y",'📝 Four-tier กรอก'!F15='📝 Four-tier กรอก'!F6,'📝 Four-tier กรอก'!G15="Y"),"✅ Sound",IF(AND('📝 Four-tier กรอก'!D15='📝 Four-tier กรอก'!D6,'📝 Four-tier กรอก'!E15="Y",'📝 Four-tier กรอก'!F15&lt;&gt;'📝 Four-tier กรอก'!F6,'📝 Four-tier กรอก'!G15="Y"),"🎲 Guess",IF(AND('📝 Four-tier กรอก'!D15&lt;&gt;'📝 Four-tier กรอก'!D6,'📝 Four-tier กรอก'!E15="Y",'📝 Four-tier กรอก'!F15&lt;&gt;'📝 Four-tier กรอก'!F6,'📝 Four-tier กรอก'!G15="Y"),"❌ Misc.",IF(AND('📝 Four-tier กรอก'!D15&lt;&gt;'📝 Four-tier กรอก'!D6,'📝 Four-tier กรอก'!E15="N",'📝 Four-tier กรอก'!F15&lt;&gt;'📝 Four-tier กรอก'!F6,'📝 Four-tier กรอก'!G15="N"),"❓ NoK","🤔 Partial")))))</f>
        <v/>
      </c>
      <c r="E13" s="67">
        <f>IF(OR('📝 Four-tier กรอก'!H15="",'📝 Four-tier กรอก'!J15=""),"—",IF(AND('📝 Four-tier กรอก'!H15='📝 Four-tier กรอก'!H6,'📝 Four-tier กรอก'!I15="Y",'📝 Four-tier กรอก'!J15='📝 Four-tier กรอก'!J6,'📝 Four-tier กรอก'!K15="Y"),"✅ Sound",IF(AND('📝 Four-tier กรอก'!H15='📝 Four-tier กรอก'!H6,'📝 Four-tier กรอก'!I15="Y",'📝 Four-tier กรอก'!J15&lt;&gt;'📝 Four-tier กรอก'!J6,'📝 Four-tier กรอก'!K15="Y"),"🎲 Guess",IF(AND('📝 Four-tier กรอก'!H15&lt;&gt;'📝 Four-tier กรอก'!H6,'📝 Four-tier กรอก'!I15="Y",'📝 Four-tier กรอก'!J15&lt;&gt;'📝 Four-tier กรอก'!J6,'📝 Four-tier กรอก'!K15="Y"),"❌ Misc.",IF(AND('📝 Four-tier กรอก'!H15&lt;&gt;'📝 Four-tier กรอก'!H6,'📝 Four-tier กรอก'!I15="N",'📝 Four-tier กรอก'!J15&lt;&gt;'📝 Four-tier กรอก'!J6,'📝 Four-tier กรอก'!K15="N"),"❓ NoK","🤔 Partial")))))</f>
        <v/>
      </c>
      <c r="F13" s="67">
        <f>IF(OR('📝 Four-tier กรอก'!L15="",'📝 Four-tier กรอก'!N15=""),"—",IF(AND('📝 Four-tier กรอก'!L15='📝 Four-tier กรอก'!L6,'📝 Four-tier กรอก'!M15="Y",'📝 Four-tier กรอก'!N15='📝 Four-tier กรอก'!N6,'📝 Four-tier กรอก'!O15="Y"),"✅ Sound",IF(AND('📝 Four-tier กรอก'!L15='📝 Four-tier กรอก'!L6,'📝 Four-tier กรอก'!M15="Y",'📝 Four-tier กรอก'!N15&lt;&gt;'📝 Four-tier กรอก'!N6,'📝 Four-tier กรอก'!O15="Y"),"🎲 Guess",IF(AND('📝 Four-tier กรอก'!L15&lt;&gt;'📝 Four-tier กรอก'!L6,'📝 Four-tier กรอก'!M15="Y",'📝 Four-tier กรอก'!N15&lt;&gt;'📝 Four-tier กรอก'!N6,'📝 Four-tier กรอก'!O15="Y"),"❌ Misc.",IF(AND('📝 Four-tier กรอก'!L15&lt;&gt;'📝 Four-tier กรอก'!L6,'📝 Four-tier กรอก'!M15="N",'📝 Four-tier กรอก'!N15&lt;&gt;'📝 Four-tier กรอก'!N6,'📝 Four-tier กรอก'!O15="N"),"❓ NoK","🤔 Partial")))))</f>
        <v/>
      </c>
      <c r="G13" s="67">
        <f>IF(OR('📝 Four-tier กรอก'!P15="",'📝 Four-tier กรอก'!R15=""),"—",IF(AND('📝 Four-tier กรอก'!P15='📝 Four-tier กรอก'!P6,'📝 Four-tier กรอก'!Q15="Y",'📝 Four-tier กรอก'!R15='📝 Four-tier กรอก'!R6,'📝 Four-tier กรอก'!S15="Y"),"✅ Sound",IF(AND('📝 Four-tier กรอก'!P15='📝 Four-tier กรอก'!P6,'📝 Four-tier กรอก'!Q15="Y",'📝 Four-tier กรอก'!R15&lt;&gt;'📝 Four-tier กรอก'!R6,'📝 Four-tier กรอก'!S15="Y"),"🎲 Guess",IF(AND('📝 Four-tier กรอก'!P15&lt;&gt;'📝 Four-tier กรอก'!P6,'📝 Four-tier กรอก'!Q15="Y",'📝 Four-tier กรอก'!R15&lt;&gt;'📝 Four-tier กรอก'!R6,'📝 Four-tier กรอก'!S15="Y"),"❌ Misc.",IF(AND('📝 Four-tier กรอก'!P15&lt;&gt;'📝 Four-tier กรอก'!P6,'📝 Four-tier กรอก'!Q15="N",'📝 Four-tier กรอก'!R15&lt;&gt;'📝 Four-tier กรอก'!R6,'📝 Four-tier กรอก'!S15="N"),"❓ NoK","🤔 Partial")))))</f>
        <v/>
      </c>
      <c r="H13" s="67">
        <f>IF(OR('📝 Four-tier กรอก'!T15="",'📝 Four-tier กรอก'!V15=""),"—",IF(AND('📝 Four-tier กรอก'!T15='📝 Four-tier กรอก'!T6,'📝 Four-tier กรอก'!U15="Y",'📝 Four-tier กรอก'!V15='📝 Four-tier กรอก'!V6,'📝 Four-tier กรอก'!W15="Y"),"✅ Sound",IF(AND('📝 Four-tier กรอก'!T15='📝 Four-tier กรอก'!T6,'📝 Four-tier กรอก'!U15="Y",'📝 Four-tier กรอก'!V15&lt;&gt;'📝 Four-tier กรอก'!V6,'📝 Four-tier กรอก'!W15="Y"),"🎲 Guess",IF(AND('📝 Four-tier กรอก'!T15&lt;&gt;'📝 Four-tier กรอก'!T6,'📝 Four-tier กรอก'!U15="Y",'📝 Four-tier กรอก'!V15&lt;&gt;'📝 Four-tier กรอก'!V6,'📝 Four-tier กรอก'!W15="Y"),"❌ Misc.",IF(AND('📝 Four-tier กรอก'!T15&lt;&gt;'📝 Four-tier กรอก'!T6,'📝 Four-tier กรอก'!U15="N",'📝 Four-tier กรอก'!V15&lt;&gt;'📝 Four-tier กรอก'!V6,'📝 Four-tier กรอก'!W15="N"),"❓ NoK","🤔 Partial")))))</f>
        <v/>
      </c>
      <c r="I13" s="67">
        <f>IF(OR('📝 Four-tier กรอก'!X15="",'📝 Four-tier กรอก'!Z15=""),"—",IF(AND('📝 Four-tier กรอก'!X15='📝 Four-tier กรอก'!X6,'📝 Four-tier กรอก'!Y15="Y",'📝 Four-tier กรอก'!Z15='📝 Four-tier กรอก'!Z6,'📝 Four-tier กรอก'!AA15="Y"),"✅ Sound",IF(AND('📝 Four-tier กรอก'!X15='📝 Four-tier กรอก'!X6,'📝 Four-tier กรอก'!Y15="Y",'📝 Four-tier กรอก'!Z15&lt;&gt;'📝 Four-tier กรอก'!Z6,'📝 Four-tier กรอก'!AA15="Y"),"🎲 Guess",IF(AND('📝 Four-tier กรอก'!X15&lt;&gt;'📝 Four-tier กรอก'!X6,'📝 Four-tier กรอก'!Y15="Y",'📝 Four-tier กรอก'!Z15&lt;&gt;'📝 Four-tier กรอก'!Z6,'📝 Four-tier กรอก'!AA15="Y"),"❌ Misc.",IF(AND('📝 Four-tier กรอก'!X15&lt;&gt;'📝 Four-tier กรอก'!X6,'📝 Four-tier กรอก'!Y15="N",'📝 Four-tier กรอก'!Z15&lt;&gt;'📝 Four-tier กรอก'!Z6,'📝 Four-tier กรอก'!AA15="N"),"❓ NoK","🤔 Partial")))))</f>
        <v/>
      </c>
      <c r="J13" s="67">
        <f>IF(OR('📝 Four-tier กรอก'!AB15="",'📝 Four-tier กรอก'!AD15=""),"—",IF(AND('📝 Four-tier กรอก'!AB15='📝 Four-tier กรอก'!AB6,'📝 Four-tier กรอก'!AC15="Y",'📝 Four-tier กรอก'!AD15='📝 Four-tier กรอก'!AD6,'📝 Four-tier กรอก'!AE15="Y"),"✅ Sound",IF(AND('📝 Four-tier กรอก'!AB15='📝 Four-tier กรอก'!AB6,'📝 Four-tier กรอก'!AC15="Y",'📝 Four-tier กรอก'!AD15&lt;&gt;'📝 Four-tier กรอก'!AD6,'📝 Four-tier กรอก'!AE15="Y"),"🎲 Guess",IF(AND('📝 Four-tier กรอก'!AB15&lt;&gt;'📝 Four-tier กรอก'!AB6,'📝 Four-tier กรอก'!AC15="Y",'📝 Four-tier กรอก'!AD15&lt;&gt;'📝 Four-tier กรอก'!AD6,'📝 Four-tier กรอก'!AE15="Y"),"❌ Misc.",IF(AND('📝 Four-tier กรอก'!AB15&lt;&gt;'📝 Four-tier กรอก'!AB6,'📝 Four-tier กรอก'!AC15="N",'📝 Four-tier กรอก'!AD15&lt;&gt;'📝 Four-tier กรอก'!AD6,'📝 Four-tier กรอก'!AE15="N"),"❓ NoK","🤔 Partial")))))</f>
        <v/>
      </c>
      <c r="K13" s="67">
        <f>IF(OR('📝 Four-tier กรอก'!AF15="",'📝 Four-tier กรอก'!AH15=""),"—",IF(AND('📝 Four-tier กรอก'!AF15='📝 Four-tier กรอก'!AF6,'📝 Four-tier กรอก'!AG15="Y",'📝 Four-tier กรอก'!AH15='📝 Four-tier กรอก'!AH6,'📝 Four-tier กรอก'!AI15="Y"),"✅ Sound",IF(AND('📝 Four-tier กรอก'!AF15='📝 Four-tier กรอก'!AF6,'📝 Four-tier กรอก'!AG15="Y",'📝 Four-tier กรอก'!AH15&lt;&gt;'📝 Four-tier กรอก'!AH6,'📝 Four-tier กรอก'!AI15="Y"),"🎲 Guess",IF(AND('📝 Four-tier กรอก'!AF15&lt;&gt;'📝 Four-tier กรอก'!AF6,'📝 Four-tier กรอก'!AG15="Y",'📝 Four-tier กรอก'!AH15&lt;&gt;'📝 Four-tier กรอก'!AH6,'📝 Four-tier กรอก'!AI15="Y"),"❌ Misc.",IF(AND('📝 Four-tier กรอก'!AF15&lt;&gt;'📝 Four-tier กรอก'!AF6,'📝 Four-tier กรอก'!AG15="N",'📝 Four-tier กรอก'!AH15&lt;&gt;'📝 Four-tier กรอก'!AH6,'📝 Four-tier กรอก'!AI15="N"),"❓ NoK","🤔 Partial")))))</f>
        <v/>
      </c>
      <c r="L13" s="67">
        <f>IF(OR('📝 Four-tier กรอก'!AJ15="",'📝 Four-tier กรอก'!AL15=""),"—",IF(AND('📝 Four-tier กรอก'!AJ15='📝 Four-tier กรอก'!AJ6,'📝 Four-tier กรอก'!AK15="Y",'📝 Four-tier กรอก'!AL15='📝 Four-tier กรอก'!AL6,'📝 Four-tier กรอก'!AM15="Y"),"✅ Sound",IF(AND('📝 Four-tier กรอก'!AJ15='📝 Four-tier กรอก'!AJ6,'📝 Four-tier กรอก'!AK15="Y",'📝 Four-tier กรอก'!AL15&lt;&gt;'📝 Four-tier กรอก'!AL6,'📝 Four-tier กรอก'!AM15="Y"),"🎲 Guess",IF(AND('📝 Four-tier กรอก'!AJ15&lt;&gt;'📝 Four-tier กรอก'!AJ6,'📝 Four-tier กรอก'!AK15="Y",'📝 Four-tier กรอก'!AL15&lt;&gt;'📝 Four-tier กรอก'!AL6,'📝 Four-tier กรอก'!AM15="Y"),"❌ Misc.",IF(AND('📝 Four-tier กรอก'!AJ15&lt;&gt;'📝 Four-tier กรอก'!AJ6,'📝 Four-tier กรอก'!AK15="N",'📝 Four-tier กรอก'!AL15&lt;&gt;'📝 Four-tier กรอก'!AL6,'📝 Four-tier กรอก'!AM15="N"),"❓ NoK","🤔 Partial")))))</f>
        <v/>
      </c>
      <c r="M13" s="67">
        <f>IF(OR('📝 Four-tier กรอก'!AN15="",'📝 Four-tier กรอก'!AP15=""),"—",IF(AND('📝 Four-tier กรอก'!AN15='📝 Four-tier กรอก'!AN6,'📝 Four-tier กรอก'!AO15="Y",'📝 Four-tier กรอก'!AP15='📝 Four-tier กรอก'!AP6,'📝 Four-tier กรอก'!AQ15="Y"),"✅ Sound",IF(AND('📝 Four-tier กรอก'!AN15='📝 Four-tier กรอก'!AN6,'📝 Four-tier กรอก'!AO15="Y",'📝 Four-tier กรอก'!AP15&lt;&gt;'📝 Four-tier กรอก'!AP6,'📝 Four-tier กรอก'!AQ15="Y"),"🎲 Guess",IF(AND('📝 Four-tier กรอก'!AN15&lt;&gt;'📝 Four-tier กรอก'!AN6,'📝 Four-tier กรอก'!AO15="Y",'📝 Four-tier กรอก'!AP15&lt;&gt;'📝 Four-tier กรอก'!AP6,'📝 Four-tier กรอก'!AQ15="Y"),"❌ Misc.",IF(AND('📝 Four-tier กรอก'!AN15&lt;&gt;'📝 Four-tier กรอก'!AN6,'📝 Four-tier กรอก'!AO15="N",'📝 Four-tier กรอก'!AP15&lt;&gt;'📝 Four-tier กรอก'!AP6,'📝 Four-tier กรอก'!AQ15="N"),"❓ NoK","🤔 Partial")))))</f>
        <v/>
      </c>
      <c r="N13" s="67">
        <f>IF(OR('📝 Four-tier กรอก'!AR15="",'📝 Four-tier กรอก'!AT15=""),"—",IF(AND('📝 Four-tier กรอก'!AR15='📝 Four-tier กรอก'!AR6,'📝 Four-tier กรอก'!AS15="Y",'📝 Four-tier กรอก'!AT15='📝 Four-tier กรอก'!AT6,'📝 Four-tier กรอก'!AU15="Y"),"✅ Sound",IF(AND('📝 Four-tier กรอก'!AR15='📝 Four-tier กรอก'!AR6,'📝 Four-tier กรอก'!AS15="Y",'📝 Four-tier กรอก'!AT15&lt;&gt;'📝 Four-tier กรอก'!AT6,'📝 Four-tier กรอก'!AU15="Y"),"🎲 Guess",IF(AND('📝 Four-tier กรอก'!AR15&lt;&gt;'📝 Four-tier กรอก'!AR6,'📝 Four-tier กรอก'!AS15="Y",'📝 Four-tier กรอก'!AT15&lt;&gt;'📝 Four-tier กรอก'!AT6,'📝 Four-tier กรอก'!AU15="Y"),"❌ Misc.",IF(AND('📝 Four-tier กรอก'!AR15&lt;&gt;'📝 Four-tier กรอก'!AR6,'📝 Four-tier กรอก'!AS15="N",'📝 Four-tier กรอก'!AT15&lt;&gt;'📝 Four-tier กรอก'!AT6,'📝 Four-tier กรอก'!AU15="N"),"❓ NoK","🤔 Partial")))))</f>
        <v/>
      </c>
      <c r="O13" s="67">
        <f>IF(OR('📝 Four-tier กรอก'!AV15="",'📝 Four-tier กรอก'!AX15=""),"—",IF(AND('📝 Four-tier กรอก'!AV15='📝 Four-tier กรอก'!AV6,'📝 Four-tier กรอก'!AW15="Y",'📝 Four-tier กรอก'!AX15='📝 Four-tier กรอก'!AX6,'📝 Four-tier กรอก'!AY15="Y"),"✅ Sound",IF(AND('📝 Four-tier กรอก'!AV15='📝 Four-tier กรอก'!AV6,'📝 Four-tier กรอก'!AW15="Y",'📝 Four-tier กรอก'!AX15&lt;&gt;'📝 Four-tier กรอก'!AX6,'📝 Four-tier กรอก'!AY15="Y"),"🎲 Guess",IF(AND('📝 Four-tier กรอก'!AV15&lt;&gt;'📝 Four-tier กรอก'!AV6,'📝 Four-tier กรอก'!AW15="Y",'📝 Four-tier กรอก'!AX15&lt;&gt;'📝 Four-tier กรอก'!AX6,'📝 Four-tier กรอก'!AY15="Y"),"❌ Misc.",IF(AND('📝 Four-tier กรอก'!AV15&lt;&gt;'📝 Four-tier กรอก'!AV6,'📝 Four-tier กรอก'!AW15="N",'📝 Four-tier กรอก'!AX15&lt;&gt;'📝 Four-tier กรอก'!AX6,'📝 Four-tier กรอก'!AY15="N"),"❓ NoK","🤔 Partial")))))</f>
        <v/>
      </c>
      <c r="P13" s="67">
        <f>IF(OR('📝 Four-tier กรอก'!AZ15="",'📝 Four-tier กรอก'!BB15=""),"—",IF(AND('📝 Four-tier กรอก'!AZ15='📝 Four-tier กรอก'!AZ6,'📝 Four-tier กรอก'!BA15="Y",'📝 Four-tier กรอก'!BB15='📝 Four-tier กรอก'!BB6,'📝 Four-tier กรอก'!BC15="Y"),"✅ Sound",IF(AND('📝 Four-tier กรอก'!AZ15='📝 Four-tier กรอก'!AZ6,'📝 Four-tier กรอก'!BA15="Y",'📝 Four-tier กรอก'!BB15&lt;&gt;'📝 Four-tier กรอก'!BB6,'📝 Four-tier กรอก'!BC15="Y"),"🎲 Guess",IF(AND('📝 Four-tier กรอก'!AZ15&lt;&gt;'📝 Four-tier กรอก'!AZ6,'📝 Four-tier กรอก'!BA15="Y",'📝 Four-tier กรอก'!BB15&lt;&gt;'📝 Four-tier กรอก'!BB6,'📝 Four-tier กรอก'!BC15="Y"),"❌ Misc.",IF(AND('📝 Four-tier กรอก'!AZ15&lt;&gt;'📝 Four-tier กรอก'!AZ6,'📝 Four-tier กรอก'!BA15="N",'📝 Four-tier กรอก'!BB15&lt;&gt;'📝 Four-tier กรอก'!BB6,'📝 Four-tier กรอก'!BC15="N"),"❓ NoK","🤔 Partial")))))</f>
        <v/>
      </c>
      <c r="Q13" s="67">
        <f>IF(OR('📝 Four-tier กรอก'!BD15="",'📝 Four-tier กรอก'!BF15=""),"—",IF(AND('📝 Four-tier กรอก'!BD15='📝 Four-tier กรอก'!BD6,'📝 Four-tier กรอก'!BE15="Y",'📝 Four-tier กรอก'!BF15='📝 Four-tier กรอก'!BF6,'📝 Four-tier กรอก'!BG15="Y"),"✅ Sound",IF(AND('📝 Four-tier กรอก'!BD15='📝 Four-tier กรอก'!BD6,'📝 Four-tier กรอก'!BE15="Y",'📝 Four-tier กรอก'!BF15&lt;&gt;'📝 Four-tier กรอก'!BF6,'📝 Four-tier กรอก'!BG15="Y"),"🎲 Guess",IF(AND('📝 Four-tier กรอก'!BD15&lt;&gt;'📝 Four-tier กรอก'!BD6,'📝 Four-tier กรอก'!BE15="Y",'📝 Four-tier กรอก'!BF15&lt;&gt;'📝 Four-tier กรอก'!BF6,'📝 Four-tier กรอก'!BG15="Y"),"❌ Misc.",IF(AND('📝 Four-tier กรอก'!BD15&lt;&gt;'📝 Four-tier กรอก'!BD6,'📝 Four-tier กรอก'!BE15="N",'📝 Four-tier กรอก'!BF15&lt;&gt;'📝 Four-tier กรอก'!BF6,'📝 Four-tier กรอก'!BG15="N"),"❓ NoK","🤔 Partial")))))</f>
        <v/>
      </c>
      <c r="R13" s="67">
        <f>IF(OR('📝 Four-tier กรอก'!BH15="",'📝 Four-tier กรอก'!BJ15=""),"—",IF(AND('📝 Four-tier กรอก'!BH15='📝 Four-tier กรอก'!BH6,'📝 Four-tier กรอก'!BI15="Y",'📝 Four-tier กรอก'!BJ15='📝 Four-tier กรอก'!BJ6,'📝 Four-tier กรอก'!BK15="Y"),"✅ Sound",IF(AND('📝 Four-tier กรอก'!BH15='📝 Four-tier กรอก'!BH6,'📝 Four-tier กรอก'!BI15="Y",'📝 Four-tier กรอก'!BJ15&lt;&gt;'📝 Four-tier กรอก'!BJ6,'📝 Four-tier กรอก'!BK15="Y"),"🎲 Guess",IF(AND('📝 Four-tier กรอก'!BH15&lt;&gt;'📝 Four-tier กรอก'!BH6,'📝 Four-tier กรอก'!BI15="Y",'📝 Four-tier กรอก'!BJ15&lt;&gt;'📝 Four-tier กรอก'!BJ6,'📝 Four-tier กรอก'!BK15="Y"),"❌ Misc.",IF(AND('📝 Four-tier กรอก'!BH15&lt;&gt;'📝 Four-tier กรอก'!BH6,'📝 Four-tier กรอก'!BI15="N",'📝 Four-tier กรอก'!BJ15&lt;&gt;'📝 Four-tier กรอก'!BJ6,'📝 Four-tier กรอก'!BK15="N"),"❓ NoK","🤔 Partial")))))</f>
        <v/>
      </c>
      <c r="S13" s="67">
        <f>IF(OR('📝 Four-tier กรอก'!BL15="",'📝 Four-tier กรอก'!BN15=""),"—",IF(AND('📝 Four-tier กรอก'!BL15='📝 Four-tier กรอก'!BL6,'📝 Four-tier กรอก'!BM15="Y",'📝 Four-tier กรอก'!BN15='📝 Four-tier กรอก'!BN6,'📝 Four-tier กรอก'!BO15="Y"),"✅ Sound",IF(AND('📝 Four-tier กรอก'!BL15='📝 Four-tier กรอก'!BL6,'📝 Four-tier กรอก'!BM15="Y",'📝 Four-tier กรอก'!BN15&lt;&gt;'📝 Four-tier กรอก'!BN6,'📝 Four-tier กรอก'!BO15="Y"),"🎲 Guess",IF(AND('📝 Four-tier กรอก'!BL15&lt;&gt;'📝 Four-tier กรอก'!BL6,'📝 Four-tier กรอก'!BM15="Y",'📝 Four-tier กรอก'!BN15&lt;&gt;'📝 Four-tier กรอก'!BN6,'📝 Four-tier กรอก'!BO15="Y"),"❌ Misc.",IF(AND('📝 Four-tier กรอก'!BL15&lt;&gt;'📝 Four-tier กรอก'!BL6,'📝 Four-tier กรอก'!BM15="N",'📝 Four-tier กรอก'!BN15&lt;&gt;'📝 Four-tier กรอก'!BN6,'📝 Four-tier กรอก'!BO15="N"),"❓ NoK","🤔 Partial")))))</f>
        <v/>
      </c>
      <c r="T13" s="67">
        <f>IF(OR('📝 Four-tier กรอก'!BP15="",'📝 Four-tier กรอก'!BR15=""),"—",IF(AND('📝 Four-tier กรอก'!BP15='📝 Four-tier กรอก'!BP6,'📝 Four-tier กรอก'!BQ15="Y",'📝 Four-tier กรอก'!BR15='📝 Four-tier กรอก'!BR6,'📝 Four-tier กรอก'!BS15="Y"),"✅ Sound",IF(AND('📝 Four-tier กรอก'!BP15='📝 Four-tier กรอก'!BP6,'📝 Four-tier กรอก'!BQ15="Y",'📝 Four-tier กรอก'!BR15&lt;&gt;'📝 Four-tier กรอก'!BR6,'📝 Four-tier กรอก'!BS15="Y"),"🎲 Guess",IF(AND('📝 Four-tier กรอก'!BP15&lt;&gt;'📝 Four-tier กรอก'!BP6,'📝 Four-tier กรอก'!BQ15="Y",'📝 Four-tier กรอก'!BR15&lt;&gt;'📝 Four-tier กรอก'!BR6,'📝 Four-tier กรอก'!BS15="Y"),"❌ Misc.",IF(AND('📝 Four-tier กรอก'!BP15&lt;&gt;'📝 Four-tier กรอก'!BP6,'📝 Four-tier กรอก'!BQ15="N",'📝 Four-tier กรอก'!BR15&lt;&gt;'📝 Four-tier กรอก'!BR6,'📝 Four-tier กรอก'!BS15="N"),"❓ NoK","🤔 Partial")))))</f>
        <v/>
      </c>
      <c r="U13" s="67">
        <f>IF(OR('📝 Four-tier กรอก'!BT15="",'📝 Four-tier กรอก'!BV15=""),"—",IF(AND('📝 Four-tier กรอก'!BT15='📝 Four-tier กรอก'!BT6,'📝 Four-tier กรอก'!BU15="Y",'📝 Four-tier กรอก'!BV15='📝 Four-tier กรอก'!BV6,'📝 Four-tier กรอก'!BW15="Y"),"✅ Sound",IF(AND('📝 Four-tier กรอก'!BT15='📝 Four-tier กรอก'!BT6,'📝 Four-tier กรอก'!BU15="Y",'📝 Four-tier กรอก'!BV15&lt;&gt;'📝 Four-tier กรอก'!BV6,'📝 Four-tier กรอก'!BW15="Y"),"🎲 Guess",IF(AND('📝 Four-tier กรอก'!BT15&lt;&gt;'📝 Four-tier กรอก'!BT6,'📝 Four-tier กรอก'!BU15="Y",'📝 Four-tier กรอก'!BV15&lt;&gt;'📝 Four-tier กรอก'!BV6,'📝 Four-tier กรอก'!BW15="Y"),"❌ Misc.",IF(AND('📝 Four-tier กรอก'!BT15&lt;&gt;'📝 Four-tier กรอก'!BT6,'📝 Four-tier กรอก'!BU15="N",'📝 Four-tier กรอก'!BV15&lt;&gt;'📝 Four-tier กรอก'!BV6,'📝 Four-tier กรอก'!BW15="N"),"❓ NoK","🤔 Partial")))))</f>
        <v/>
      </c>
      <c r="V13" s="67">
        <f>IF(OR('📝 Four-tier กรอก'!BX15="",'📝 Four-tier กรอก'!BZ15=""),"—",IF(AND('📝 Four-tier กรอก'!BX15='📝 Four-tier กรอก'!BX6,'📝 Four-tier กรอก'!BY15="Y",'📝 Four-tier กรอก'!BZ15='📝 Four-tier กรอก'!BZ6,'📝 Four-tier กรอก'!CA15="Y"),"✅ Sound",IF(AND('📝 Four-tier กรอก'!BX15='📝 Four-tier กรอก'!BX6,'📝 Four-tier กรอก'!BY15="Y",'📝 Four-tier กรอก'!BZ15&lt;&gt;'📝 Four-tier กรอก'!BZ6,'📝 Four-tier กรอก'!CA15="Y"),"🎲 Guess",IF(AND('📝 Four-tier กรอก'!BX15&lt;&gt;'📝 Four-tier กรอก'!BX6,'📝 Four-tier กรอก'!BY15="Y",'📝 Four-tier กรอก'!BZ15&lt;&gt;'📝 Four-tier กรอก'!BZ6,'📝 Four-tier กรอก'!CA15="Y"),"❌ Misc.",IF(AND('📝 Four-tier กรอก'!BX15&lt;&gt;'📝 Four-tier กรอก'!BX6,'📝 Four-tier กรอก'!BY15="N",'📝 Four-tier กรอก'!BZ15&lt;&gt;'📝 Four-tier กรอก'!BZ6,'📝 Four-tier กรอก'!CA15="N"),"❓ NoK","🤔 Partial")))))</f>
        <v/>
      </c>
      <c r="W13" s="67">
        <f>IF(OR('📝 Four-tier กรอก'!CB15="",'📝 Four-tier กรอก'!CD15=""),"—",IF(AND('📝 Four-tier กรอก'!CB15='📝 Four-tier กรอก'!CB6,'📝 Four-tier กรอก'!CC15="Y",'📝 Four-tier กรอก'!CD15='📝 Four-tier กรอก'!CD6,'📝 Four-tier กรอก'!CE15="Y"),"✅ Sound",IF(AND('📝 Four-tier กรอก'!CB15='📝 Four-tier กรอก'!CB6,'📝 Four-tier กรอก'!CC15="Y",'📝 Four-tier กรอก'!CD15&lt;&gt;'📝 Four-tier กรอก'!CD6,'📝 Four-tier กรอก'!CE15="Y"),"🎲 Guess",IF(AND('📝 Four-tier กรอก'!CB15&lt;&gt;'📝 Four-tier กรอก'!CB6,'📝 Four-tier กรอก'!CC15="Y",'📝 Four-tier กรอก'!CD15&lt;&gt;'📝 Four-tier กรอก'!CD6,'📝 Four-tier กรอก'!CE15="Y"),"❌ Misc.",IF(AND('📝 Four-tier กรอก'!CB15&lt;&gt;'📝 Four-tier กรอก'!CB6,'📝 Four-tier กรอก'!CC15="N",'📝 Four-tier กรอก'!CD15&lt;&gt;'📝 Four-tier กรอก'!CD6,'📝 Four-tier กรอก'!CE15="N"),"❓ NoK","🤔 Partial")))))</f>
        <v/>
      </c>
      <c r="X13" s="37">
        <f>COUNTIF(D13:W13,"✅ Sound")</f>
        <v/>
      </c>
      <c r="Y13" s="37">
        <f>COUNTIF(D13:W13,"❌ Misc.")</f>
        <v/>
      </c>
      <c r="Z13" s="37">
        <f>COUNTIF(D13:W13,"🎲 Guess")</f>
        <v/>
      </c>
      <c r="AA13" s="37">
        <f>COUNTIF(D13:W13,"❓ NoK")</f>
        <v/>
      </c>
    </row>
    <row r="14" ht="18" customHeight="1">
      <c r="B14" s="46">
        <f>'📝 Four-tier กรอก'!B16</f>
        <v/>
      </c>
      <c r="C14" s="51">
        <f>'📝 Four-tier กรอก'!C16</f>
        <v/>
      </c>
      <c r="D14" s="68">
        <f>IF(OR('📝 Four-tier กรอก'!D16="",'📝 Four-tier กรอก'!F16=""),"—",IF(AND('📝 Four-tier กรอก'!D16='📝 Four-tier กรอก'!D6,'📝 Four-tier กรอก'!E16="Y",'📝 Four-tier กรอก'!F16='📝 Four-tier กรอก'!F6,'📝 Four-tier กรอก'!G16="Y"),"✅ Sound",IF(AND('📝 Four-tier กรอก'!D16='📝 Four-tier กรอก'!D6,'📝 Four-tier กรอก'!E16="Y",'📝 Four-tier กรอก'!F16&lt;&gt;'📝 Four-tier กรอก'!F6,'📝 Four-tier กรอก'!G16="Y"),"🎲 Guess",IF(AND('📝 Four-tier กรอก'!D16&lt;&gt;'📝 Four-tier กรอก'!D6,'📝 Four-tier กรอก'!E16="Y",'📝 Four-tier กรอก'!F16&lt;&gt;'📝 Four-tier กรอก'!F6,'📝 Four-tier กรอก'!G16="Y"),"❌ Misc.",IF(AND('📝 Four-tier กรอก'!D16&lt;&gt;'📝 Four-tier กรอก'!D6,'📝 Four-tier กรอก'!E16="N",'📝 Four-tier กรอก'!F16&lt;&gt;'📝 Four-tier กรอก'!F6,'📝 Four-tier กรอก'!G16="N"),"❓ NoK","🤔 Partial")))))</f>
        <v/>
      </c>
      <c r="E14" s="68">
        <f>IF(OR('📝 Four-tier กรอก'!H16="",'📝 Four-tier กรอก'!J16=""),"—",IF(AND('📝 Four-tier กรอก'!H16='📝 Four-tier กรอก'!H6,'📝 Four-tier กรอก'!I16="Y",'📝 Four-tier กรอก'!J16='📝 Four-tier กรอก'!J6,'📝 Four-tier กรอก'!K16="Y"),"✅ Sound",IF(AND('📝 Four-tier กรอก'!H16='📝 Four-tier กรอก'!H6,'📝 Four-tier กรอก'!I16="Y",'📝 Four-tier กรอก'!J16&lt;&gt;'📝 Four-tier กรอก'!J6,'📝 Four-tier กรอก'!K16="Y"),"🎲 Guess",IF(AND('📝 Four-tier กรอก'!H16&lt;&gt;'📝 Four-tier กรอก'!H6,'📝 Four-tier กรอก'!I16="Y",'📝 Four-tier กรอก'!J16&lt;&gt;'📝 Four-tier กรอก'!J6,'📝 Four-tier กรอก'!K16="Y"),"❌ Misc.",IF(AND('📝 Four-tier กรอก'!H16&lt;&gt;'📝 Four-tier กรอก'!H6,'📝 Four-tier กรอก'!I16="N",'📝 Four-tier กรอก'!J16&lt;&gt;'📝 Four-tier กรอก'!J6,'📝 Four-tier กรอก'!K16="N"),"❓ NoK","🤔 Partial")))))</f>
        <v/>
      </c>
      <c r="F14" s="68">
        <f>IF(OR('📝 Four-tier กรอก'!L16="",'📝 Four-tier กรอก'!N16=""),"—",IF(AND('📝 Four-tier กรอก'!L16='📝 Four-tier กรอก'!L6,'📝 Four-tier กรอก'!M16="Y",'📝 Four-tier กรอก'!N16='📝 Four-tier กรอก'!N6,'📝 Four-tier กรอก'!O16="Y"),"✅ Sound",IF(AND('📝 Four-tier กรอก'!L16='📝 Four-tier กรอก'!L6,'📝 Four-tier กรอก'!M16="Y",'📝 Four-tier กรอก'!N16&lt;&gt;'📝 Four-tier กรอก'!N6,'📝 Four-tier กรอก'!O16="Y"),"🎲 Guess",IF(AND('📝 Four-tier กรอก'!L16&lt;&gt;'📝 Four-tier กรอก'!L6,'📝 Four-tier กรอก'!M16="Y",'📝 Four-tier กรอก'!N16&lt;&gt;'📝 Four-tier กรอก'!N6,'📝 Four-tier กรอก'!O16="Y"),"❌ Misc.",IF(AND('📝 Four-tier กรอก'!L16&lt;&gt;'📝 Four-tier กรอก'!L6,'📝 Four-tier กรอก'!M16="N",'📝 Four-tier กรอก'!N16&lt;&gt;'📝 Four-tier กรอก'!N6,'📝 Four-tier กรอก'!O16="N"),"❓ NoK","🤔 Partial")))))</f>
        <v/>
      </c>
      <c r="G14" s="68">
        <f>IF(OR('📝 Four-tier กรอก'!P16="",'📝 Four-tier กรอก'!R16=""),"—",IF(AND('📝 Four-tier กรอก'!P16='📝 Four-tier กรอก'!P6,'📝 Four-tier กรอก'!Q16="Y",'📝 Four-tier กรอก'!R16='📝 Four-tier กรอก'!R6,'📝 Four-tier กรอก'!S16="Y"),"✅ Sound",IF(AND('📝 Four-tier กรอก'!P16='📝 Four-tier กรอก'!P6,'📝 Four-tier กรอก'!Q16="Y",'📝 Four-tier กรอก'!R16&lt;&gt;'📝 Four-tier กรอก'!R6,'📝 Four-tier กรอก'!S16="Y"),"🎲 Guess",IF(AND('📝 Four-tier กรอก'!P16&lt;&gt;'📝 Four-tier กรอก'!P6,'📝 Four-tier กรอก'!Q16="Y",'📝 Four-tier กรอก'!R16&lt;&gt;'📝 Four-tier กรอก'!R6,'📝 Four-tier กรอก'!S16="Y"),"❌ Misc.",IF(AND('📝 Four-tier กรอก'!P16&lt;&gt;'📝 Four-tier กรอก'!P6,'📝 Four-tier กรอก'!Q16="N",'📝 Four-tier กรอก'!R16&lt;&gt;'📝 Four-tier กรอก'!R6,'📝 Four-tier กรอก'!S16="N"),"❓ NoK","🤔 Partial")))))</f>
        <v/>
      </c>
      <c r="H14" s="68">
        <f>IF(OR('📝 Four-tier กรอก'!T16="",'📝 Four-tier กรอก'!V16=""),"—",IF(AND('📝 Four-tier กรอก'!T16='📝 Four-tier กรอก'!T6,'📝 Four-tier กรอก'!U16="Y",'📝 Four-tier กรอก'!V16='📝 Four-tier กรอก'!V6,'📝 Four-tier กรอก'!W16="Y"),"✅ Sound",IF(AND('📝 Four-tier กรอก'!T16='📝 Four-tier กรอก'!T6,'📝 Four-tier กรอก'!U16="Y",'📝 Four-tier กรอก'!V16&lt;&gt;'📝 Four-tier กรอก'!V6,'📝 Four-tier กรอก'!W16="Y"),"🎲 Guess",IF(AND('📝 Four-tier กรอก'!T16&lt;&gt;'📝 Four-tier กรอก'!T6,'📝 Four-tier กรอก'!U16="Y",'📝 Four-tier กรอก'!V16&lt;&gt;'📝 Four-tier กรอก'!V6,'📝 Four-tier กรอก'!W16="Y"),"❌ Misc.",IF(AND('📝 Four-tier กรอก'!T16&lt;&gt;'📝 Four-tier กรอก'!T6,'📝 Four-tier กรอก'!U16="N",'📝 Four-tier กรอก'!V16&lt;&gt;'📝 Four-tier กรอก'!V6,'📝 Four-tier กรอก'!W16="N"),"❓ NoK","🤔 Partial")))))</f>
        <v/>
      </c>
      <c r="I14" s="68">
        <f>IF(OR('📝 Four-tier กรอก'!X16="",'📝 Four-tier กรอก'!Z16=""),"—",IF(AND('📝 Four-tier กรอก'!X16='📝 Four-tier กรอก'!X6,'📝 Four-tier กรอก'!Y16="Y",'📝 Four-tier กรอก'!Z16='📝 Four-tier กรอก'!Z6,'📝 Four-tier กรอก'!AA16="Y"),"✅ Sound",IF(AND('📝 Four-tier กรอก'!X16='📝 Four-tier กรอก'!X6,'📝 Four-tier กรอก'!Y16="Y",'📝 Four-tier กรอก'!Z16&lt;&gt;'📝 Four-tier กรอก'!Z6,'📝 Four-tier กรอก'!AA16="Y"),"🎲 Guess",IF(AND('📝 Four-tier กรอก'!X16&lt;&gt;'📝 Four-tier กรอก'!X6,'📝 Four-tier กรอก'!Y16="Y",'📝 Four-tier กรอก'!Z16&lt;&gt;'📝 Four-tier กรอก'!Z6,'📝 Four-tier กรอก'!AA16="Y"),"❌ Misc.",IF(AND('📝 Four-tier กรอก'!X16&lt;&gt;'📝 Four-tier กรอก'!X6,'📝 Four-tier กรอก'!Y16="N",'📝 Four-tier กรอก'!Z16&lt;&gt;'📝 Four-tier กรอก'!Z6,'📝 Four-tier กรอก'!AA16="N"),"❓ NoK","🤔 Partial")))))</f>
        <v/>
      </c>
      <c r="J14" s="68">
        <f>IF(OR('📝 Four-tier กรอก'!AB16="",'📝 Four-tier กรอก'!AD16=""),"—",IF(AND('📝 Four-tier กรอก'!AB16='📝 Four-tier กรอก'!AB6,'📝 Four-tier กรอก'!AC16="Y",'📝 Four-tier กรอก'!AD16='📝 Four-tier กรอก'!AD6,'📝 Four-tier กรอก'!AE16="Y"),"✅ Sound",IF(AND('📝 Four-tier กรอก'!AB16='📝 Four-tier กรอก'!AB6,'📝 Four-tier กรอก'!AC16="Y",'📝 Four-tier กรอก'!AD16&lt;&gt;'📝 Four-tier กรอก'!AD6,'📝 Four-tier กรอก'!AE16="Y"),"🎲 Guess",IF(AND('📝 Four-tier กรอก'!AB16&lt;&gt;'📝 Four-tier กรอก'!AB6,'📝 Four-tier กรอก'!AC16="Y",'📝 Four-tier กรอก'!AD16&lt;&gt;'📝 Four-tier กรอก'!AD6,'📝 Four-tier กรอก'!AE16="Y"),"❌ Misc.",IF(AND('📝 Four-tier กรอก'!AB16&lt;&gt;'📝 Four-tier กรอก'!AB6,'📝 Four-tier กรอก'!AC16="N",'📝 Four-tier กรอก'!AD16&lt;&gt;'📝 Four-tier กรอก'!AD6,'📝 Four-tier กรอก'!AE16="N"),"❓ NoK","🤔 Partial")))))</f>
        <v/>
      </c>
      <c r="K14" s="68">
        <f>IF(OR('📝 Four-tier กรอก'!AF16="",'📝 Four-tier กรอก'!AH16=""),"—",IF(AND('📝 Four-tier กรอก'!AF16='📝 Four-tier กรอก'!AF6,'📝 Four-tier กรอก'!AG16="Y",'📝 Four-tier กรอก'!AH16='📝 Four-tier กรอก'!AH6,'📝 Four-tier กรอก'!AI16="Y"),"✅ Sound",IF(AND('📝 Four-tier กรอก'!AF16='📝 Four-tier กรอก'!AF6,'📝 Four-tier กรอก'!AG16="Y",'📝 Four-tier กรอก'!AH16&lt;&gt;'📝 Four-tier กรอก'!AH6,'📝 Four-tier กรอก'!AI16="Y"),"🎲 Guess",IF(AND('📝 Four-tier กรอก'!AF16&lt;&gt;'📝 Four-tier กรอก'!AF6,'📝 Four-tier กรอก'!AG16="Y",'📝 Four-tier กรอก'!AH16&lt;&gt;'📝 Four-tier กรอก'!AH6,'📝 Four-tier กรอก'!AI16="Y"),"❌ Misc.",IF(AND('📝 Four-tier กรอก'!AF16&lt;&gt;'📝 Four-tier กรอก'!AF6,'📝 Four-tier กรอก'!AG16="N",'📝 Four-tier กรอก'!AH16&lt;&gt;'📝 Four-tier กรอก'!AH6,'📝 Four-tier กรอก'!AI16="N"),"❓ NoK","🤔 Partial")))))</f>
        <v/>
      </c>
      <c r="L14" s="68">
        <f>IF(OR('📝 Four-tier กรอก'!AJ16="",'📝 Four-tier กรอก'!AL16=""),"—",IF(AND('📝 Four-tier กรอก'!AJ16='📝 Four-tier กรอก'!AJ6,'📝 Four-tier กรอก'!AK16="Y",'📝 Four-tier กรอก'!AL16='📝 Four-tier กรอก'!AL6,'📝 Four-tier กรอก'!AM16="Y"),"✅ Sound",IF(AND('📝 Four-tier กรอก'!AJ16='📝 Four-tier กรอก'!AJ6,'📝 Four-tier กรอก'!AK16="Y",'📝 Four-tier กรอก'!AL16&lt;&gt;'📝 Four-tier กรอก'!AL6,'📝 Four-tier กรอก'!AM16="Y"),"🎲 Guess",IF(AND('📝 Four-tier กรอก'!AJ16&lt;&gt;'📝 Four-tier กรอก'!AJ6,'📝 Four-tier กรอก'!AK16="Y",'📝 Four-tier กรอก'!AL16&lt;&gt;'📝 Four-tier กรอก'!AL6,'📝 Four-tier กรอก'!AM16="Y"),"❌ Misc.",IF(AND('📝 Four-tier กรอก'!AJ16&lt;&gt;'📝 Four-tier กรอก'!AJ6,'📝 Four-tier กรอก'!AK16="N",'📝 Four-tier กรอก'!AL16&lt;&gt;'📝 Four-tier กรอก'!AL6,'📝 Four-tier กรอก'!AM16="N"),"❓ NoK","🤔 Partial")))))</f>
        <v/>
      </c>
      <c r="M14" s="68">
        <f>IF(OR('📝 Four-tier กรอก'!AN16="",'📝 Four-tier กรอก'!AP16=""),"—",IF(AND('📝 Four-tier กรอก'!AN16='📝 Four-tier กรอก'!AN6,'📝 Four-tier กรอก'!AO16="Y",'📝 Four-tier กรอก'!AP16='📝 Four-tier กรอก'!AP6,'📝 Four-tier กรอก'!AQ16="Y"),"✅ Sound",IF(AND('📝 Four-tier กรอก'!AN16='📝 Four-tier กรอก'!AN6,'📝 Four-tier กรอก'!AO16="Y",'📝 Four-tier กรอก'!AP16&lt;&gt;'📝 Four-tier กรอก'!AP6,'📝 Four-tier กรอก'!AQ16="Y"),"🎲 Guess",IF(AND('📝 Four-tier กรอก'!AN16&lt;&gt;'📝 Four-tier กรอก'!AN6,'📝 Four-tier กรอก'!AO16="Y",'📝 Four-tier กรอก'!AP16&lt;&gt;'📝 Four-tier กรอก'!AP6,'📝 Four-tier กรอก'!AQ16="Y"),"❌ Misc.",IF(AND('📝 Four-tier กรอก'!AN16&lt;&gt;'📝 Four-tier กรอก'!AN6,'📝 Four-tier กรอก'!AO16="N",'📝 Four-tier กรอก'!AP16&lt;&gt;'📝 Four-tier กรอก'!AP6,'📝 Four-tier กรอก'!AQ16="N"),"❓ NoK","🤔 Partial")))))</f>
        <v/>
      </c>
      <c r="N14" s="68">
        <f>IF(OR('📝 Four-tier กรอก'!AR16="",'📝 Four-tier กรอก'!AT16=""),"—",IF(AND('📝 Four-tier กรอก'!AR16='📝 Four-tier กรอก'!AR6,'📝 Four-tier กรอก'!AS16="Y",'📝 Four-tier กรอก'!AT16='📝 Four-tier กรอก'!AT6,'📝 Four-tier กรอก'!AU16="Y"),"✅ Sound",IF(AND('📝 Four-tier กรอก'!AR16='📝 Four-tier กรอก'!AR6,'📝 Four-tier กรอก'!AS16="Y",'📝 Four-tier กรอก'!AT16&lt;&gt;'📝 Four-tier กรอก'!AT6,'📝 Four-tier กรอก'!AU16="Y"),"🎲 Guess",IF(AND('📝 Four-tier กรอก'!AR16&lt;&gt;'📝 Four-tier กรอก'!AR6,'📝 Four-tier กรอก'!AS16="Y",'📝 Four-tier กรอก'!AT16&lt;&gt;'📝 Four-tier กรอก'!AT6,'📝 Four-tier กรอก'!AU16="Y"),"❌ Misc.",IF(AND('📝 Four-tier กรอก'!AR16&lt;&gt;'📝 Four-tier กรอก'!AR6,'📝 Four-tier กรอก'!AS16="N",'📝 Four-tier กรอก'!AT16&lt;&gt;'📝 Four-tier กรอก'!AT6,'📝 Four-tier กรอก'!AU16="N"),"❓ NoK","🤔 Partial")))))</f>
        <v/>
      </c>
      <c r="O14" s="68">
        <f>IF(OR('📝 Four-tier กรอก'!AV16="",'📝 Four-tier กรอก'!AX16=""),"—",IF(AND('📝 Four-tier กรอก'!AV16='📝 Four-tier กรอก'!AV6,'📝 Four-tier กรอก'!AW16="Y",'📝 Four-tier กรอก'!AX16='📝 Four-tier กรอก'!AX6,'📝 Four-tier กรอก'!AY16="Y"),"✅ Sound",IF(AND('📝 Four-tier กรอก'!AV16='📝 Four-tier กรอก'!AV6,'📝 Four-tier กรอก'!AW16="Y",'📝 Four-tier กรอก'!AX16&lt;&gt;'📝 Four-tier กรอก'!AX6,'📝 Four-tier กรอก'!AY16="Y"),"🎲 Guess",IF(AND('📝 Four-tier กรอก'!AV16&lt;&gt;'📝 Four-tier กรอก'!AV6,'📝 Four-tier กรอก'!AW16="Y",'📝 Four-tier กรอก'!AX16&lt;&gt;'📝 Four-tier กรอก'!AX6,'📝 Four-tier กรอก'!AY16="Y"),"❌ Misc.",IF(AND('📝 Four-tier กรอก'!AV16&lt;&gt;'📝 Four-tier กรอก'!AV6,'📝 Four-tier กรอก'!AW16="N",'📝 Four-tier กรอก'!AX16&lt;&gt;'📝 Four-tier กรอก'!AX6,'📝 Four-tier กรอก'!AY16="N"),"❓ NoK","🤔 Partial")))))</f>
        <v/>
      </c>
      <c r="P14" s="68">
        <f>IF(OR('📝 Four-tier กรอก'!AZ16="",'📝 Four-tier กรอก'!BB16=""),"—",IF(AND('📝 Four-tier กรอก'!AZ16='📝 Four-tier กรอก'!AZ6,'📝 Four-tier กรอก'!BA16="Y",'📝 Four-tier กรอก'!BB16='📝 Four-tier กรอก'!BB6,'📝 Four-tier กรอก'!BC16="Y"),"✅ Sound",IF(AND('📝 Four-tier กรอก'!AZ16='📝 Four-tier กรอก'!AZ6,'📝 Four-tier กรอก'!BA16="Y",'📝 Four-tier กรอก'!BB16&lt;&gt;'📝 Four-tier กรอก'!BB6,'📝 Four-tier กรอก'!BC16="Y"),"🎲 Guess",IF(AND('📝 Four-tier กรอก'!AZ16&lt;&gt;'📝 Four-tier กรอก'!AZ6,'📝 Four-tier กรอก'!BA16="Y",'📝 Four-tier กรอก'!BB16&lt;&gt;'📝 Four-tier กรอก'!BB6,'📝 Four-tier กรอก'!BC16="Y"),"❌ Misc.",IF(AND('📝 Four-tier กรอก'!AZ16&lt;&gt;'📝 Four-tier กรอก'!AZ6,'📝 Four-tier กรอก'!BA16="N",'📝 Four-tier กรอก'!BB16&lt;&gt;'📝 Four-tier กรอก'!BB6,'📝 Four-tier กรอก'!BC16="N"),"❓ NoK","🤔 Partial")))))</f>
        <v/>
      </c>
      <c r="Q14" s="68">
        <f>IF(OR('📝 Four-tier กรอก'!BD16="",'📝 Four-tier กรอก'!BF16=""),"—",IF(AND('📝 Four-tier กรอก'!BD16='📝 Four-tier กรอก'!BD6,'📝 Four-tier กรอก'!BE16="Y",'📝 Four-tier กรอก'!BF16='📝 Four-tier กรอก'!BF6,'📝 Four-tier กรอก'!BG16="Y"),"✅ Sound",IF(AND('📝 Four-tier กรอก'!BD16='📝 Four-tier กรอก'!BD6,'📝 Four-tier กรอก'!BE16="Y",'📝 Four-tier กรอก'!BF16&lt;&gt;'📝 Four-tier กรอก'!BF6,'📝 Four-tier กรอก'!BG16="Y"),"🎲 Guess",IF(AND('📝 Four-tier กรอก'!BD16&lt;&gt;'📝 Four-tier กรอก'!BD6,'📝 Four-tier กรอก'!BE16="Y",'📝 Four-tier กรอก'!BF16&lt;&gt;'📝 Four-tier กรอก'!BF6,'📝 Four-tier กรอก'!BG16="Y"),"❌ Misc.",IF(AND('📝 Four-tier กรอก'!BD16&lt;&gt;'📝 Four-tier กรอก'!BD6,'📝 Four-tier กรอก'!BE16="N",'📝 Four-tier กรอก'!BF16&lt;&gt;'📝 Four-tier กรอก'!BF6,'📝 Four-tier กรอก'!BG16="N"),"❓ NoK","🤔 Partial")))))</f>
        <v/>
      </c>
      <c r="R14" s="68">
        <f>IF(OR('📝 Four-tier กรอก'!BH16="",'📝 Four-tier กรอก'!BJ16=""),"—",IF(AND('📝 Four-tier กรอก'!BH16='📝 Four-tier กรอก'!BH6,'📝 Four-tier กรอก'!BI16="Y",'📝 Four-tier กรอก'!BJ16='📝 Four-tier กรอก'!BJ6,'📝 Four-tier กรอก'!BK16="Y"),"✅ Sound",IF(AND('📝 Four-tier กรอก'!BH16='📝 Four-tier กรอก'!BH6,'📝 Four-tier กรอก'!BI16="Y",'📝 Four-tier กรอก'!BJ16&lt;&gt;'📝 Four-tier กรอก'!BJ6,'📝 Four-tier กรอก'!BK16="Y"),"🎲 Guess",IF(AND('📝 Four-tier กรอก'!BH16&lt;&gt;'📝 Four-tier กรอก'!BH6,'📝 Four-tier กรอก'!BI16="Y",'📝 Four-tier กรอก'!BJ16&lt;&gt;'📝 Four-tier กรอก'!BJ6,'📝 Four-tier กรอก'!BK16="Y"),"❌ Misc.",IF(AND('📝 Four-tier กรอก'!BH16&lt;&gt;'📝 Four-tier กรอก'!BH6,'📝 Four-tier กรอก'!BI16="N",'📝 Four-tier กรอก'!BJ16&lt;&gt;'📝 Four-tier กรอก'!BJ6,'📝 Four-tier กรอก'!BK16="N"),"❓ NoK","🤔 Partial")))))</f>
        <v/>
      </c>
      <c r="S14" s="68">
        <f>IF(OR('📝 Four-tier กรอก'!BL16="",'📝 Four-tier กรอก'!BN16=""),"—",IF(AND('📝 Four-tier กรอก'!BL16='📝 Four-tier กรอก'!BL6,'📝 Four-tier กรอก'!BM16="Y",'📝 Four-tier กรอก'!BN16='📝 Four-tier กรอก'!BN6,'📝 Four-tier กรอก'!BO16="Y"),"✅ Sound",IF(AND('📝 Four-tier กรอก'!BL16='📝 Four-tier กรอก'!BL6,'📝 Four-tier กรอก'!BM16="Y",'📝 Four-tier กรอก'!BN16&lt;&gt;'📝 Four-tier กรอก'!BN6,'📝 Four-tier กรอก'!BO16="Y"),"🎲 Guess",IF(AND('📝 Four-tier กรอก'!BL16&lt;&gt;'📝 Four-tier กรอก'!BL6,'📝 Four-tier กรอก'!BM16="Y",'📝 Four-tier กรอก'!BN16&lt;&gt;'📝 Four-tier กรอก'!BN6,'📝 Four-tier กรอก'!BO16="Y"),"❌ Misc.",IF(AND('📝 Four-tier กรอก'!BL16&lt;&gt;'📝 Four-tier กรอก'!BL6,'📝 Four-tier กรอก'!BM16="N",'📝 Four-tier กรอก'!BN16&lt;&gt;'📝 Four-tier กรอก'!BN6,'📝 Four-tier กรอก'!BO16="N"),"❓ NoK","🤔 Partial")))))</f>
        <v/>
      </c>
      <c r="T14" s="68">
        <f>IF(OR('📝 Four-tier กรอก'!BP16="",'📝 Four-tier กรอก'!BR16=""),"—",IF(AND('📝 Four-tier กรอก'!BP16='📝 Four-tier กรอก'!BP6,'📝 Four-tier กรอก'!BQ16="Y",'📝 Four-tier กรอก'!BR16='📝 Four-tier กรอก'!BR6,'📝 Four-tier กรอก'!BS16="Y"),"✅ Sound",IF(AND('📝 Four-tier กรอก'!BP16='📝 Four-tier กรอก'!BP6,'📝 Four-tier กรอก'!BQ16="Y",'📝 Four-tier กรอก'!BR16&lt;&gt;'📝 Four-tier กรอก'!BR6,'📝 Four-tier กรอก'!BS16="Y"),"🎲 Guess",IF(AND('📝 Four-tier กรอก'!BP16&lt;&gt;'📝 Four-tier กรอก'!BP6,'📝 Four-tier กรอก'!BQ16="Y",'📝 Four-tier กรอก'!BR16&lt;&gt;'📝 Four-tier กรอก'!BR6,'📝 Four-tier กรอก'!BS16="Y"),"❌ Misc.",IF(AND('📝 Four-tier กรอก'!BP16&lt;&gt;'📝 Four-tier กรอก'!BP6,'📝 Four-tier กรอก'!BQ16="N",'📝 Four-tier กรอก'!BR16&lt;&gt;'📝 Four-tier กรอก'!BR6,'📝 Four-tier กรอก'!BS16="N"),"❓ NoK","🤔 Partial")))))</f>
        <v/>
      </c>
      <c r="U14" s="68">
        <f>IF(OR('📝 Four-tier กรอก'!BT16="",'📝 Four-tier กรอก'!BV16=""),"—",IF(AND('📝 Four-tier กรอก'!BT16='📝 Four-tier กรอก'!BT6,'📝 Four-tier กรอก'!BU16="Y",'📝 Four-tier กรอก'!BV16='📝 Four-tier กรอก'!BV6,'📝 Four-tier กรอก'!BW16="Y"),"✅ Sound",IF(AND('📝 Four-tier กรอก'!BT16='📝 Four-tier กรอก'!BT6,'📝 Four-tier กรอก'!BU16="Y",'📝 Four-tier กรอก'!BV16&lt;&gt;'📝 Four-tier กรอก'!BV6,'📝 Four-tier กรอก'!BW16="Y"),"🎲 Guess",IF(AND('📝 Four-tier กรอก'!BT16&lt;&gt;'📝 Four-tier กรอก'!BT6,'📝 Four-tier กรอก'!BU16="Y",'📝 Four-tier กรอก'!BV16&lt;&gt;'📝 Four-tier กรอก'!BV6,'📝 Four-tier กรอก'!BW16="Y"),"❌ Misc.",IF(AND('📝 Four-tier กรอก'!BT16&lt;&gt;'📝 Four-tier กรอก'!BT6,'📝 Four-tier กรอก'!BU16="N",'📝 Four-tier กรอก'!BV16&lt;&gt;'📝 Four-tier กรอก'!BV6,'📝 Four-tier กรอก'!BW16="N"),"❓ NoK","🤔 Partial")))))</f>
        <v/>
      </c>
      <c r="V14" s="68">
        <f>IF(OR('📝 Four-tier กรอก'!BX16="",'📝 Four-tier กรอก'!BZ16=""),"—",IF(AND('📝 Four-tier กรอก'!BX16='📝 Four-tier กรอก'!BX6,'📝 Four-tier กรอก'!BY16="Y",'📝 Four-tier กรอก'!BZ16='📝 Four-tier กรอก'!BZ6,'📝 Four-tier กรอก'!CA16="Y"),"✅ Sound",IF(AND('📝 Four-tier กรอก'!BX16='📝 Four-tier กรอก'!BX6,'📝 Four-tier กรอก'!BY16="Y",'📝 Four-tier กรอก'!BZ16&lt;&gt;'📝 Four-tier กรอก'!BZ6,'📝 Four-tier กรอก'!CA16="Y"),"🎲 Guess",IF(AND('📝 Four-tier กรอก'!BX16&lt;&gt;'📝 Four-tier กรอก'!BX6,'📝 Four-tier กรอก'!BY16="Y",'📝 Four-tier กรอก'!BZ16&lt;&gt;'📝 Four-tier กรอก'!BZ6,'📝 Four-tier กรอก'!CA16="Y"),"❌ Misc.",IF(AND('📝 Four-tier กรอก'!BX16&lt;&gt;'📝 Four-tier กรอก'!BX6,'📝 Four-tier กรอก'!BY16="N",'📝 Four-tier กรอก'!BZ16&lt;&gt;'📝 Four-tier กรอก'!BZ6,'📝 Four-tier กรอก'!CA16="N"),"❓ NoK","🤔 Partial")))))</f>
        <v/>
      </c>
      <c r="W14" s="68">
        <f>IF(OR('📝 Four-tier กรอก'!CB16="",'📝 Four-tier กรอก'!CD16=""),"—",IF(AND('📝 Four-tier กรอก'!CB16='📝 Four-tier กรอก'!CB6,'📝 Four-tier กรอก'!CC16="Y",'📝 Four-tier กรอก'!CD16='📝 Four-tier กรอก'!CD6,'📝 Four-tier กรอก'!CE16="Y"),"✅ Sound",IF(AND('📝 Four-tier กรอก'!CB16='📝 Four-tier กรอก'!CB6,'📝 Four-tier กรอก'!CC16="Y",'📝 Four-tier กรอก'!CD16&lt;&gt;'📝 Four-tier กรอก'!CD6,'📝 Four-tier กรอก'!CE16="Y"),"🎲 Guess",IF(AND('📝 Four-tier กรอก'!CB16&lt;&gt;'📝 Four-tier กรอก'!CB6,'📝 Four-tier กรอก'!CC16="Y",'📝 Four-tier กรอก'!CD16&lt;&gt;'📝 Four-tier กรอก'!CD6,'📝 Four-tier กรอก'!CE16="Y"),"❌ Misc.",IF(AND('📝 Four-tier กรอก'!CB16&lt;&gt;'📝 Four-tier กรอก'!CB6,'📝 Four-tier กรอก'!CC16="N",'📝 Four-tier กรอก'!CD16&lt;&gt;'📝 Four-tier กรอก'!CD6,'📝 Four-tier กรอก'!CE16="N"),"❓ NoK","🤔 Partial")))))</f>
        <v/>
      </c>
      <c r="X14" s="37">
        <f>COUNTIF(D14:W14,"✅ Sound")</f>
        <v/>
      </c>
      <c r="Y14" s="37">
        <f>COUNTIF(D14:W14,"❌ Misc.")</f>
        <v/>
      </c>
      <c r="Z14" s="37">
        <f>COUNTIF(D14:W14,"🎲 Guess")</f>
        <v/>
      </c>
      <c r="AA14" s="37">
        <f>COUNTIF(D14:W14,"❓ NoK")</f>
        <v/>
      </c>
    </row>
    <row r="15" ht="18" customHeight="1">
      <c r="B15" s="46">
        <f>'📝 Four-tier กรอก'!B17</f>
        <v/>
      </c>
      <c r="C15" s="47">
        <f>'📝 Four-tier กรอก'!C17</f>
        <v/>
      </c>
      <c r="D15" s="67">
        <f>IF(OR('📝 Four-tier กรอก'!D17="",'📝 Four-tier กรอก'!F17=""),"—",IF(AND('📝 Four-tier กรอก'!D17='📝 Four-tier กรอก'!D6,'📝 Four-tier กรอก'!E17="Y",'📝 Four-tier กรอก'!F17='📝 Four-tier กรอก'!F6,'📝 Four-tier กรอก'!G17="Y"),"✅ Sound",IF(AND('📝 Four-tier กรอก'!D17='📝 Four-tier กรอก'!D6,'📝 Four-tier กรอก'!E17="Y",'📝 Four-tier กรอก'!F17&lt;&gt;'📝 Four-tier กรอก'!F6,'📝 Four-tier กรอก'!G17="Y"),"🎲 Guess",IF(AND('📝 Four-tier กรอก'!D17&lt;&gt;'📝 Four-tier กรอก'!D6,'📝 Four-tier กรอก'!E17="Y",'📝 Four-tier กรอก'!F17&lt;&gt;'📝 Four-tier กรอก'!F6,'📝 Four-tier กรอก'!G17="Y"),"❌ Misc.",IF(AND('📝 Four-tier กรอก'!D17&lt;&gt;'📝 Four-tier กรอก'!D6,'📝 Four-tier กรอก'!E17="N",'📝 Four-tier กรอก'!F17&lt;&gt;'📝 Four-tier กรอก'!F6,'📝 Four-tier กรอก'!G17="N"),"❓ NoK","🤔 Partial")))))</f>
        <v/>
      </c>
      <c r="E15" s="67">
        <f>IF(OR('📝 Four-tier กรอก'!H17="",'📝 Four-tier กรอก'!J17=""),"—",IF(AND('📝 Four-tier กรอก'!H17='📝 Four-tier กรอก'!H6,'📝 Four-tier กรอก'!I17="Y",'📝 Four-tier กรอก'!J17='📝 Four-tier กรอก'!J6,'📝 Four-tier กรอก'!K17="Y"),"✅ Sound",IF(AND('📝 Four-tier กรอก'!H17='📝 Four-tier กรอก'!H6,'📝 Four-tier กรอก'!I17="Y",'📝 Four-tier กรอก'!J17&lt;&gt;'📝 Four-tier กรอก'!J6,'📝 Four-tier กรอก'!K17="Y"),"🎲 Guess",IF(AND('📝 Four-tier กรอก'!H17&lt;&gt;'📝 Four-tier กรอก'!H6,'📝 Four-tier กรอก'!I17="Y",'📝 Four-tier กรอก'!J17&lt;&gt;'📝 Four-tier กรอก'!J6,'📝 Four-tier กรอก'!K17="Y"),"❌ Misc.",IF(AND('📝 Four-tier กรอก'!H17&lt;&gt;'📝 Four-tier กรอก'!H6,'📝 Four-tier กรอก'!I17="N",'📝 Four-tier กรอก'!J17&lt;&gt;'📝 Four-tier กรอก'!J6,'📝 Four-tier กรอก'!K17="N"),"❓ NoK","🤔 Partial")))))</f>
        <v/>
      </c>
      <c r="F15" s="67">
        <f>IF(OR('📝 Four-tier กรอก'!L17="",'📝 Four-tier กรอก'!N17=""),"—",IF(AND('📝 Four-tier กรอก'!L17='📝 Four-tier กรอก'!L6,'📝 Four-tier กรอก'!M17="Y",'📝 Four-tier กรอก'!N17='📝 Four-tier กรอก'!N6,'📝 Four-tier กรอก'!O17="Y"),"✅ Sound",IF(AND('📝 Four-tier กรอก'!L17='📝 Four-tier กรอก'!L6,'📝 Four-tier กรอก'!M17="Y",'📝 Four-tier กรอก'!N17&lt;&gt;'📝 Four-tier กรอก'!N6,'📝 Four-tier กรอก'!O17="Y"),"🎲 Guess",IF(AND('📝 Four-tier กรอก'!L17&lt;&gt;'📝 Four-tier กรอก'!L6,'📝 Four-tier กรอก'!M17="Y",'📝 Four-tier กรอก'!N17&lt;&gt;'📝 Four-tier กรอก'!N6,'📝 Four-tier กรอก'!O17="Y"),"❌ Misc.",IF(AND('📝 Four-tier กรอก'!L17&lt;&gt;'📝 Four-tier กรอก'!L6,'📝 Four-tier กรอก'!M17="N",'📝 Four-tier กรอก'!N17&lt;&gt;'📝 Four-tier กรอก'!N6,'📝 Four-tier กรอก'!O17="N"),"❓ NoK","🤔 Partial")))))</f>
        <v/>
      </c>
      <c r="G15" s="67">
        <f>IF(OR('📝 Four-tier กรอก'!P17="",'📝 Four-tier กรอก'!R17=""),"—",IF(AND('📝 Four-tier กรอก'!P17='📝 Four-tier กรอก'!P6,'📝 Four-tier กรอก'!Q17="Y",'📝 Four-tier กรอก'!R17='📝 Four-tier กรอก'!R6,'📝 Four-tier กรอก'!S17="Y"),"✅ Sound",IF(AND('📝 Four-tier กรอก'!P17='📝 Four-tier กรอก'!P6,'📝 Four-tier กรอก'!Q17="Y",'📝 Four-tier กรอก'!R17&lt;&gt;'📝 Four-tier กรอก'!R6,'📝 Four-tier กรอก'!S17="Y"),"🎲 Guess",IF(AND('📝 Four-tier กรอก'!P17&lt;&gt;'📝 Four-tier กรอก'!P6,'📝 Four-tier กรอก'!Q17="Y",'📝 Four-tier กรอก'!R17&lt;&gt;'📝 Four-tier กรอก'!R6,'📝 Four-tier กรอก'!S17="Y"),"❌ Misc.",IF(AND('📝 Four-tier กรอก'!P17&lt;&gt;'📝 Four-tier กรอก'!P6,'📝 Four-tier กรอก'!Q17="N",'📝 Four-tier กรอก'!R17&lt;&gt;'📝 Four-tier กรอก'!R6,'📝 Four-tier กรอก'!S17="N"),"❓ NoK","🤔 Partial")))))</f>
        <v/>
      </c>
      <c r="H15" s="67">
        <f>IF(OR('📝 Four-tier กรอก'!T17="",'📝 Four-tier กรอก'!V17=""),"—",IF(AND('📝 Four-tier กรอก'!T17='📝 Four-tier กรอก'!T6,'📝 Four-tier กรอก'!U17="Y",'📝 Four-tier กรอก'!V17='📝 Four-tier กรอก'!V6,'📝 Four-tier กรอก'!W17="Y"),"✅ Sound",IF(AND('📝 Four-tier กรอก'!T17='📝 Four-tier กรอก'!T6,'📝 Four-tier กรอก'!U17="Y",'📝 Four-tier กรอก'!V17&lt;&gt;'📝 Four-tier กรอก'!V6,'📝 Four-tier กรอก'!W17="Y"),"🎲 Guess",IF(AND('📝 Four-tier กรอก'!T17&lt;&gt;'📝 Four-tier กรอก'!T6,'📝 Four-tier กรอก'!U17="Y",'📝 Four-tier กรอก'!V17&lt;&gt;'📝 Four-tier กรอก'!V6,'📝 Four-tier กรอก'!W17="Y"),"❌ Misc.",IF(AND('📝 Four-tier กรอก'!T17&lt;&gt;'📝 Four-tier กรอก'!T6,'📝 Four-tier กรอก'!U17="N",'📝 Four-tier กรอก'!V17&lt;&gt;'📝 Four-tier กรอก'!V6,'📝 Four-tier กรอก'!W17="N"),"❓ NoK","🤔 Partial")))))</f>
        <v/>
      </c>
      <c r="I15" s="67">
        <f>IF(OR('📝 Four-tier กรอก'!X17="",'📝 Four-tier กรอก'!Z17=""),"—",IF(AND('📝 Four-tier กรอก'!X17='📝 Four-tier กรอก'!X6,'📝 Four-tier กรอก'!Y17="Y",'📝 Four-tier กรอก'!Z17='📝 Four-tier กรอก'!Z6,'📝 Four-tier กรอก'!AA17="Y"),"✅ Sound",IF(AND('📝 Four-tier กรอก'!X17='📝 Four-tier กรอก'!X6,'📝 Four-tier กรอก'!Y17="Y",'📝 Four-tier กรอก'!Z17&lt;&gt;'📝 Four-tier กรอก'!Z6,'📝 Four-tier กรอก'!AA17="Y"),"🎲 Guess",IF(AND('📝 Four-tier กรอก'!X17&lt;&gt;'📝 Four-tier กรอก'!X6,'📝 Four-tier กรอก'!Y17="Y",'📝 Four-tier กรอก'!Z17&lt;&gt;'📝 Four-tier กรอก'!Z6,'📝 Four-tier กรอก'!AA17="Y"),"❌ Misc.",IF(AND('📝 Four-tier กรอก'!X17&lt;&gt;'📝 Four-tier กรอก'!X6,'📝 Four-tier กรอก'!Y17="N",'📝 Four-tier กรอก'!Z17&lt;&gt;'📝 Four-tier กรอก'!Z6,'📝 Four-tier กรอก'!AA17="N"),"❓ NoK","🤔 Partial")))))</f>
        <v/>
      </c>
      <c r="J15" s="67">
        <f>IF(OR('📝 Four-tier กรอก'!AB17="",'📝 Four-tier กรอก'!AD17=""),"—",IF(AND('📝 Four-tier กรอก'!AB17='📝 Four-tier กรอก'!AB6,'📝 Four-tier กรอก'!AC17="Y",'📝 Four-tier กรอก'!AD17='📝 Four-tier กรอก'!AD6,'📝 Four-tier กรอก'!AE17="Y"),"✅ Sound",IF(AND('📝 Four-tier กรอก'!AB17='📝 Four-tier กรอก'!AB6,'📝 Four-tier กรอก'!AC17="Y",'📝 Four-tier กรอก'!AD17&lt;&gt;'📝 Four-tier กรอก'!AD6,'📝 Four-tier กรอก'!AE17="Y"),"🎲 Guess",IF(AND('📝 Four-tier กรอก'!AB17&lt;&gt;'📝 Four-tier กรอก'!AB6,'📝 Four-tier กรอก'!AC17="Y",'📝 Four-tier กรอก'!AD17&lt;&gt;'📝 Four-tier กรอก'!AD6,'📝 Four-tier กรอก'!AE17="Y"),"❌ Misc.",IF(AND('📝 Four-tier กรอก'!AB17&lt;&gt;'📝 Four-tier กรอก'!AB6,'📝 Four-tier กรอก'!AC17="N",'📝 Four-tier กรอก'!AD17&lt;&gt;'📝 Four-tier กรอก'!AD6,'📝 Four-tier กรอก'!AE17="N"),"❓ NoK","🤔 Partial")))))</f>
        <v/>
      </c>
      <c r="K15" s="67">
        <f>IF(OR('📝 Four-tier กรอก'!AF17="",'📝 Four-tier กรอก'!AH17=""),"—",IF(AND('📝 Four-tier กรอก'!AF17='📝 Four-tier กรอก'!AF6,'📝 Four-tier กรอก'!AG17="Y",'📝 Four-tier กรอก'!AH17='📝 Four-tier กรอก'!AH6,'📝 Four-tier กรอก'!AI17="Y"),"✅ Sound",IF(AND('📝 Four-tier กรอก'!AF17='📝 Four-tier กรอก'!AF6,'📝 Four-tier กรอก'!AG17="Y",'📝 Four-tier กรอก'!AH17&lt;&gt;'📝 Four-tier กรอก'!AH6,'📝 Four-tier กรอก'!AI17="Y"),"🎲 Guess",IF(AND('📝 Four-tier กรอก'!AF17&lt;&gt;'📝 Four-tier กรอก'!AF6,'📝 Four-tier กรอก'!AG17="Y",'📝 Four-tier กรอก'!AH17&lt;&gt;'📝 Four-tier กรอก'!AH6,'📝 Four-tier กรอก'!AI17="Y"),"❌ Misc.",IF(AND('📝 Four-tier กรอก'!AF17&lt;&gt;'📝 Four-tier กรอก'!AF6,'📝 Four-tier กรอก'!AG17="N",'📝 Four-tier กรอก'!AH17&lt;&gt;'📝 Four-tier กรอก'!AH6,'📝 Four-tier กรอก'!AI17="N"),"❓ NoK","🤔 Partial")))))</f>
        <v/>
      </c>
      <c r="L15" s="67">
        <f>IF(OR('📝 Four-tier กรอก'!AJ17="",'📝 Four-tier กรอก'!AL17=""),"—",IF(AND('📝 Four-tier กรอก'!AJ17='📝 Four-tier กรอก'!AJ6,'📝 Four-tier กรอก'!AK17="Y",'📝 Four-tier กรอก'!AL17='📝 Four-tier กรอก'!AL6,'📝 Four-tier กรอก'!AM17="Y"),"✅ Sound",IF(AND('📝 Four-tier กรอก'!AJ17='📝 Four-tier กรอก'!AJ6,'📝 Four-tier กรอก'!AK17="Y",'📝 Four-tier กรอก'!AL17&lt;&gt;'📝 Four-tier กรอก'!AL6,'📝 Four-tier กรอก'!AM17="Y"),"🎲 Guess",IF(AND('📝 Four-tier กรอก'!AJ17&lt;&gt;'📝 Four-tier กรอก'!AJ6,'📝 Four-tier กรอก'!AK17="Y",'📝 Four-tier กรอก'!AL17&lt;&gt;'📝 Four-tier กรอก'!AL6,'📝 Four-tier กรอก'!AM17="Y"),"❌ Misc.",IF(AND('📝 Four-tier กรอก'!AJ17&lt;&gt;'📝 Four-tier กรอก'!AJ6,'📝 Four-tier กรอก'!AK17="N",'📝 Four-tier กรอก'!AL17&lt;&gt;'📝 Four-tier กรอก'!AL6,'📝 Four-tier กรอก'!AM17="N"),"❓ NoK","🤔 Partial")))))</f>
        <v/>
      </c>
      <c r="M15" s="67">
        <f>IF(OR('📝 Four-tier กรอก'!AN17="",'📝 Four-tier กรอก'!AP17=""),"—",IF(AND('📝 Four-tier กรอก'!AN17='📝 Four-tier กรอก'!AN6,'📝 Four-tier กรอก'!AO17="Y",'📝 Four-tier กรอก'!AP17='📝 Four-tier กรอก'!AP6,'📝 Four-tier กรอก'!AQ17="Y"),"✅ Sound",IF(AND('📝 Four-tier กรอก'!AN17='📝 Four-tier กรอก'!AN6,'📝 Four-tier กรอก'!AO17="Y",'📝 Four-tier กรอก'!AP17&lt;&gt;'📝 Four-tier กรอก'!AP6,'📝 Four-tier กรอก'!AQ17="Y"),"🎲 Guess",IF(AND('📝 Four-tier กรอก'!AN17&lt;&gt;'📝 Four-tier กรอก'!AN6,'📝 Four-tier กรอก'!AO17="Y",'📝 Four-tier กรอก'!AP17&lt;&gt;'📝 Four-tier กรอก'!AP6,'📝 Four-tier กรอก'!AQ17="Y"),"❌ Misc.",IF(AND('📝 Four-tier กรอก'!AN17&lt;&gt;'📝 Four-tier กรอก'!AN6,'📝 Four-tier กรอก'!AO17="N",'📝 Four-tier กรอก'!AP17&lt;&gt;'📝 Four-tier กรอก'!AP6,'📝 Four-tier กรอก'!AQ17="N"),"❓ NoK","🤔 Partial")))))</f>
        <v/>
      </c>
      <c r="N15" s="67">
        <f>IF(OR('📝 Four-tier กรอก'!AR17="",'📝 Four-tier กรอก'!AT17=""),"—",IF(AND('📝 Four-tier กรอก'!AR17='📝 Four-tier กรอก'!AR6,'📝 Four-tier กรอก'!AS17="Y",'📝 Four-tier กรอก'!AT17='📝 Four-tier กรอก'!AT6,'📝 Four-tier กรอก'!AU17="Y"),"✅ Sound",IF(AND('📝 Four-tier กรอก'!AR17='📝 Four-tier กรอก'!AR6,'📝 Four-tier กรอก'!AS17="Y",'📝 Four-tier กรอก'!AT17&lt;&gt;'📝 Four-tier กรอก'!AT6,'📝 Four-tier กรอก'!AU17="Y"),"🎲 Guess",IF(AND('📝 Four-tier กรอก'!AR17&lt;&gt;'📝 Four-tier กรอก'!AR6,'📝 Four-tier กรอก'!AS17="Y",'📝 Four-tier กรอก'!AT17&lt;&gt;'📝 Four-tier กรอก'!AT6,'📝 Four-tier กรอก'!AU17="Y"),"❌ Misc.",IF(AND('📝 Four-tier กรอก'!AR17&lt;&gt;'📝 Four-tier กรอก'!AR6,'📝 Four-tier กรอก'!AS17="N",'📝 Four-tier กรอก'!AT17&lt;&gt;'📝 Four-tier กรอก'!AT6,'📝 Four-tier กรอก'!AU17="N"),"❓ NoK","🤔 Partial")))))</f>
        <v/>
      </c>
      <c r="O15" s="67">
        <f>IF(OR('📝 Four-tier กรอก'!AV17="",'📝 Four-tier กรอก'!AX17=""),"—",IF(AND('📝 Four-tier กรอก'!AV17='📝 Four-tier กรอก'!AV6,'📝 Four-tier กรอก'!AW17="Y",'📝 Four-tier กรอก'!AX17='📝 Four-tier กรอก'!AX6,'📝 Four-tier กรอก'!AY17="Y"),"✅ Sound",IF(AND('📝 Four-tier กรอก'!AV17='📝 Four-tier กรอก'!AV6,'📝 Four-tier กรอก'!AW17="Y",'📝 Four-tier กรอก'!AX17&lt;&gt;'📝 Four-tier กรอก'!AX6,'📝 Four-tier กรอก'!AY17="Y"),"🎲 Guess",IF(AND('📝 Four-tier กรอก'!AV17&lt;&gt;'📝 Four-tier กรอก'!AV6,'📝 Four-tier กรอก'!AW17="Y",'📝 Four-tier กรอก'!AX17&lt;&gt;'📝 Four-tier กรอก'!AX6,'📝 Four-tier กรอก'!AY17="Y"),"❌ Misc.",IF(AND('📝 Four-tier กรอก'!AV17&lt;&gt;'📝 Four-tier กรอก'!AV6,'📝 Four-tier กรอก'!AW17="N",'📝 Four-tier กรอก'!AX17&lt;&gt;'📝 Four-tier กรอก'!AX6,'📝 Four-tier กรอก'!AY17="N"),"❓ NoK","🤔 Partial")))))</f>
        <v/>
      </c>
      <c r="P15" s="67">
        <f>IF(OR('📝 Four-tier กรอก'!AZ17="",'📝 Four-tier กรอก'!BB17=""),"—",IF(AND('📝 Four-tier กรอก'!AZ17='📝 Four-tier กรอก'!AZ6,'📝 Four-tier กรอก'!BA17="Y",'📝 Four-tier กรอก'!BB17='📝 Four-tier กรอก'!BB6,'📝 Four-tier กรอก'!BC17="Y"),"✅ Sound",IF(AND('📝 Four-tier กรอก'!AZ17='📝 Four-tier กรอก'!AZ6,'📝 Four-tier กรอก'!BA17="Y",'📝 Four-tier กรอก'!BB17&lt;&gt;'📝 Four-tier กรอก'!BB6,'📝 Four-tier กรอก'!BC17="Y"),"🎲 Guess",IF(AND('📝 Four-tier กรอก'!AZ17&lt;&gt;'📝 Four-tier กรอก'!AZ6,'📝 Four-tier กรอก'!BA17="Y",'📝 Four-tier กรอก'!BB17&lt;&gt;'📝 Four-tier กรอก'!BB6,'📝 Four-tier กรอก'!BC17="Y"),"❌ Misc.",IF(AND('📝 Four-tier กรอก'!AZ17&lt;&gt;'📝 Four-tier กรอก'!AZ6,'📝 Four-tier กรอก'!BA17="N",'📝 Four-tier กรอก'!BB17&lt;&gt;'📝 Four-tier กรอก'!BB6,'📝 Four-tier กรอก'!BC17="N"),"❓ NoK","🤔 Partial")))))</f>
        <v/>
      </c>
      <c r="Q15" s="67">
        <f>IF(OR('📝 Four-tier กรอก'!BD17="",'📝 Four-tier กรอก'!BF17=""),"—",IF(AND('📝 Four-tier กรอก'!BD17='📝 Four-tier กรอก'!BD6,'📝 Four-tier กรอก'!BE17="Y",'📝 Four-tier กรอก'!BF17='📝 Four-tier กรอก'!BF6,'📝 Four-tier กรอก'!BG17="Y"),"✅ Sound",IF(AND('📝 Four-tier กรอก'!BD17='📝 Four-tier กรอก'!BD6,'📝 Four-tier กรอก'!BE17="Y",'📝 Four-tier กรอก'!BF17&lt;&gt;'📝 Four-tier กรอก'!BF6,'📝 Four-tier กรอก'!BG17="Y"),"🎲 Guess",IF(AND('📝 Four-tier กรอก'!BD17&lt;&gt;'📝 Four-tier กรอก'!BD6,'📝 Four-tier กรอก'!BE17="Y",'📝 Four-tier กรอก'!BF17&lt;&gt;'📝 Four-tier กรอก'!BF6,'📝 Four-tier กรอก'!BG17="Y"),"❌ Misc.",IF(AND('📝 Four-tier กรอก'!BD17&lt;&gt;'📝 Four-tier กรอก'!BD6,'📝 Four-tier กรอก'!BE17="N",'📝 Four-tier กรอก'!BF17&lt;&gt;'📝 Four-tier กรอก'!BF6,'📝 Four-tier กรอก'!BG17="N"),"❓ NoK","🤔 Partial")))))</f>
        <v/>
      </c>
      <c r="R15" s="67">
        <f>IF(OR('📝 Four-tier กรอก'!BH17="",'📝 Four-tier กรอก'!BJ17=""),"—",IF(AND('📝 Four-tier กรอก'!BH17='📝 Four-tier กรอก'!BH6,'📝 Four-tier กรอก'!BI17="Y",'📝 Four-tier กรอก'!BJ17='📝 Four-tier กรอก'!BJ6,'📝 Four-tier กรอก'!BK17="Y"),"✅ Sound",IF(AND('📝 Four-tier กรอก'!BH17='📝 Four-tier กรอก'!BH6,'📝 Four-tier กรอก'!BI17="Y",'📝 Four-tier กรอก'!BJ17&lt;&gt;'📝 Four-tier กรอก'!BJ6,'📝 Four-tier กรอก'!BK17="Y"),"🎲 Guess",IF(AND('📝 Four-tier กรอก'!BH17&lt;&gt;'📝 Four-tier กรอก'!BH6,'📝 Four-tier กรอก'!BI17="Y",'📝 Four-tier กรอก'!BJ17&lt;&gt;'📝 Four-tier กรอก'!BJ6,'📝 Four-tier กรอก'!BK17="Y"),"❌ Misc.",IF(AND('📝 Four-tier กรอก'!BH17&lt;&gt;'📝 Four-tier กรอก'!BH6,'📝 Four-tier กรอก'!BI17="N",'📝 Four-tier กรอก'!BJ17&lt;&gt;'📝 Four-tier กรอก'!BJ6,'📝 Four-tier กรอก'!BK17="N"),"❓ NoK","🤔 Partial")))))</f>
        <v/>
      </c>
      <c r="S15" s="67">
        <f>IF(OR('📝 Four-tier กรอก'!BL17="",'📝 Four-tier กรอก'!BN17=""),"—",IF(AND('📝 Four-tier กรอก'!BL17='📝 Four-tier กรอก'!BL6,'📝 Four-tier กรอก'!BM17="Y",'📝 Four-tier กรอก'!BN17='📝 Four-tier กรอก'!BN6,'📝 Four-tier กรอก'!BO17="Y"),"✅ Sound",IF(AND('📝 Four-tier กรอก'!BL17='📝 Four-tier กรอก'!BL6,'📝 Four-tier กรอก'!BM17="Y",'📝 Four-tier กรอก'!BN17&lt;&gt;'📝 Four-tier กรอก'!BN6,'📝 Four-tier กรอก'!BO17="Y"),"🎲 Guess",IF(AND('📝 Four-tier กรอก'!BL17&lt;&gt;'📝 Four-tier กรอก'!BL6,'📝 Four-tier กรอก'!BM17="Y",'📝 Four-tier กรอก'!BN17&lt;&gt;'📝 Four-tier กรอก'!BN6,'📝 Four-tier กรอก'!BO17="Y"),"❌ Misc.",IF(AND('📝 Four-tier กรอก'!BL17&lt;&gt;'📝 Four-tier กรอก'!BL6,'📝 Four-tier กรอก'!BM17="N",'📝 Four-tier กรอก'!BN17&lt;&gt;'📝 Four-tier กรอก'!BN6,'📝 Four-tier กรอก'!BO17="N"),"❓ NoK","🤔 Partial")))))</f>
        <v/>
      </c>
      <c r="T15" s="67">
        <f>IF(OR('📝 Four-tier กรอก'!BP17="",'📝 Four-tier กรอก'!BR17=""),"—",IF(AND('📝 Four-tier กรอก'!BP17='📝 Four-tier กรอก'!BP6,'📝 Four-tier กรอก'!BQ17="Y",'📝 Four-tier กรอก'!BR17='📝 Four-tier กรอก'!BR6,'📝 Four-tier กรอก'!BS17="Y"),"✅ Sound",IF(AND('📝 Four-tier กรอก'!BP17='📝 Four-tier กรอก'!BP6,'📝 Four-tier กรอก'!BQ17="Y",'📝 Four-tier กรอก'!BR17&lt;&gt;'📝 Four-tier กรอก'!BR6,'📝 Four-tier กรอก'!BS17="Y"),"🎲 Guess",IF(AND('📝 Four-tier กรอก'!BP17&lt;&gt;'📝 Four-tier กรอก'!BP6,'📝 Four-tier กรอก'!BQ17="Y",'📝 Four-tier กรอก'!BR17&lt;&gt;'📝 Four-tier กรอก'!BR6,'📝 Four-tier กรอก'!BS17="Y"),"❌ Misc.",IF(AND('📝 Four-tier กรอก'!BP17&lt;&gt;'📝 Four-tier กรอก'!BP6,'📝 Four-tier กรอก'!BQ17="N",'📝 Four-tier กรอก'!BR17&lt;&gt;'📝 Four-tier กรอก'!BR6,'📝 Four-tier กรอก'!BS17="N"),"❓ NoK","🤔 Partial")))))</f>
        <v/>
      </c>
      <c r="U15" s="67">
        <f>IF(OR('📝 Four-tier กรอก'!BT17="",'📝 Four-tier กรอก'!BV17=""),"—",IF(AND('📝 Four-tier กรอก'!BT17='📝 Four-tier กรอก'!BT6,'📝 Four-tier กรอก'!BU17="Y",'📝 Four-tier กรอก'!BV17='📝 Four-tier กรอก'!BV6,'📝 Four-tier กรอก'!BW17="Y"),"✅ Sound",IF(AND('📝 Four-tier กรอก'!BT17='📝 Four-tier กรอก'!BT6,'📝 Four-tier กรอก'!BU17="Y",'📝 Four-tier กรอก'!BV17&lt;&gt;'📝 Four-tier กรอก'!BV6,'📝 Four-tier กรอก'!BW17="Y"),"🎲 Guess",IF(AND('📝 Four-tier กรอก'!BT17&lt;&gt;'📝 Four-tier กรอก'!BT6,'📝 Four-tier กรอก'!BU17="Y",'📝 Four-tier กรอก'!BV17&lt;&gt;'📝 Four-tier กรอก'!BV6,'📝 Four-tier กรอก'!BW17="Y"),"❌ Misc.",IF(AND('📝 Four-tier กรอก'!BT17&lt;&gt;'📝 Four-tier กรอก'!BT6,'📝 Four-tier กรอก'!BU17="N",'📝 Four-tier กรอก'!BV17&lt;&gt;'📝 Four-tier กรอก'!BV6,'📝 Four-tier กรอก'!BW17="N"),"❓ NoK","🤔 Partial")))))</f>
        <v/>
      </c>
      <c r="V15" s="67">
        <f>IF(OR('📝 Four-tier กรอก'!BX17="",'📝 Four-tier กรอก'!BZ17=""),"—",IF(AND('📝 Four-tier กรอก'!BX17='📝 Four-tier กรอก'!BX6,'📝 Four-tier กรอก'!BY17="Y",'📝 Four-tier กรอก'!BZ17='📝 Four-tier กรอก'!BZ6,'📝 Four-tier กรอก'!CA17="Y"),"✅ Sound",IF(AND('📝 Four-tier กรอก'!BX17='📝 Four-tier กรอก'!BX6,'📝 Four-tier กรอก'!BY17="Y",'📝 Four-tier กรอก'!BZ17&lt;&gt;'📝 Four-tier กรอก'!BZ6,'📝 Four-tier กรอก'!CA17="Y"),"🎲 Guess",IF(AND('📝 Four-tier กรอก'!BX17&lt;&gt;'📝 Four-tier กรอก'!BX6,'📝 Four-tier กรอก'!BY17="Y",'📝 Four-tier กรอก'!BZ17&lt;&gt;'📝 Four-tier กรอก'!BZ6,'📝 Four-tier กรอก'!CA17="Y"),"❌ Misc.",IF(AND('📝 Four-tier กรอก'!BX17&lt;&gt;'📝 Four-tier กรอก'!BX6,'📝 Four-tier กรอก'!BY17="N",'📝 Four-tier กรอก'!BZ17&lt;&gt;'📝 Four-tier กรอก'!BZ6,'📝 Four-tier กรอก'!CA17="N"),"❓ NoK","🤔 Partial")))))</f>
        <v/>
      </c>
      <c r="W15" s="67">
        <f>IF(OR('📝 Four-tier กรอก'!CB17="",'📝 Four-tier กรอก'!CD17=""),"—",IF(AND('📝 Four-tier กรอก'!CB17='📝 Four-tier กรอก'!CB6,'📝 Four-tier กรอก'!CC17="Y",'📝 Four-tier กรอก'!CD17='📝 Four-tier กรอก'!CD6,'📝 Four-tier กรอก'!CE17="Y"),"✅ Sound",IF(AND('📝 Four-tier กรอก'!CB17='📝 Four-tier กรอก'!CB6,'📝 Four-tier กรอก'!CC17="Y",'📝 Four-tier กรอก'!CD17&lt;&gt;'📝 Four-tier กรอก'!CD6,'📝 Four-tier กรอก'!CE17="Y"),"🎲 Guess",IF(AND('📝 Four-tier กรอก'!CB17&lt;&gt;'📝 Four-tier กรอก'!CB6,'📝 Four-tier กรอก'!CC17="Y",'📝 Four-tier กรอก'!CD17&lt;&gt;'📝 Four-tier กรอก'!CD6,'📝 Four-tier กรอก'!CE17="Y"),"❌ Misc.",IF(AND('📝 Four-tier กรอก'!CB17&lt;&gt;'📝 Four-tier กรอก'!CB6,'📝 Four-tier กรอก'!CC17="N",'📝 Four-tier กรอก'!CD17&lt;&gt;'📝 Four-tier กรอก'!CD6,'📝 Four-tier กรอก'!CE17="N"),"❓ NoK","🤔 Partial")))))</f>
        <v/>
      </c>
      <c r="X15" s="37">
        <f>COUNTIF(D15:W15,"✅ Sound")</f>
        <v/>
      </c>
      <c r="Y15" s="37">
        <f>COUNTIF(D15:W15,"❌ Misc.")</f>
        <v/>
      </c>
      <c r="Z15" s="37">
        <f>COUNTIF(D15:W15,"🎲 Guess")</f>
        <v/>
      </c>
      <c r="AA15" s="37">
        <f>COUNTIF(D15:W15,"❓ NoK")</f>
        <v/>
      </c>
    </row>
    <row r="16" ht="18" customHeight="1">
      <c r="B16" s="46">
        <f>'📝 Four-tier กรอก'!B18</f>
        <v/>
      </c>
      <c r="C16" s="51">
        <f>'📝 Four-tier กรอก'!C18</f>
        <v/>
      </c>
      <c r="D16" s="68">
        <f>IF(OR('📝 Four-tier กรอก'!D18="",'📝 Four-tier กรอก'!F18=""),"—",IF(AND('📝 Four-tier กรอก'!D18='📝 Four-tier กรอก'!D6,'📝 Four-tier กรอก'!E18="Y",'📝 Four-tier กรอก'!F18='📝 Four-tier กรอก'!F6,'📝 Four-tier กรอก'!G18="Y"),"✅ Sound",IF(AND('📝 Four-tier กรอก'!D18='📝 Four-tier กรอก'!D6,'📝 Four-tier กรอก'!E18="Y",'📝 Four-tier กรอก'!F18&lt;&gt;'📝 Four-tier กรอก'!F6,'📝 Four-tier กรอก'!G18="Y"),"🎲 Guess",IF(AND('📝 Four-tier กรอก'!D18&lt;&gt;'📝 Four-tier กรอก'!D6,'📝 Four-tier กรอก'!E18="Y",'📝 Four-tier กรอก'!F18&lt;&gt;'📝 Four-tier กรอก'!F6,'📝 Four-tier กรอก'!G18="Y"),"❌ Misc.",IF(AND('📝 Four-tier กรอก'!D18&lt;&gt;'📝 Four-tier กรอก'!D6,'📝 Four-tier กรอก'!E18="N",'📝 Four-tier กรอก'!F18&lt;&gt;'📝 Four-tier กรอก'!F6,'📝 Four-tier กรอก'!G18="N"),"❓ NoK","🤔 Partial")))))</f>
        <v/>
      </c>
      <c r="E16" s="68">
        <f>IF(OR('📝 Four-tier กรอก'!H18="",'📝 Four-tier กรอก'!J18=""),"—",IF(AND('📝 Four-tier กรอก'!H18='📝 Four-tier กรอก'!H6,'📝 Four-tier กรอก'!I18="Y",'📝 Four-tier กรอก'!J18='📝 Four-tier กรอก'!J6,'📝 Four-tier กรอก'!K18="Y"),"✅ Sound",IF(AND('📝 Four-tier กรอก'!H18='📝 Four-tier กรอก'!H6,'📝 Four-tier กรอก'!I18="Y",'📝 Four-tier กรอก'!J18&lt;&gt;'📝 Four-tier กรอก'!J6,'📝 Four-tier กรอก'!K18="Y"),"🎲 Guess",IF(AND('📝 Four-tier กรอก'!H18&lt;&gt;'📝 Four-tier กรอก'!H6,'📝 Four-tier กรอก'!I18="Y",'📝 Four-tier กรอก'!J18&lt;&gt;'📝 Four-tier กรอก'!J6,'📝 Four-tier กรอก'!K18="Y"),"❌ Misc.",IF(AND('📝 Four-tier กรอก'!H18&lt;&gt;'📝 Four-tier กรอก'!H6,'📝 Four-tier กรอก'!I18="N",'📝 Four-tier กรอก'!J18&lt;&gt;'📝 Four-tier กรอก'!J6,'📝 Four-tier กรอก'!K18="N"),"❓ NoK","🤔 Partial")))))</f>
        <v/>
      </c>
      <c r="F16" s="68">
        <f>IF(OR('📝 Four-tier กรอก'!L18="",'📝 Four-tier กรอก'!N18=""),"—",IF(AND('📝 Four-tier กรอก'!L18='📝 Four-tier กรอก'!L6,'📝 Four-tier กรอก'!M18="Y",'📝 Four-tier กรอก'!N18='📝 Four-tier กรอก'!N6,'📝 Four-tier กรอก'!O18="Y"),"✅ Sound",IF(AND('📝 Four-tier กรอก'!L18='📝 Four-tier กรอก'!L6,'📝 Four-tier กรอก'!M18="Y",'📝 Four-tier กรอก'!N18&lt;&gt;'📝 Four-tier กรอก'!N6,'📝 Four-tier กรอก'!O18="Y"),"🎲 Guess",IF(AND('📝 Four-tier กรอก'!L18&lt;&gt;'📝 Four-tier กรอก'!L6,'📝 Four-tier กรอก'!M18="Y",'📝 Four-tier กรอก'!N18&lt;&gt;'📝 Four-tier กรอก'!N6,'📝 Four-tier กรอก'!O18="Y"),"❌ Misc.",IF(AND('📝 Four-tier กรอก'!L18&lt;&gt;'📝 Four-tier กรอก'!L6,'📝 Four-tier กรอก'!M18="N",'📝 Four-tier กรอก'!N18&lt;&gt;'📝 Four-tier กรอก'!N6,'📝 Four-tier กรอก'!O18="N"),"❓ NoK","🤔 Partial")))))</f>
        <v/>
      </c>
      <c r="G16" s="68">
        <f>IF(OR('📝 Four-tier กรอก'!P18="",'📝 Four-tier กรอก'!R18=""),"—",IF(AND('📝 Four-tier กรอก'!P18='📝 Four-tier กรอก'!P6,'📝 Four-tier กรอก'!Q18="Y",'📝 Four-tier กรอก'!R18='📝 Four-tier กรอก'!R6,'📝 Four-tier กรอก'!S18="Y"),"✅ Sound",IF(AND('📝 Four-tier กรอก'!P18='📝 Four-tier กรอก'!P6,'📝 Four-tier กรอก'!Q18="Y",'📝 Four-tier กรอก'!R18&lt;&gt;'📝 Four-tier กรอก'!R6,'📝 Four-tier กรอก'!S18="Y"),"🎲 Guess",IF(AND('📝 Four-tier กรอก'!P18&lt;&gt;'📝 Four-tier กรอก'!P6,'📝 Four-tier กรอก'!Q18="Y",'📝 Four-tier กรอก'!R18&lt;&gt;'📝 Four-tier กรอก'!R6,'📝 Four-tier กรอก'!S18="Y"),"❌ Misc.",IF(AND('📝 Four-tier กรอก'!P18&lt;&gt;'📝 Four-tier กรอก'!P6,'📝 Four-tier กรอก'!Q18="N",'📝 Four-tier กรอก'!R18&lt;&gt;'📝 Four-tier กรอก'!R6,'📝 Four-tier กรอก'!S18="N"),"❓ NoK","🤔 Partial")))))</f>
        <v/>
      </c>
      <c r="H16" s="68">
        <f>IF(OR('📝 Four-tier กรอก'!T18="",'📝 Four-tier กรอก'!V18=""),"—",IF(AND('📝 Four-tier กรอก'!T18='📝 Four-tier กรอก'!T6,'📝 Four-tier กรอก'!U18="Y",'📝 Four-tier กรอก'!V18='📝 Four-tier กรอก'!V6,'📝 Four-tier กรอก'!W18="Y"),"✅ Sound",IF(AND('📝 Four-tier กรอก'!T18='📝 Four-tier กรอก'!T6,'📝 Four-tier กรอก'!U18="Y",'📝 Four-tier กรอก'!V18&lt;&gt;'📝 Four-tier กรอก'!V6,'📝 Four-tier กรอก'!W18="Y"),"🎲 Guess",IF(AND('📝 Four-tier กรอก'!T18&lt;&gt;'📝 Four-tier กรอก'!T6,'📝 Four-tier กรอก'!U18="Y",'📝 Four-tier กรอก'!V18&lt;&gt;'📝 Four-tier กรอก'!V6,'📝 Four-tier กรอก'!W18="Y"),"❌ Misc.",IF(AND('📝 Four-tier กรอก'!T18&lt;&gt;'📝 Four-tier กรอก'!T6,'📝 Four-tier กรอก'!U18="N",'📝 Four-tier กรอก'!V18&lt;&gt;'📝 Four-tier กรอก'!V6,'📝 Four-tier กรอก'!W18="N"),"❓ NoK","🤔 Partial")))))</f>
        <v/>
      </c>
      <c r="I16" s="68">
        <f>IF(OR('📝 Four-tier กรอก'!X18="",'📝 Four-tier กรอก'!Z18=""),"—",IF(AND('📝 Four-tier กรอก'!X18='📝 Four-tier กรอก'!X6,'📝 Four-tier กรอก'!Y18="Y",'📝 Four-tier กรอก'!Z18='📝 Four-tier กรอก'!Z6,'📝 Four-tier กรอก'!AA18="Y"),"✅ Sound",IF(AND('📝 Four-tier กรอก'!X18='📝 Four-tier กรอก'!X6,'📝 Four-tier กรอก'!Y18="Y",'📝 Four-tier กรอก'!Z18&lt;&gt;'📝 Four-tier กรอก'!Z6,'📝 Four-tier กรอก'!AA18="Y"),"🎲 Guess",IF(AND('📝 Four-tier กรอก'!X18&lt;&gt;'📝 Four-tier กรอก'!X6,'📝 Four-tier กรอก'!Y18="Y",'📝 Four-tier กรอก'!Z18&lt;&gt;'📝 Four-tier กรอก'!Z6,'📝 Four-tier กรอก'!AA18="Y"),"❌ Misc.",IF(AND('📝 Four-tier กรอก'!X18&lt;&gt;'📝 Four-tier กรอก'!X6,'📝 Four-tier กรอก'!Y18="N",'📝 Four-tier กรอก'!Z18&lt;&gt;'📝 Four-tier กรอก'!Z6,'📝 Four-tier กรอก'!AA18="N"),"❓ NoK","🤔 Partial")))))</f>
        <v/>
      </c>
      <c r="J16" s="68">
        <f>IF(OR('📝 Four-tier กรอก'!AB18="",'📝 Four-tier กรอก'!AD18=""),"—",IF(AND('📝 Four-tier กรอก'!AB18='📝 Four-tier กรอก'!AB6,'📝 Four-tier กรอก'!AC18="Y",'📝 Four-tier กรอก'!AD18='📝 Four-tier กรอก'!AD6,'📝 Four-tier กรอก'!AE18="Y"),"✅ Sound",IF(AND('📝 Four-tier กรอก'!AB18='📝 Four-tier กรอก'!AB6,'📝 Four-tier กรอก'!AC18="Y",'📝 Four-tier กรอก'!AD18&lt;&gt;'📝 Four-tier กรอก'!AD6,'📝 Four-tier กรอก'!AE18="Y"),"🎲 Guess",IF(AND('📝 Four-tier กรอก'!AB18&lt;&gt;'📝 Four-tier กรอก'!AB6,'📝 Four-tier กรอก'!AC18="Y",'📝 Four-tier กรอก'!AD18&lt;&gt;'📝 Four-tier กรอก'!AD6,'📝 Four-tier กรอก'!AE18="Y"),"❌ Misc.",IF(AND('📝 Four-tier กรอก'!AB18&lt;&gt;'📝 Four-tier กรอก'!AB6,'📝 Four-tier กรอก'!AC18="N",'📝 Four-tier กรอก'!AD18&lt;&gt;'📝 Four-tier กรอก'!AD6,'📝 Four-tier กรอก'!AE18="N"),"❓ NoK","🤔 Partial")))))</f>
        <v/>
      </c>
      <c r="K16" s="68">
        <f>IF(OR('📝 Four-tier กรอก'!AF18="",'📝 Four-tier กรอก'!AH18=""),"—",IF(AND('📝 Four-tier กรอก'!AF18='📝 Four-tier กรอก'!AF6,'📝 Four-tier กรอก'!AG18="Y",'📝 Four-tier กรอก'!AH18='📝 Four-tier กรอก'!AH6,'📝 Four-tier กรอก'!AI18="Y"),"✅ Sound",IF(AND('📝 Four-tier กรอก'!AF18='📝 Four-tier กรอก'!AF6,'📝 Four-tier กรอก'!AG18="Y",'📝 Four-tier กรอก'!AH18&lt;&gt;'📝 Four-tier กรอก'!AH6,'📝 Four-tier กรอก'!AI18="Y"),"🎲 Guess",IF(AND('📝 Four-tier กรอก'!AF18&lt;&gt;'📝 Four-tier กรอก'!AF6,'📝 Four-tier กรอก'!AG18="Y",'📝 Four-tier กรอก'!AH18&lt;&gt;'📝 Four-tier กรอก'!AH6,'📝 Four-tier กรอก'!AI18="Y"),"❌ Misc.",IF(AND('📝 Four-tier กรอก'!AF18&lt;&gt;'📝 Four-tier กรอก'!AF6,'📝 Four-tier กรอก'!AG18="N",'📝 Four-tier กรอก'!AH18&lt;&gt;'📝 Four-tier กรอก'!AH6,'📝 Four-tier กรอก'!AI18="N"),"❓ NoK","🤔 Partial")))))</f>
        <v/>
      </c>
      <c r="L16" s="68">
        <f>IF(OR('📝 Four-tier กรอก'!AJ18="",'📝 Four-tier กรอก'!AL18=""),"—",IF(AND('📝 Four-tier กรอก'!AJ18='📝 Four-tier กรอก'!AJ6,'📝 Four-tier กรอก'!AK18="Y",'📝 Four-tier กรอก'!AL18='📝 Four-tier กรอก'!AL6,'📝 Four-tier กรอก'!AM18="Y"),"✅ Sound",IF(AND('📝 Four-tier กรอก'!AJ18='📝 Four-tier กรอก'!AJ6,'📝 Four-tier กรอก'!AK18="Y",'📝 Four-tier กรอก'!AL18&lt;&gt;'📝 Four-tier กรอก'!AL6,'📝 Four-tier กรอก'!AM18="Y"),"🎲 Guess",IF(AND('📝 Four-tier กรอก'!AJ18&lt;&gt;'📝 Four-tier กรอก'!AJ6,'📝 Four-tier กรอก'!AK18="Y",'📝 Four-tier กรอก'!AL18&lt;&gt;'📝 Four-tier กรอก'!AL6,'📝 Four-tier กรอก'!AM18="Y"),"❌ Misc.",IF(AND('📝 Four-tier กรอก'!AJ18&lt;&gt;'📝 Four-tier กรอก'!AJ6,'📝 Four-tier กรอก'!AK18="N",'📝 Four-tier กรอก'!AL18&lt;&gt;'📝 Four-tier กรอก'!AL6,'📝 Four-tier กรอก'!AM18="N"),"❓ NoK","🤔 Partial")))))</f>
        <v/>
      </c>
      <c r="M16" s="68">
        <f>IF(OR('📝 Four-tier กรอก'!AN18="",'📝 Four-tier กรอก'!AP18=""),"—",IF(AND('📝 Four-tier กรอก'!AN18='📝 Four-tier กรอก'!AN6,'📝 Four-tier กรอก'!AO18="Y",'📝 Four-tier กรอก'!AP18='📝 Four-tier กรอก'!AP6,'📝 Four-tier กรอก'!AQ18="Y"),"✅ Sound",IF(AND('📝 Four-tier กรอก'!AN18='📝 Four-tier กรอก'!AN6,'📝 Four-tier กรอก'!AO18="Y",'📝 Four-tier กรอก'!AP18&lt;&gt;'📝 Four-tier กรอก'!AP6,'📝 Four-tier กรอก'!AQ18="Y"),"🎲 Guess",IF(AND('📝 Four-tier กรอก'!AN18&lt;&gt;'📝 Four-tier กรอก'!AN6,'📝 Four-tier กรอก'!AO18="Y",'📝 Four-tier กรอก'!AP18&lt;&gt;'📝 Four-tier กรอก'!AP6,'📝 Four-tier กรอก'!AQ18="Y"),"❌ Misc.",IF(AND('📝 Four-tier กรอก'!AN18&lt;&gt;'📝 Four-tier กรอก'!AN6,'📝 Four-tier กรอก'!AO18="N",'📝 Four-tier กรอก'!AP18&lt;&gt;'📝 Four-tier กรอก'!AP6,'📝 Four-tier กรอก'!AQ18="N"),"❓ NoK","🤔 Partial")))))</f>
        <v/>
      </c>
      <c r="N16" s="68">
        <f>IF(OR('📝 Four-tier กรอก'!AR18="",'📝 Four-tier กรอก'!AT18=""),"—",IF(AND('📝 Four-tier กรอก'!AR18='📝 Four-tier กรอก'!AR6,'📝 Four-tier กรอก'!AS18="Y",'📝 Four-tier กรอก'!AT18='📝 Four-tier กรอก'!AT6,'📝 Four-tier กรอก'!AU18="Y"),"✅ Sound",IF(AND('📝 Four-tier กรอก'!AR18='📝 Four-tier กรอก'!AR6,'📝 Four-tier กรอก'!AS18="Y",'📝 Four-tier กรอก'!AT18&lt;&gt;'📝 Four-tier กรอก'!AT6,'📝 Four-tier กรอก'!AU18="Y"),"🎲 Guess",IF(AND('📝 Four-tier กรอก'!AR18&lt;&gt;'📝 Four-tier กรอก'!AR6,'📝 Four-tier กรอก'!AS18="Y",'📝 Four-tier กรอก'!AT18&lt;&gt;'📝 Four-tier กรอก'!AT6,'📝 Four-tier กรอก'!AU18="Y"),"❌ Misc.",IF(AND('📝 Four-tier กรอก'!AR18&lt;&gt;'📝 Four-tier กรอก'!AR6,'📝 Four-tier กรอก'!AS18="N",'📝 Four-tier กรอก'!AT18&lt;&gt;'📝 Four-tier กรอก'!AT6,'📝 Four-tier กรอก'!AU18="N"),"❓ NoK","🤔 Partial")))))</f>
        <v/>
      </c>
      <c r="O16" s="68">
        <f>IF(OR('📝 Four-tier กรอก'!AV18="",'📝 Four-tier กรอก'!AX18=""),"—",IF(AND('📝 Four-tier กรอก'!AV18='📝 Four-tier กรอก'!AV6,'📝 Four-tier กรอก'!AW18="Y",'📝 Four-tier กรอก'!AX18='📝 Four-tier กรอก'!AX6,'📝 Four-tier กรอก'!AY18="Y"),"✅ Sound",IF(AND('📝 Four-tier กรอก'!AV18='📝 Four-tier กรอก'!AV6,'📝 Four-tier กรอก'!AW18="Y",'📝 Four-tier กรอก'!AX18&lt;&gt;'📝 Four-tier กรอก'!AX6,'📝 Four-tier กรอก'!AY18="Y"),"🎲 Guess",IF(AND('📝 Four-tier กรอก'!AV18&lt;&gt;'📝 Four-tier กรอก'!AV6,'📝 Four-tier กรอก'!AW18="Y",'📝 Four-tier กรอก'!AX18&lt;&gt;'📝 Four-tier กรอก'!AX6,'📝 Four-tier กรอก'!AY18="Y"),"❌ Misc.",IF(AND('📝 Four-tier กรอก'!AV18&lt;&gt;'📝 Four-tier กรอก'!AV6,'📝 Four-tier กรอก'!AW18="N",'📝 Four-tier กรอก'!AX18&lt;&gt;'📝 Four-tier กรอก'!AX6,'📝 Four-tier กรอก'!AY18="N"),"❓ NoK","🤔 Partial")))))</f>
        <v/>
      </c>
      <c r="P16" s="68">
        <f>IF(OR('📝 Four-tier กรอก'!AZ18="",'📝 Four-tier กรอก'!BB18=""),"—",IF(AND('📝 Four-tier กรอก'!AZ18='📝 Four-tier กรอก'!AZ6,'📝 Four-tier กรอก'!BA18="Y",'📝 Four-tier กรอก'!BB18='📝 Four-tier กรอก'!BB6,'📝 Four-tier กรอก'!BC18="Y"),"✅ Sound",IF(AND('📝 Four-tier กรอก'!AZ18='📝 Four-tier กรอก'!AZ6,'📝 Four-tier กรอก'!BA18="Y",'📝 Four-tier กรอก'!BB18&lt;&gt;'📝 Four-tier กรอก'!BB6,'📝 Four-tier กรอก'!BC18="Y"),"🎲 Guess",IF(AND('📝 Four-tier กรอก'!AZ18&lt;&gt;'📝 Four-tier กรอก'!AZ6,'📝 Four-tier กรอก'!BA18="Y",'📝 Four-tier กรอก'!BB18&lt;&gt;'📝 Four-tier กรอก'!BB6,'📝 Four-tier กรอก'!BC18="Y"),"❌ Misc.",IF(AND('📝 Four-tier กรอก'!AZ18&lt;&gt;'📝 Four-tier กรอก'!AZ6,'📝 Four-tier กรอก'!BA18="N",'📝 Four-tier กรอก'!BB18&lt;&gt;'📝 Four-tier กรอก'!BB6,'📝 Four-tier กรอก'!BC18="N"),"❓ NoK","🤔 Partial")))))</f>
        <v/>
      </c>
      <c r="Q16" s="68">
        <f>IF(OR('📝 Four-tier กรอก'!BD18="",'📝 Four-tier กรอก'!BF18=""),"—",IF(AND('📝 Four-tier กรอก'!BD18='📝 Four-tier กรอก'!BD6,'📝 Four-tier กรอก'!BE18="Y",'📝 Four-tier กรอก'!BF18='📝 Four-tier กรอก'!BF6,'📝 Four-tier กรอก'!BG18="Y"),"✅ Sound",IF(AND('📝 Four-tier กรอก'!BD18='📝 Four-tier กรอก'!BD6,'📝 Four-tier กรอก'!BE18="Y",'📝 Four-tier กรอก'!BF18&lt;&gt;'📝 Four-tier กรอก'!BF6,'📝 Four-tier กรอก'!BG18="Y"),"🎲 Guess",IF(AND('📝 Four-tier กรอก'!BD18&lt;&gt;'📝 Four-tier กรอก'!BD6,'📝 Four-tier กรอก'!BE18="Y",'📝 Four-tier กรอก'!BF18&lt;&gt;'📝 Four-tier กรอก'!BF6,'📝 Four-tier กรอก'!BG18="Y"),"❌ Misc.",IF(AND('📝 Four-tier กรอก'!BD18&lt;&gt;'📝 Four-tier กรอก'!BD6,'📝 Four-tier กรอก'!BE18="N",'📝 Four-tier กรอก'!BF18&lt;&gt;'📝 Four-tier กรอก'!BF6,'📝 Four-tier กรอก'!BG18="N"),"❓ NoK","🤔 Partial")))))</f>
        <v/>
      </c>
      <c r="R16" s="68">
        <f>IF(OR('📝 Four-tier กรอก'!BH18="",'📝 Four-tier กรอก'!BJ18=""),"—",IF(AND('📝 Four-tier กรอก'!BH18='📝 Four-tier กรอก'!BH6,'📝 Four-tier กรอก'!BI18="Y",'📝 Four-tier กรอก'!BJ18='📝 Four-tier กรอก'!BJ6,'📝 Four-tier กรอก'!BK18="Y"),"✅ Sound",IF(AND('📝 Four-tier กรอก'!BH18='📝 Four-tier กรอก'!BH6,'📝 Four-tier กรอก'!BI18="Y",'📝 Four-tier กรอก'!BJ18&lt;&gt;'📝 Four-tier กรอก'!BJ6,'📝 Four-tier กรอก'!BK18="Y"),"🎲 Guess",IF(AND('📝 Four-tier กรอก'!BH18&lt;&gt;'📝 Four-tier กรอก'!BH6,'📝 Four-tier กรอก'!BI18="Y",'📝 Four-tier กรอก'!BJ18&lt;&gt;'📝 Four-tier กรอก'!BJ6,'📝 Four-tier กรอก'!BK18="Y"),"❌ Misc.",IF(AND('📝 Four-tier กรอก'!BH18&lt;&gt;'📝 Four-tier กรอก'!BH6,'📝 Four-tier กรอก'!BI18="N",'📝 Four-tier กรอก'!BJ18&lt;&gt;'📝 Four-tier กรอก'!BJ6,'📝 Four-tier กรอก'!BK18="N"),"❓ NoK","🤔 Partial")))))</f>
        <v/>
      </c>
      <c r="S16" s="68">
        <f>IF(OR('📝 Four-tier กรอก'!BL18="",'📝 Four-tier กรอก'!BN18=""),"—",IF(AND('📝 Four-tier กรอก'!BL18='📝 Four-tier กรอก'!BL6,'📝 Four-tier กรอก'!BM18="Y",'📝 Four-tier กรอก'!BN18='📝 Four-tier กรอก'!BN6,'📝 Four-tier กรอก'!BO18="Y"),"✅ Sound",IF(AND('📝 Four-tier กรอก'!BL18='📝 Four-tier กรอก'!BL6,'📝 Four-tier กรอก'!BM18="Y",'📝 Four-tier กรอก'!BN18&lt;&gt;'📝 Four-tier กรอก'!BN6,'📝 Four-tier กรอก'!BO18="Y"),"🎲 Guess",IF(AND('📝 Four-tier กรอก'!BL18&lt;&gt;'📝 Four-tier กรอก'!BL6,'📝 Four-tier กรอก'!BM18="Y",'📝 Four-tier กรอก'!BN18&lt;&gt;'📝 Four-tier กรอก'!BN6,'📝 Four-tier กรอก'!BO18="Y"),"❌ Misc.",IF(AND('📝 Four-tier กรอก'!BL18&lt;&gt;'📝 Four-tier กรอก'!BL6,'📝 Four-tier กรอก'!BM18="N",'📝 Four-tier กรอก'!BN18&lt;&gt;'📝 Four-tier กรอก'!BN6,'📝 Four-tier กรอก'!BO18="N"),"❓ NoK","🤔 Partial")))))</f>
        <v/>
      </c>
      <c r="T16" s="68">
        <f>IF(OR('📝 Four-tier กรอก'!BP18="",'📝 Four-tier กรอก'!BR18=""),"—",IF(AND('📝 Four-tier กรอก'!BP18='📝 Four-tier กรอก'!BP6,'📝 Four-tier กรอก'!BQ18="Y",'📝 Four-tier กรอก'!BR18='📝 Four-tier กรอก'!BR6,'📝 Four-tier กรอก'!BS18="Y"),"✅ Sound",IF(AND('📝 Four-tier กรอก'!BP18='📝 Four-tier กรอก'!BP6,'📝 Four-tier กรอก'!BQ18="Y",'📝 Four-tier กรอก'!BR18&lt;&gt;'📝 Four-tier กรอก'!BR6,'📝 Four-tier กรอก'!BS18="Y"),"🎲 Guess",IF(AND('📝 Four-tier กรอก'!BP18&lt;&gt;'📝 Four-tier กรอก'!BP6,'📝 Four-tier กรอก'!BQ18="Y",'📝 Four-tier กรอก'!BR18&lt;&gt;'📝 Four-tier กรอก'!BR6,'📝 Four-tier กรอก'!BS18="Y"),"❌ Misc.",IF(AND('📝 Four-tier กรอก'!BP18&lt;&gt;'📝 Four-tier กรอก'!BP6,'📝 Four-tier กรอก'!BQ18="N",'📝 Four-tier กรอก'!BR18&lt;&gt;'📝 Four-tier กรอก'!BR6,'📝 Four-tier กรอก'!BS18="N"),"❓ NoK","🤔 Partial")))))</f>
        <v/>
      </c>
      <c r="U16" s="68">
        <f>IF(OR('📝 Four-tier กรอก'!BT18="",'📝 Four-tier กรอก'!BV18=""),"—",IF(AND('📝 Four-tier กรอก'!BT18='📝 Four-tier กรอก'!BT6,'📝 Four-tier กรอก'!BU18="Y",'📝 Four-tier กรอก'!BV18='📝 Four-tier กรอก'!BV6,'📝 Four-tier กรอก'!BW18="Y"),"✅ Sound",IF(AND('📝 Four-tier กรอก'!BT18='📝 Four-tier กรอก'!BT6,'📝 Four-tier กรอก'!BU18="Y",'📝 Four-tier กรอก'!BV18&lt;&gt;'📝 Four-tier กรอก'!BV6,'📝 Four-tier กรอก'!BW18="Y"),"🎲 Guess",IF(AND('📝 Four-tier กรอก'!BT18&lt;&gt;'📝 Four-tier กรอก'!BT6,'📝 Four-tier กรอก'!BU18="Y",'📝 Four-tier กรอก'!BV18&lt;&gt;'📝 Four-tier กรอก'!BV6,'📝 Four-tier กรอก'!BW18="Y"),"❌ Misc.",IF(AND('📝 Four-tier กรอก'!BT18&lt;&gt;'📝 Four-tier กรอก'!BT6,'📝 Four-tier กรอก'!BU18="N",'📝 Four-tier กรอก'!BV18&lt;&gt;'📝 Four-tier กรอก'!BV6,'📝 Four-tier กรอก'!BW18="N"),"❓ NoK","🤔 Partial")))))</f>
        <v/>
      </c>
      <c r="V16" s="68">
        <f>IF(OR('📝 Four-tier กรอก'!BX18="",'📝 Four-tier กรอก'!BZ18=""),"—",IF(AND('📝 Four-tier กรอก'!BX18='📝 Four-tier กรอก'!BX6,'📝 Four-tier กรอก'!BY18="Y",'📝 Four-tier กรอก'!BZ18='📝 Four-tier กรอก'!BZ6,'📝 Four-tier กรอก'!CA18="Y"),"✅ Sound",IF(AND('📝 Four-tier กรอก'!BX18='📝 Four-tier กรอก'!BX6,'📝 Four-tier กรอก'!BY18="Y",'📝 Four-tier กรอก'!BZ18&lt;&gt;'📝 Four-tier กรอก'!BZ6,'📝 Four-tier กรอก'!CA18="Y"),"🎲 Guess",IF(AND('📝 Four-tier กรอก'!BX18&lt;&gt;'📝 Four-tier กรอก'!BX6,'📝 Four-tier กรอก'!BY18="Y",'📝 Four-tier กรอก'!BZ18&lt;&gt;'📝 Four-tier กรอก'!BZ6,'📝 Four-tier กรอก'!CA18="Y"),"❌ Misc.",IF(AND('📝 Four-tier กรอก'!BX18&lt;&gt;'📝 Four-tier กรอก'!BX6,'📝 Four-tier กรอก'!BY18="N",'📝 Four-tier กรอก'!BZ18&lt;&gt;'📝 Four-tier กรอก'!BZ6,'📝 Four-tier กรอก'!CA18="N"),"❓ NoK","🤔 Partial")))))</f>
        <v/>
      </c>
      <c r="W16" s="68">
        <f>IF(OR('📝 Four-tier กรอก'!CB18="",'📝 Four-tier กรอก'!CD18=""),"—",IF(AND('📝 Four-tier กรอก'!CB18='📝 Four-tier กรอก'!CB6,'📝 Four-tier กรอก'!CC18="Y",'📝 Four-tier กรอก'!CD18='📝 Four-tier กรอก'!CD6,'📝 Four-tier กรอก'!CE18="Y"),"✅ Sound",IF(AND('📝 Four-tier กรอก'!CB18='📝 Four-tier กรอก'!CB6,'📝 Four-tier กรอก'!CC18="Y",'📝 Four-tier กรอก'!CD18&lt;&gt;'📝 Four-tier กรอก'!CD6,'📝 Four-tier กรอก'!CE18="Y"),"🎲 Guess",IF(AND('📝 Four-tier กรอก'!CB18&lt;&gt;'📝 Four-tier กรอก'!CB6,'📝 Four-tier กรอก'!CC18="Y",'📝 Four-tier กรอก'!CD18&lt;&gt;'📝 Four-tier กรอก'!CD6,'📝 Four-tier กรอก'!CE18="Y"),"❌ Misc.",IF(AND('📝 Four-tier กรอก'!CB18&lt;&gt;'📝 Four-tier กรอก'!CB6,'📝 Four-tier กรอก'!CC18="N",'📝 Four-tier กรอก'!CD18&lt;&gt;'📝 Four-tier กรอก'!CD6,'📝 Four-tier กรอก'!CE18="N"),"❓ NoK","🤔 Partial")))))</f>
        <v/>
      </c>
      <c r="X16" s="37">
        <f>COUNTIF(D16:W16,"✅ Sound")</f>
        <v/>
      </c>
      <c r="Y16" s="37">
        <f>COUNTIF(D16:W16,"❌ Misc.")</f>
        <v/>
      </c>
      <c r="Z16" s="37">
        <f>COUNTIF(D16:W16,"🎲 Guess")</f>
        <v/>
      </c>
      <c r="AA16" s="37">
        <f>COUNTIF(D16:W16,"❓ NoK")</f>
        <v/>
      </c>
    </row>
    <row r="17" ht="18" customHeight="1">
      <c r="B17" s="46">
        <f>'📝 Four-tier กรอก'!B19</f>
        <v/>
      </c>
      <c r="C17" s="47">
        <f>'📝 Four-tier กรอก'!C19</f>
        <v/>
      </c>
      <c r="D17" s="67">
        <f>IF(OR('📝 Four-tier กรอก'!D19="",'📝 Four-tier กรอก'!F19=""),"—",IF(AND('📝 Four-tier กรอก'!D19='📝 Four-tier กรอก'!D6,'📝 Four-tier กรอก'!E19="Y",'📝 Four-tier กรอก'!F19='📝 Four-tier กรอก'!F6,'📝 Four-tier กรอก'!G19="Y"),"✅ Sound",IF(AND('📝 Four-tier กรอก'!D19='📝 Four-tier กรอก'!D6,'📝 Four-tier กรอก'!E19="Y",'📝 Four-tier กรอก'!F19&lt;&gt;'📝 Four-tier กรอก'!F6,'📝 Four-tier กรอก'!G19="Y"),"🎲 Guess",IF(AND('📝 Four-tier กรอก'!D19&lt;&gt;'📝 Four-tier กรอก'!D6,'📝 Four-tier กรอก'!E19="Y",'📝 Four-tier กรอก'!F19&lt;&gt;'📝 Four-tier กรอก'!F6,'📝 Four-tier กรอก'!G19="Y"),"❌ Misc.",IF(AND('📝 Four-tier กรอก'!D19&lt;&gt;'📝 Four-tier กรอก'!D6,'📝 Four-tier กรอก'!E19="N",'📝 Four-tier กรอก'!F19&lt;&gt;'📝 Four-tier กรอก'!F6,'📝 Four-tier กรอก'!G19="N"),"❓ NoK","🤔 Partial")))))</f>
        <v/>
      </c>
      <c r="E17" s="67">
        <f>IF(OR('📝 Four-tier กรอก'!H19="",'📝 Four-tier กรอก'!J19=""),"—",IF(AND('📝 Four-tier กรอก'!H19='📝 Four-tier กรอก'!H6,'📝 Four-tier กรอก'!I19="Y",'📝 Four-tier กรอก'!J19='📝 Four-tier กรอก'!J6,'📝 Four-tier กรอก'!K19="Y"),"✅ Sound",IF(AND('📝 Four-tier กรอก'!H19='📝 Four-tier กรอก'!H6,'📝 Four-tier กรอก'!I19="Y",'📝 Four-tier กรอก'!J19&lt;&gt;'📝 Four-tier กรอก'!J6,'📝 Four-tier กรอก'!K19="Y"),"🎲 Guess",IF(AND('📝 Four-tier กรอก'!H19&lt;&gt;'📝 Four-tier กรอก'!H6,'📝 Four-tier กรอก'!I19="Y",'📝 Four-tier กรอก'!J19&lt;&gt;'📝 Four-tier กรอก'!J6,'📝 Four-tier กรอก'!K19="Y"),"❌ Misc.",IF(AND('📝 Four-tier กรอก'!H19&lt;&gt;'📝 Four-tier กรอก'!H6,'📝 Four-tier กรอก'!I19="N",'📝 Four-tier กรอก'!J19&lt;&gt;'📝 Four-tier กรอก'!J6,'📝 Four-tier กรอก'!K19="N"),"❓ NoK","🤔 Partial")))))</f>
        <v/>
      </c>
      <c r="F17" s="67">
        <f>IF(OR('📝 Four-tier กรอก'!L19="",'📝 Four-tier กรอก'!N19=""),"—",IF(AND('📝 Four-tier กรอก'!L19='📝 Four-tier กรอก'!L6,'📝 Four-tier กรอก'!M19="Y",'📝 Four-tier กรอก'!N19='📝 Four-tier กรอก'!N6,'📝 Four-tier กรอก'!O19="Y"),"✅ Sound",IF(AND('📝 Four-tier กรอก'!L19='📝 Four-tier กรอก'!L6,'📝 Four-tier กรอก'!M19="Y",'📝 Four-tier กรอก'!N19&lt;&gt;'📝 Four-tier กรอก'!N6,'📝 Four-tier กรอก'!O19="Y"),"🎲 Guess",IF(AND('📝 Four-tier กรอก'!L19&lt;&gt;'📝 Four-tier กรอก'!L6,'📝 Four-tier กรอก'!M19="Y",'📝 Four-tier กรอก'!N19&lt;&gt;'📝 Four-tier กรอก'!N6,'📝 Four-tier กรอก'!O19="Y"),"❌ Misc.",IF(AND('📝 Four-tier กรอก'!L19&lt;&gt;'📝 Four-tier กรอก'!L6,'📝 Four-tier กรอก'!M19="N",'📝 Four-tier กรอก'!N19&lt;&gt;'📝 Four-tier กรอก'!N6,'📝 Four-tier กรอก'!O19="N"),"❓ NoK","🤔 Partial")))))</f>
        <v/>
      </c>
      <c r="G17" s="67">
        <f>IF(OR('📝 Four-tier กรอก'!P19="",'📝 Four-tier กรอก'!R19=""),"—",IF(AND('📝 Four-tier กรอก'!P19='📝 Four-tier กรอก'!P6,'📝 Four-tier กรอก'!Q19="Y",'📝 Four-tier กรอก'!R19='📝 Four-tier กรอก'!R6,'📝 Four-tier กรอก'!S19="Y"),"✅ Sound",IF(AND('📝 Four-tier กรอก'!P19='📝 Four-tier กรอก'!P6,'📝 Four-tier กรอก'!Q19="Y",'📝 Four-tier กรอก'!R19&lt;&gt;'📝 Four-tier กรอก'!R6,'📝 Four-tier กรอก'!S19="Y"),"🎲 Guess",IF(AND('📝 Four-tier กรอก'!P19&lt;&gt;'📝 Four-tier กรอก'!P6,'📝 Four-tier กรอก'!Q19="Y",'📝 Four-tier กรอก'!R19&lt;&gt;'📝 Four-tier กรอก'!R6,'📝 Four-tier กรอก'!S19="Y"),"❌ Misc.",IF(AND('📝 Four-tier กรอก'!P19&lt;&gt;'📝 Four-tier กรอก'!P6,'📝 Four-tier กรอก'!Q19="N",'📝 Four-tier กรอก'!R19&lt;&gt;'📝 Four-tier กรอก'!R6,'📝 Four-tier กรอก'!S19="N"),"❓ NoK","🤔 Partial")))))</f>
        <v/>
      </c>
      <c r="H17" s="67">
        <f>IF(OR('📝 Four-tier กรอก'!T19="",'📝 Four-tier กรอก'!V19=""),"—",IF(AND('📝 Four-tier กรอก'!T19='📝 Four-tier กรอก'!T6,'📝 Four-tier กรอก'!U19="Y",'📝 Four-tier กรอก'!V19='📝 Four-tier กรอก'!V6,'📝 Four-tier กรอก'!W19="Y"),"✅ Sound",IF(AND('📝 Four-tier กรอก'!T19='📝 Four-tier กรอก'!T6,'📝 Four-tier กรอก'!U19="Y",'📝 Four-tier กรอก'!V19&lt;&gt;'📝 Four-tier กรอก'!V6,'📝 Four-tier กรอก'!W19="Y"),"🎲 Guess",IF(AND('📝 Four-tier กรอก'!T19&lt;&gt;'📝 Four-tier กรอก'!T6,'📝 Four-tier กรอก'!U19="Y",'📝 Four-tier กรอก'!V19&lt;&gt;'📝 Four-tier กรอก'!V6,'📝 Four-tier กรอก'!W19="Y"),"❌ Misc.",IF(AND('📝 Four-tier กรอก'!T19&lt;&gt;'📝 Four-tier กรอก'!T6,'📝 Four-tier กรอก'!U19="N",'📝 Four-tier กรอก'!V19&lt;&gt;'📝 Four-tier กรอก'!V6,'📝 Four-tier กรอก'!W19="N"),"❓ NoK","🤔 Partial")))))</f>
        <v/>
      </c>
      <c r="I17" s="67">
        <f>IF(OR('📝 Four-tier กรอก'!X19="",'📝 Four-tier กรอก'!Z19=""),"—",IF(AND('📝 Four-tier กรอก'!X19='📝 Four-tier กรอก'!X6,'📝 Four-tier กรอก'!Y19="Y",'📝 Four-tier กรอก'!Z19='📝 Four-tier กรอก'!Z6,'📝 Four-tier กรอก'!AA19="Y"),"✅ Sound",IF(AND('📝 Four-tier กรอก'!X19='📝 Four-tier กรอก'!X6,'📝 Four-tier กรอก'!Y19="Y",'📝 Four-tier กรอก'!Z19&lt;&gt;'📝 Four-tier กรอก'!Z6,'📝 Four-tier กรอก'!AA19="Y"),"🎲 Guess",IF(AND('📝 Four-tier กรอก'!X19&lt;&gt;'📝 Four-tier กรอก'!X6,'📝 Four-tier กรอก'!Y19="Y",'📝 Four-tier กรอก'!Z19&lt;&gt;'📝 Four-tier กรอก'!Z6,'📝 Four-tier กรอก'!AA19="Y"),"❌ Misc.",IF(AND('📝 Four-tier กรอก'!X19&lt;&gt;'📝 Four-tier กรอก'!X6,'📝 Four-tier กรอก'!Y19="N",'📝 Four-tier กรอก'!Z19&lt;&gt;'📝 Four-tier กรอก'!Z6,'📝 Four-tier กรอก'!AA19="N"),"❓ NoK","🤔 Partial")))))</f>
        <v/>
      </c>
      <c r="J17" s="67">
        <f>IF(OR('📝 Four-tier กรอก'!AB19="",'📝 Four-tier กรอก'!AD19=""),"—",IF(AND('📝 Four-tier กรอก'!AB19='📝 Four-tier กรอก'!AB6,'📝 Four-tier กรอก'!AC19="Y",'📝 Four-tier กรอก'!AD19='📝 Four-tier กรอก'!AD6,'📝 Four-tier กรอก'!AE19="Y"),"✅ Sound",IF(AND('📝 Four-tier กรอก'!AB19='📝 Four-tier กรอก'!AB6,'📝 Four-tier กรอก'!AC19="Y",'📝 Four-tier กรอก'!AD19&lt;&gt;'📝 Four-tier กรอก'!AD6,'📝 Four-tier กรอก'!AE19="Y"),"🎲 Guess",IF(AND('📝 Four-tier กรอก'!AB19&lt;&gt;'📝 Four-tier กรอก'!AB6,'📝 Four-tier กรอก'!AC19="Y",'📝 Four-tier กรอก'!AD19&lt;&gt;'📝 Four-tier กรอก'!AD6,'📝 Four-tier กรอก'!AE19="Y"),"❌ Misc.",IF(AND('📝 Four-tier กรอก'!AB19&lt;&gt;'📝 Four-tier กรอก'!AB6,'📝 Four-tier กรอก'!AC19="N",'📝 Four-tier กรอก'!AD19&lt;&gt;'📝 Four-tier กรอก'!AD6,'📝 Four-tier กรอก'!AE19="N"),"❓ NoK","🤔 Partial")))))</f>
        <v/>
      </c>
      <c r="K17" s="67">
        <f>IF(OR('📝 Four-tier กรอก'!AF19="",'📝 Four-tier กรอก'!AH19=""),"—",IF(AND('📝 Four-tier กรอก'!AF19='📝 Four-tier กรอก'!AF6,'📝 Four-tier กรอก'!AG19="Y",'📝 Four-tier กรอก'!AH19='📝 Four-tier กรอก'!AH6,'📝 Four-tier กรอก'!AI19="Y"),"✅ Sound",IF(AND('📝 Four-tier กรอก'!AF19='📝 Four-tier กรอก'!AF6,'📝 Four-tier กรอก'!AG19="Y",'📝 Four-tier กรอก'!AH19&lt;&gt;'📝 Four-tier กรอก'!AH6,'📝 Four-tier กรอก'!AI19="Y"),"🎲 Guess",IF(AND('📝 Four-tier กรอก'!AF19&lt;&gt;'📝 Four-tier กรอก'!AF6,'📝 Four-tier กรอก'!AG19="Y",'📝 Four-tier กรอก'!AH19&lt;&gt;'📝 Four-tier กรอก'!AH6,'📝 Four-tier กรอก'!AI19="Y"),"❌ Misc.",IF(AND('📝 Four-tier กรอก'!AF19&lt;&gt;'📝 Four-tier กรอก'!AF6,'📝 Four-tier กรอก'!AG19="N",'📝 Four-tier กรอก'!AH19&lt;&gt;'📝 Four-tier กรอก'!AH6,'📝 Four-tier กรอก'!AI19="N"),"❓ NoK","🤔 Partial")))))</f>
        <v/>
      </c>
      <c r="L17" s="67">
        <f>IF(OR('📝 Four-tier กรอก'!AJ19="",'📝 Four-tier กรอก'!AL19=""),"—",IF(AND('📝 Four-tier กรอก'!AJ19='📝 Four-tier กรอก'!AJ6,'📝 Four-tier กรอก'!AK19="Y",'📝 Four-tier กรอก'!AL19='📝 Four-tier กรอก'!AL6,'📝 Four-tier กรอก'!AM19="Y"),"✅ Sound",IF(AND('📝 Four-tier กรอก'!AJ19='📝 Four-tier กรอก'!AJ6,'📝 Four-tier กรอก'!AK19="Y",'📝 Four-tier กรอก'!AL19&lt;&gt;'📝 Four-tier กรอก'!AL6,'📝 Four-tier กรอก'!AM19="Y"),"🎲 Guess",IF(AND('📝 Four-tier กรอก'!AJ19&lt;&gt;'📝 Four-tier กรอก'!AJ6,'📝 Four-tier กรอก'!AK19="Y",'📝 Four-tier กรอก'!AL19&lt;&gt;'📝 Four-tier กรอก'!AL6,'📝 Four-tier กรอก'!AM19="Y"),"❌ Misc.",IF(AND('📝 Four-tier กรอก'!AJ19&lt;&gt;'📝 Four-tier กรอก'!AJ6,'📝 Four-tier กรอก'!AK19="N",'📝 Four-tier กรอก'!AL19&lt;&gt;'📝 Four-tier กรอก'!AL6,'📝 Four-tier กรอก'!AM19="N"),"❓ NoK","🤔 Partial")))))</f>
        <v/>
      </c>
      <c r="M17" s="67">
        <f>IF(OR('📝 Four-tier กรอก'!AN19="",'📝 Four-tier กรอก'!AP19=""),"—",IF(AND('📝 Four-tier กรอก'!AN19='📝 Four-tier กรอก'!AN6,'📝 Four-tier กรอก'!AO19="Y",'📝 Four-tier กรอก'!AP19='📝 Four-tier กรอก'!AP6,'📝 Four-tier กรอก'!AQ19="Y"),"✅ Sound",IF(AND('📝 Four-tier กรอก'!AN19='📝 Four-tier กรอก'!AN6,'📝 Four-tier กรอก'!AO19="Y",'📝 Four-tier กรอก'!AP19&lt;&gt;'📝 Four-tier กรอก'!AP6,'📝 Four-tier กรอก'!AQ19="Y"),"🎲 Guess",IF(AND('📝 Four-tier กรอก'!AN19&lt;&gt;'📝 Four-tier กรอก'!AN6,'📝 Four-tier กรอก'!AO19="Y",'📝 Four-tier กรอก'!AP19&lt;&gt;'📝 Four-tier กรอก'!AP6,'📝 Four-tier กรอก'!AQ19="Y"),"❌ Misc.",IF(AND('📝 Four-tier กรอก'!AN19&lt;&gt;'📝 Four-tier กรอก'!AN6,'📝 Four-tier กรอก'!AO19="N",'📝 Four-tier กรอก'!AP19&lt;&gt;'📝 Four-tier กรอก'!AP6,'📝 Four-tier กรอก'!AQ19="N"),"❓ NoK","🤔 Partial")))))</f>
        <v/>
      </c>
      <c r="N17" s="67">
        <f>IF(OR('📝 Four-tier กรอก'!AR19="",'📝 Four-tier กรอก'!AT19=""),"—",IF(AND('📝 Four-tier กรอก'!AR19='📝 Four-tier กรอก'!AR6,'📝 Four-tier กรอก'!AS19="Y",'📝 Four-tier กรอก'!AT19='📝 Four-tier กรอก'!AT6,'📝 Four-tier กรอก'!AU19="Y"),"✅ Sound",IF(AND('📝 Four-tier กรอก'!AR19='📝 Four-tier กรอก'!AR6,'📝 Four-tier กรอก'!AS19="Y",'📝 Four-tier กรอก'!AT19&lt;&gt;'📝 Four-tier กรอก'!AT6,'📝 Four-tier กรอก'!AU19="Y"),"🎲 Guess",IF(AND('📝 Four-tier กรอก'!AR19&lt;&gt;'📝 Four-tier กรอก'!AR6,'📝 Four-tier กรอก'!AS19="Y",'📝 Four-tier กรอก'!AT19&lt;&gt;'📝 Four-tier กรอก'!AT6,'📝 Four-tier กรอก'!AU19="Y"),"❌ Misc.",IF(AND('📝 Four-tier กรอก'!AR19&lt;&gt;'📝 Four-tier กรอก'!AR6,'📝 Four-tier กรอก'!AS19="N",'📝 Four-tier กรอก'!AT19&lt;&gt;'📝 Four-tier กรอก'!AT6,'📝 Four-tier กรอก'!AU19="N"),"❓ NoK","🤔 Partial")))))</f>
        <v/>
      </c>
      <c r="O17" s="67">
        <f>IF(OR('📝 Four-tier กรอก'!AV19="",'📝 Four-tier กรอก'!AX19=""),"—",IF(AND('📝 Four-tier กรอก'!AV19='📝 Four-tier กรอก'!AV6,'📝 Four-tier กรอก'!AW19="Y",'📝 Four-tier กรอก'!AX19='📝 Four-tier กรอก'!AX6,'📝 Four-tier กรอก'!AY19="Y"),"✅ Sound",IF(AND('📝 Four-tier กรอก'!AV19='📝 Four-tier กรอก'!AV6,'📝 Four-tier กรอก'!AW19="Y",'📝 Four-tier กรอก'!AX19&lt;&gt;'📝 Four-tier กรอก'!AX6,'📝 Four-tier กรอก'!AY19="Y"),"🎲 Guess",IF(AND('📝 Four-tier กรอก'!AV19&lt;&gt;'📝 Four-tier กรอก'!AV6,'📝 Four-tier กรอก'!AW19="Y",'📝 Four-tier กรอก'!AX19&lt;&gt;'📝 Four-tier กรอก'!AX6,'📝 Four-tier กรอก'!AY19="Y"),"❌ Misc.",IF(AND('📝 Four-tier กรอก'!AV19&lt;&gt;'📝 Four-tier กรอก'!AV6,'📝 Four-tier กรอก'!AW19="N",'📝 Four-tier กรอก'!AX19&lt;&gt;'📝 Four-tier กรอก'!AX6,'📝 Four-tier กรอก'!AY19="N"),"❓ NoK","🤔 Partial")))))</f>
        <v/>
      </c>
      <c r="P17" s="67">
        <f>IF(OR('📝 Four-tier กรอก'!AZ19="",'📝 Four-tier กรอก'!BB19=""),"—",IF(AND('📝 Four-tier กรอก'!AZ19='📝 Four-tier กรอก'!AZ6,'📝 Four-tier กรอก'!BA19="Y",'📝 Four-tier กรอก'!BB19='📝 Four-tier กรอก'!BB6,'📝 Four-tier กรอก'!BC19="Y"),"✅ Sound",IF(AND('📝 Four-tier กรอก'!AZ19='📝 Four-tier กรอก'!AZ6,'📝 Four-tier กรอก'!BA19="Y",'📝 Four-tier กรอก'!BB19&lt;&gt;'📝 Four-tier กรอก'!BB6,'📝 Four-tier กรอก'!BC19="Y"),"🎲 Guess",IF(AND('📝 Four-tier กรอก'!AZ19&lt;&gt;'📝 Four-tier กรอก'!AZ6,'📝 Four-tier กรอก'!BA19="Y",'📝 Four-tier กรอก'!BB19&lt;&gt;'📝 Four-tier กรอก'!BB6,'📝 Four-tier กรอก'!BC19="Y"),"❌ Misc.",IF(AND('📝 Four-tier กรอก'!AZ19&lt;&gt;'📝 Four-tier กรอก'!AZ6,'📝 Four-tier กรอก'!BA19="N",'📝 Four-tier กรอก'!BB19&lt;&gt;'📝 Four-tier กรอก'!BB6,'📝 Four-tier กรอก'!BC19="N"),"❓ NoK","🤔 Partial")))))</f>
        <v/>
      </c>
      <c r="Q17" s="67">
        <f>IF(OR('📝 Four-tier กรอก'!BD19="",'📝 Four-tier กรอก'!BF19=""),"—",IF(AND('📝 Four-tier กรอก'!BD19='📝 Four-tier กรอก'!BD6,'📝 Four-tier กรอก'!BE19="Y",'📝 Four-tier กรอก'!BF19='📝 Four-tier กรอก'!BF6,'📝 Four-tier กรอก'!BG19="Y"),"✅ Sound",IF(AND('📝 Four-tier กรอก'!BD19='📝 Four-tier กรอก'!BD6,'📝 Four-tier กรอก'!BE19="Y",'📝 Four-tier กรอก'!BF19&lt;&gt;'📝 Four-tier กรอก'!BF6,'📝 Four-tier กรอก'!BG19="Y"),"🎲 Guess",IF(AND('📝 Four-tier กรอก'!BD19&lt;&gt;'📝 Four-tier กรอก'!BD6,'📝 Four-tier กรอก'!BE19="Y",'📝 Four-tier กรอก'!BF19&lt;&gt;'📝 Four-tier กรอก'!BF6,'📝 Four-tier กรอก'!BG19="Y"),"❌ Misc.",IF(AND('📝 Four-tier กรอก'!BD19&lt;&gt;'📝 Four-tier กรอก'!BD6,'📝 Four-tier กรอก'!BE19="N",'📝 Four-tier กรอก'!BF19&lt;&gt;'📝 Four-tier กรอก'!BF6,'📝 Four-tier กรอก'!BG19="N"),"❓ NoK","🤔 Partial")))))</f>
        <v/>
      </c>
      <c r="R17" s="67">
        <f>IF(OR('📝 Four-tier กรอก'!BH19="",'📝 Four-tier กรอก'!BJ19=""),"—",IF(AND('📝 Four-tier กรอก'!BH19='📝 Four-tier กรอก'!BH6,'📝 Four-tier กรอก'!BI19="Y",'📝 Four-tier กรอก'!BJ19='📝 Four-tier กรอก'!BJ6,'📝 Four-tier กรอก'!BK19="Y"),"✅ Sound",IF(AND('📝 Four-tier กรอก'!BH19='📝 Four-tier กรอก'!BH6,'📝 Four-tier กรอก'!BI19="Y",'📝 Four-tier กรอก'!BJ19&lt;&gt;'📝 Four-tier กรอก'!BJ6,'📝 Four-tier กรอก'!BK19="Y"),"🎲 Guess",IF(AND('📝 Four-tier กรอก'!BH19&lt;&gt;'📝 Four-tier กรอก'!BH6,'📝 Four-tier กรอก'!BI19="Y",'📝 Four-tier กรอก'!BJ19&lt;&gt;'📝 Four-tier กรอก'!BJ6,'📝 Four-tier กรอก'!BK19="Y"),"❌ Misc.",IF(AND('📝 Four-tier กรอก'!BH19&lt;&gt;'📝 Four-tier กรอก'!BH6,'📝 Four-tier กรอก'!BI19="N",'📝 Four-tier กรอก'!BJ19&lt;&gt;'📝 Four-tier กรอก'!BJ6,'📝 Four-tier กรอก'!BK19="N"),"❓ NoK","🤔 Partial")))))</f>
        <v/>
      </c>
      <c r="S17" s="67">
        <f>IF(OR('📝 Four-tier กรอก'!BL19="",'📝 Four-tier กรอก'!BN19=""),"—",IF(AND('📝 Four-tier กรอก'!BL19='📝 Four-tier กรอก'!BL6,'📝 Four-tier กรอก'!BM19="Y",'📝 Four-tier กรอก'!BN19='📝 Four-tier กรอก'!BN6,'📝 Four-tier กรอก'!BO19="Y"),"✅ Sound",IF(AND('📝 Four-tier กรอก'!BL19='📝 Four-tier กรอก'!BL6,'📝 Four-tier กรอก'!BM19="Y",'📝 Four-tier กรอก'!BN19&lt;&gt;'📝 Four-tier กรอก'!BN6,'📝 Four-tier กรอก'!BO19="Y"),"🎲 Guess",IF(AND('📝 Four-tier กรอก'!BL19&lt;&gt;'📝 Four-tier กรอก'!BL6,'📝 Four-tier กรอก'!BM19="Y",'📝 Four-tier กรอก'!BN19&lt;&gt;'📝 Four-tier กรอก'!BN6,'📝 Four-tier กรอก'!BO19="Y"),"❌ Misc.",IF(AND('📝 Four-tier กรอก'!BL19&lt;&gt;'📝 Four-tier กรอก'!BL6,'📝 Four-tier กรอก'!BM19="N",'📝 Four-tier กรอก'!BN19&lt;&gt;'📝 Four-tier กรอก'!BN6,'📝 Four-tier กรอก'!BO19="N"),"❓ NoK","🤔 Partial")))))</f>
        <v/>
      </c>
      <c r="T17" s="67">
        <f>IF(OR('📝 Four-tier กรอก'!BP19="",'📝 Four-tier กรอก'!BR19=""),"—",IF(AND('📝 Four-tier กรอก'!BP19='📝 Four-tier กรอก'!BP6,'📝 Four-tier กรอก'!BQ19="Y",'📝 Four-tier กรอก'!BR19='📝 Four-tier กรอก'!BR6,'📝 Four-tier กรอก'!BS19="Y"),"✅ Sound",IF(AND('📝 Four-tier กรอก'!BP19='📝 Four-tier กรอก'!BP6,'📝 Four-tier กรอก'!BQ19="Y",'📝 Four-tier กรอก'!BR19&lt;&gt;'📝 Four-tier กรอก'!BR6,'📝 Four-tier กรอก'!BS19="Y"),"🎲 Guess",IF(AND('📝 Four-tier กรอก'!BP19&lt;&gt;'📝 Four-tier กรอก'!BP6,'📝 Four-tier กรอก'!BQ19="Y",'📝 Four-tier กรอก'!BR19&lt;&gt;'📝 Four-tier กรอก'!BR6,'📝 Four-tier กรอก'!BS19="Y"),"❌ Misc.",IF(AND('📝 Four-tier กรอก'!BP19&lt;&gt;'📝 Four-tier กรอก'!BP6,'📝 Four-tier กรอก'!BQ19="N",'📝 Four-tier กรอก'!BR19&lt;&gt;'📝 Four-tier กรอก'!BR6,'📝 Four-tier กรอก'!BS19="N"),"❓ NoK","🤔 Partial")))))</f>
        <v/>
      </c>
      <c r="U17" s="67">
        <f>IF(OR('📝 Four-tier กรอก'!BT19="",'📝 Four-tier กรอก'!BV19=""),"—",IF(AND('📝 Four-tier กรอก'!BT19='📝 Four-tier กรอก'!BT6,'📝 Four-tier กรอก'!BU19="Y",'📝 Four-tier กรอก'!BV19='📝 Four-tier กรอก'!BV6,'📝 Four-tier กรอก'!BW19="Y"),"✅ Sound",IF(AND('📝 Four-tier กรอก'!BT19='📝 Four-tier กรอก'!BT6,'📝 Four-tier กรอก'!BU19="Y",'📝 Four-tier กรอก'!BV19&lt;&gt;'📝 Four-tier กรอก'!BV6,'📝 Four-tier กรอก'!BW19="Y"),"🎲 Guess",IF(AND('📝 Four-tier กรอก'!BT19&lt;&gt;'📝 Four-tier กรอก'!BT6,'📝 Four-tier กรอก'!BU19="Y",'📝 Four-tier กรอก'!BV19&lt;&gt;'📝 Four-tier กรอก'!BV6,'📝 Four-tier กรอก'!BW19="Y"),"❌ Misc.",IF(AND('📝 Four-tier กรอก'!BT19&lt;&gt;'📝 Four-tier กรอก'!BT6,'📝 Four-tier กรอก'!BU19="N",'📝 Four-tier กรอก'!BV19&lt;&gt;'📝 Four-tier กรอก'!BV6,'📝 Four-tier กรอก'!BW19="N"),"❓ NoK","🤔 Partial")))))</f>
        <v/>
      </c>
      <c r="V17" s="67">
        <f>IF(OR('📝 Four-tier กรอก'!BX19="",'📝 Four-tier กรอก'!BZ19=""),"—",IF(AND('📝 Four-tier กรอก'!BX19='📝 Four-tier กรอก'!BX6,'📝 Four-tier กรอก'!BY19="Y",'📝 Four-tier กรอก'!BZ19='📝 Four-tier กรอก'!BZ6,'📝 Four-tier กรอก'!CA19="Y"),"✅ Sound",IF(AND('📝 Four-tier กรอก'!BX19='📝 Four-tier กรอก'!BX6,'📝 Four-tier กรอก'!BY19="Y",'📝 Four-tier กรอก'!BZ19&lt;&gt;'📝 Four-tier กรอก'!BZ6,'📝 Four-tier กรอก'!CA19="Y"),"🎲 Guess",IF(AND('📝 Four-tier กรอก'!BX19&lt;&gt;'📝 Four-tier กรอก'!BX6,'📝 Four-tier กรอก'!BY19="Y",'📝 Four-tier กรอก'!BZ19&lt;&gt;'📝 Four-tier กรอก'!BZ6,'📝 Four-tier กรอก'!CA19="Y"),"❌ Misc.",IF(AND('📝 Four-tier กรอก'!BX19&lt;&gt;'📝 Four-tier กรอก'!BX6,'📝 Four-tier กรอก'!BY19="N",'📝 Four-tier กรอก'!BZ19&lt;&gt;'📝 Four-tier กรอก'!BZ6,'📝 Four-tier กรอก'!CA19="N"),"❓ NoK","🤔 Partial")))))</f>
        <v/>
      </c>
      <c r="W17" s="67">
        <f>IF(OR('📝 Four-tier กรอก'!CB19="",'📝 Four-tier กรอก'!CD19=""),"—",IF(AND('📝 Four-tier กรอก'!CB19='📝 Four-tier กรอก'!CB6,'📝 Four-tier กรอก'!CC19="Y",'📝 Four-tier กรอก'!CD19='📝 Four-tier กรอก'!CD6,'📝 Four-tier กรอก'!CE19="Y"),"✅ Sound",IF(AND('📝 Four-tier กรอก'!CB19='📝 Four-tier กรอก'!CB6,'📝 Four-tier กรอก'!CC19="Y",'📝 Four-tier กรอก'!CD19&lt;&gt;'📝 Four-tier กรอก'!CD6,'📝 Four-tier กรอก'!CE19="Y"),"🎲 Guess",IF(AND('📝 Four-tier กรอก'!CB19&lt;&gt;'📝 Four-tier กรอก'!CB6,'📝 Four-tier กรอก'!CC19="Y",'📝 Four-tier กรอก'!CD19&lt;&gt;'📝 Four-tier กรอก'!CD6,'📝 Four-tier กรอก'!CE19="Y"),"❌ Misc.",IF(AND('📝 Four-tier กรอก'!CB19&lt;&gt;'📝 Four-tier กรอก'!CB6,'📝 Four-tier กรอก'!CC19="N",'📝 Four-tier กรอก'!CD19&lt;&gt;'📝 Four-tier กรอก'!CD6,'📝 Four-tier กรอก'!CE19="N"),"❓ NoK","🤔 Partial")))))</f>
        <v/>
      </c>
      <c r="X17" s="37">
        <f>COUNTIF(D17:W17,"✅ Sound")</f>
        <v/>
      </c>
      <c r="Y17" s="37">
        <f>COUNTIF(D17:W17,"❌ Misc.")</f>
        <v/>
      </c>
      <c r="Z17" s="37">
        <f>COUNTIF(D17:W17,"🎲 Guess")</f>
        <v/>
      </c>
      <c r="AA17" s="37">
        <f>COUNTIF(D17:W17,"❓ NoK")</f>
        <v/>
      </c>
    </row>
    <row r="18" ht="18" customHeight="1">
      <c r="B18" s="46">
        <f>'📝 Four-tier กรอก'!B20</f>
        <v/>
      </c>
      <c r="C18" s="51">
        <f>'📝 Four-tier กรอก'!C20</f>
        <v/>
      </c>
      <c r="D18" s="68">
        <f>IF(OR('📝 Four-tier กรอก'!D20="",'📝 Four-tier กรอก'!F20=""),"—",IF(AND('📝 Four-tier กรอก'!D20='📝 Four-tier กรอก'!D6,'📝 Four-tier กรอก'!E20="Y",'📝 Four-tier กรอก'!F20='📝 Four-tier กรอก'!F6,'📝 Four-tier กรอก'!G20="Y"),"✅ Sound",IF(AND('📝 Four-tier กรอก'!D20='📝 Four-tier กรอก'!D6,'📝 Four-tier กรอก'!E20="Y",'📝 Four-tier กรอก'!F20&lt;&gt;'📝 Four-tier กรอก'!F6,'📝 Four-tier กรอก'!G20="Y"),"🎲 Guess",IF(AND('📝 Four-tier กรอก'!D20&lt;&gt;'📝 Four-tier กรอก'!D6,'📝 Four-tier กรอก'!E20="Y",'📝 Four-tier กรอก'!F20&lt;&gt;'📝 Four-tier กรอก'!F6,'📝 Four-tier กรอก'!G20="Y"),"❌ Misc.",IF(AND('📝 Four-tier กรอก'!D20&lt;&gt;'📝 Four-tier กรอก'!D6,'📝 Four-tier กรอก'!E20="N",'📝 Four-tier กรอก'!F20&lt;&gt;'📝 Four-tier กรอก'!F6,'📝 Four-tier กรอก'!G20="N"),"❓ NoK","🤔 Partial")))))</f>
        <v/>
      </c>
      <c r="E18" s="68">
        <f>IF(OR('📝 Four-tier กรอก'!H20="",'📝 Four-tier กรอก'!J20=""),"—",IF(AND('📝 Four-tier กรอก'!H20='📝 Four-tier กรอก'!H6,'📝 Four-tier กรอก'!I20="Y",'📝 Four-tier กรอก'!J20='📝 Four-tier กรอก'!J6,'📝 Four-tier กรอก'!K20="Y"),"✅ Sound",IF(AND('📝 Four-tier กรอก'!H20='📝 Four-tier กรอก'!H6,'📝 Four-tier กรอก'!I20="Y",'📝 Four-tier กรอก'!J20&lt;&gt;'📝 Four-tier กรอก'!J6,'📝 Four-tier กรอก'!K20="Y"),"🎲 Guess",IF(AND('📝 Four-tier กรอก'!H20&lt;&gt;'📝 Four-tier กรอก'!H6,'📝 Four-tier กรอก'!I20="Y",'📝 Four-tier กรอก'!J20&lt;&gt;'📝 Four-tier กรอก'!J6,'📝 Four-tier กรอก'!K20="Y"),"❌ Misc.",IF(AND('📝 Four-tier กรอก'!H20&lt;&gt;'📝 Four-tier กรอก'!H6,'📝 Four-tier กรอก'!I20="N",'📝 Four-tier กรอก'!J20&lt;&gt;'📝 Four-tier กรอก'!J6,'📝 Four-tier กรอก'!K20="N"),"❓ NoK","🤔 Partial")))))</f>
        <v/>
      </c>
      <c r="F18" s="68">
        <f>IF(OR('📝 Four-tier กรอก'!L20="",'📝 Four-tier กรอก'!N20=""),"—",IF(AND('📝 Four-tier กรอก'!L20='📝 Four-tier กรอก'!L6,'📝 Four-tier กรอก'!M20="Y",'📝 Four-tier กรอก'!N20='📝 Four-tier กรอก'!N6,'📝 Four-tier กรอก'!O20="Y"),"✅ Sound",IF(AND('📝 Four-tier กรอก'!L20='📝 Four-tier กรอก'!L6,'📝 Four-tier กรอก'!M20="Y",'📝 Four-tier กรอก'!N20&lt;&gt;'📝 Four-tier กรอก'!N6,'📝 Four-tier กรอก'!O20="Y"),"🎲 Guess",IF(AND('📝 Four-tier กรอก'!L20&lt;&gt;'📝 Four-tier กรอก'!L6,'📝 Four-tier กรอก'!M20="Y",'📝 Four-tier กรอก'!N20&lt;&gt;'📝 Four-tier กรอก'!N6,'📝 Four-tier กรอก'!O20="Y"),"❌ Misc.",IF(AND('📝 Four-tier กรอก'!L20&lt;&gt;'📝 Four-tier กรอก'!L6,'📝 Four-tier กรอก'!M20="N",'📝 Four-tier กรอก'!N20&lt;&gt;'📝 Four-tier กรอก'!N6,'📝 Four-tier กรอก'!O20="N"),"❓ NoK","🤔 Partial")))))</f>
        <v/>
      </c>
      <c r="G18" s="68">
        <f>IF(OR('📝 Four-tier กรอก'!P20="",'📝 Four-tier กรอก'!R20=""),"—",IF(AND('📝 Four-tier กรอก'!P20='📝 Four-tier กรอก'!P6,'📝 Four-tier กรอก'!Q20="Y",'📝 Four-tier กรอก'!R20='📝 Four-tier กรอก'!R6,'📝 Four-tier กรอก'!S20="Y"),"✅ Sound",IF(AND('📝 Four-tier กรอก'!P20='📝 Four-tier กรอก'!P6,'📝 Four-tier กรอก'!Q20="Y",'📝 Four-tier กรอก'!R20&lt;&gt;'📝 Four-tier กรอก'!R6,'📝 Four-tier กรอก'!S20="Y"),"🎲 Guess",IF(AND('📝 Four-tier กรอก'!P20&lt;&gt;'📝 Four-tier กรอก'!P6,'📝 Four-tier กรอก'!Q20="Y",'📝 Four-tier กรอก'!R20&lt;&gt;'📝 Four-tier กรอก'!R6,'📝 Four-tier กรอก'!S20="Y"),"❌ Misc.",IF(AND('📝 Four-tier กรอก'!P20&lt;&gt;'📝 Four-tier กรอก'!P6,'📝 Four-tier กรอก'!Q20="N",'📝 Four-tier กรอก'!R20&lt;&gt;'📝 Four-tier กรอก'!R6,'📝 Four-tier กรอก'!S20="N"),"❓ NoK","🤔 Partial")))))</f>
        <v/>
      </c>
      <c r="H18" s="68">
        <f>IF(OR('📝 Four-tier กรอก'!T20="",'📝 Four-tier กรอก'!V20=""),"—",IF(AND('📝 Four-tier กรอก'!T20='📝 Four-tier กรอก'!T6,'📝 Four-tier กรอก'!U20="Y",'📝 Four-tier กรอก'!V20='📝 Four-tier กรอก'!V6,'📝 Four-tier กรอก'!W20="Y"),"✅ Sound",IF(AND('📝 Four-tier กรอก'!T20='📝 Four-tier กรอก'!T6,'📝 Four-tier กรอก'!U20="Y",'📝 Four-tier กรอก'!V20&lt;&gt;'📝 Four-tier กรอก'!V6,'📝 Four-tier กรอก'!W20="Y"),"🎲 Guess",IF(AND('📝 Four-tier กรอก'!T20&lt;&gt;'📝 Four-tier กรอก'!T6,'📝 Four-tier กรอก'!U20="Y",'📝 Four-tier กรอก'!V20&lt;&gt;'📝 Four-tier กรอก'!V6,'📝 Four-tier กรอก'!W20="Y"),"❌ Misc.",IF(AND('📝 Four-tier กรอก'!T20&lt;&gt;'📝 Four-tier กรอก'!T6,'📝 Four-tier กรอก'!U20="N",'📝 Four-tier กรอก'!V20&lt;&gt;'📝 Four-tier กรอก'!V6,'📝 Four-tier กรอก'!W20="N"),"❓ NoK","🤔 Partial")))))</f>
        <v/>
      </c>
      <c r="I18" s="68">
        <f>IF(OR('📝 Four-tier กรอก'!X20="",'📝 Four-tier กรอก'!Z20=""),"—",IF(AND('📝 Four-tier กรอก'!X20='📝 Four-tier กรอก'!X6,'📝 Four-tier กรอก'!Y20="Y",'📝 Four-tier กรอก'!Z20='📝 Four-tier กรอก'!Z6,'📝 Four-tier กรอก'!AA20="Y"),"✅ Sound",IF(AND('📝 Four-tier กรอก'!X20='📝 Four-tier กรอก'!X6,'📝 Four-tier กรอก'!Y20="Y",'📝 Four-tier กรอก'!Z20&lt;&gt;'📝 Four-tier กรอก'!Z6,'📝 Four-tier กรอก'!AA20="Y"),"🎲 Guess",IF(AND('📝 Four-tier กรอก'!X20&lt;&gt;'📝 Four-tier กรอก'!X6,'📝 Four-tier กรอก'!Y20="Y",'📝 Four-tier กรอก'!Z20&lt;&gt;'📝 Four-tier กรอก'!Z6,'📝 Four-tier กรอก'!AA20="Y"),"❌ Misc.",IF(AND('📝 Four-tier กรอก'!X20&lt;&gt;'📝 Four-tier กรอก'!X6,'📝 Four-tier กรอก'!Y20="N",'📝 Four-tier กรอก'!Z20&lt;&gt;'📝 Four-tier กรอก'!Z6,'📝 Four-tier กรอก'!AA20="N"),"❓ NoK","🤔 Partial")))))</f>
        <v/>
      </c>
      <c r="J18" s="68">
        <f>IF(OR('📝 Four-tier กรอก'!AB20="",'📝 Four-tier กรอก'!AD20=""),"—",IF(AND('📝 Four-tier กรอก'!AB20='📝 Four-tier กรอก'!AB6,'📝 Four-tier กรอก'!AC20="Y",'📝 Four-tier กรอก'!AD20='📝 Four-tier กรอก'!AD6,'📝 Four-tier กรอก'!AE20="Y"),"✅ Sound",IF(AND('📝 Four-tier กรอก'!AB20='📝 Four-tier กรอก'!AB6,'📝 Four-tier กรอก'!AC20="Y",'📝 Four-tier กรอก'!AD20&lt;&gt;'📝 Four-tier กรอก'!AD6,'📝 Four-tier กรอก'!AE20="Y"),"🎲 Guess",IF(AND('📝 Four-tier กรอก'!AB20&lt;&gt;'📝 Four-tier กรอก'!AB6,'📝 Four-tier กรอก'!AC20="Y",'📝 Four-tier กรอก'!AD20&lt;&gt;'📝 Four-tier กรอก'!AD6,'📝 Four-tier กรอก'!AE20="Y"),"❌ Misc.",IF(AND('📝 Four-tier กรอก'!AB20&lt;&gt;'📝 Four-tier กรอก'!AB6,'📝 Four-tier กรอก'!AC20="N",'📝 Four-tier กรอก'!AD20&lt;&gt;'📝 Four-tier กรอก'!AD6,'📝 Four-tier กรอก'!AE20="N"),"❓ NoK","🤔 Partial")))))</f>
        <v/>
      </c>
      <c r="K18" s="68">
        <f>IF(OR('📝 Four-tier กรอก'!AF20="",'📝 Four-tier กรอก'!AH20=""),"—",IF(AND('📝 Four-tier กรอก'!AF20='📝 Four-tier กรอก'!AF6,'📝 Four-tier กรอก'!AG20="Y",'📝 Four-tier กรอก'!AH20='📝 Four-tier กรอก'!AH6,'📝 Four-tier กรอก'!AI20="Y"),"✅ Sound",IF(AND('📝 Four-tier กรอก'!AF20='📝 Four-tier กรอก'!AF6,'📝 Four-tier กรอก'!AG20="Y",'📝 Four-tier กรอก'!AH20&lt;&gt;'📝 Four-tier กรอก'!AH6,'📝 Four-tier กรอก'!AI20="Y"),"🎲 Guess",IF(AND('📝 Four-tier กรอก'!AF20&lt;&gt;'📝 Four-tier กรอก'!AF6,'📝 Four-tier กรอก'!AG20="Y",'📝 Four-tier กรอก'!AH20&lt;&gt;'📝 Four-tier กรอก'!AH6,'📝 Four-tier กรอก'!AI20="Y"),"❌ Misc.",IF(AND('📝 Four-tier กรอก'!AF20&lt;&gt;'📝 Four-tier กรอก'!AF6,'📝 Four-tier กรอก'!AG20="N",'📝 Four-tier กรอก'!AH20&lt;&gt;'📝 Four-tier กรอก'!AH6,'📝 Four-tier กรอก'!AI20="N"),"❓ NoK","🤔 Partial")))))</f>
        <v/>
      </c>
      <c r="L18" s="68">
        <f>IF(OR('📝 Four-tier กรอก'!AJ20="",'📝 Four-tier กรอก'!AL20=""),"—",IF(AND('📝 Four-tier กรอก'!AJ20='📝 Four-tier กรอก'!AJ6,'📝 Four-tier กรอก'!AK20="Y",'📝 Four-tier กรอก'!AL20='📝 Four-tier กรอก'!AL6,'📝 Four-tier กรอก'!AM20="Y"),"✅ Sound",IF(AND('📝 Four-tier กรอก'!AJ20='📝 Four-tier กรอก'!AJ6,'📝 Four-tier กรอก'!AK20="Y",'📝 Four-tier กรอก'!AL20&lt;&gt;'📝 Four-tier กรอก'!AL6,'📝 Four-tier กรอก'!AM20="Y"),"🎲 Guess",IF(AND('📝 Four-tier กรอก'!AJ20&lt;&gt;'📝 Four-tier กรอก'!AJ6,'📝 Four-tier กรอก'!AK20="Y",'📝 Four-tier กรอก'!AL20&lt;&gt;'📝 Four-tier กรอก'!AL6,'📝 Four-tier กรอก'!AM20="Y"),"❌ Misc.",IF(AND('📝 Four-tier กรอก'!AJ20&lt;&gt;'📝 Four-tier กรอก'!AJ6,'📝 Four-tier กรอก'!AK20="N",'📝 Four-tier กรอก'!AL20&lt;&gt;'📝 Four-tier กรอก'!AL6,'📝 Four-tier กรอก'!AM20="N"),"❓ NoK","🤔 Partial")))))</f>
        <v/>
      </c>
      <c r="M18" s="68">
        <f>IF(OR('📝 Four-tier กรอก'!AN20="",'📝 Four-tier กรอก'!AP20=""),"—",IF(AND('📝 Four-tier กรอก'!AN20='📝 Four-tier กรอก'!AN6,'📝 Four-tier กรอก'!AO20="Y",'📝 Four-tier กรอก'!AP20='📝 Four-tier กรอก'!AP6,'📝 Four-tier กรอก'!AQ20="Y"),"✅ Sound",IF(AND('📝 Four-tier กรอก'!AN20='📝 Four-tier กรอก'!AN6,'📝 Four-tier กรอก'!AO20="Y",'📝 Four-tier กรอก'!AP20&lt;&gt;'📝 Four-tier กรอก'!AP6,'📝 Four-tier กรอก'!AQ20="Y"),"🎲 Guess",IF(AND('📝 Four-tier กรอก'!AN20&lt;&gt;'📝 Four-tier กรอก'!AN6,'📝 Four-tier กรอก'!AO20="Y",'📝 Four-tier กรอก'!AP20&lt;&gt;'📝 Four-tier กรอก'!AP6,'📝 Four-tier กรอก'!AQ20="Y"),"❌ Misc.",IF(AND('📝 Four-tier กรอก'!AN20&lt;&gt;'📝 Four-tier กรอก'!AN6,'📝 Four-tier กรอก'!AO20="N",'📝 Four-tier กรอก'!AP20&lt;&gt;'📝 Four-tier กรอก'!AP6,'📝 Four-tier กรอก'!AQ20="N"),"❓ NoK","🤔 Partial")))))</f>
        <v/>
      </c>
      <c r="N18" s="68">
        <f>IF(OR('📝 Four-tier กรอก'!AR20="",'📝 Four-tier กรอก'!AT20=""),"—",IF(AND('📝 Four-tier กรอก'!AR20='📝 Four-tier กรอก'!AR6,'📝 Four-tier กรอก'!AS20="Y",'📝 Four-tier กรอก'!AT20='📝 Four-tier กรอก'!AT6,'📝 Four-tier กรอก'!AU20="Y"),"✅ Sound",IF(AND('📝 Four-tier กรอก'!AR20='📝 Four-tier กรอก'!AR6,'📝 Four-tier กรอก'!AS20="Y",'📝 Four-tier กรอก'!AT20&lt;&gt;'📝 Four-tier กรอก'!AT6,'📝 Four-tier กรอก'!AU20="Y"),"🎲 Guess",IF(AND('📝 Four-tier กรอก'!AR20&lt;&gt;'📝 Four-tier กรอก'!AR6,'📝 Four-tier กรอก'!AS20="Y",'📝 Four-tier กรอก'!AT20&lt;&gt;'📝 Four-tier กรอก'!AT6,'📝 Four-tier กรอก'!AU20="Y"),"❌ Misc.",IF(AND('📝 Four-tier กรอก'!AR20&lt;&gt;'📝 Four-tier กรอก'!AR6,'📝 Four-tier กรอก'!AS20="N",'📝 Four-tier กรอก'!AT20&lt;&gt;'📝 Four-tier กรอก'!AT6,'📝 Four-tier กรอก'!AU20="N"),"❓ NoK","🤔 Partial")))))</f>
        <v/>
      </c>
      <c r="O18" s="68">
        <f>IF(OR('📝 Four-tier กรอก'!AV20="",'📝 Four-tier กรอก'!AX20=""),"—",IF(AND('📝 Four-tier กรอก'!AV20='📝 Four-tier กรอก'!AV6,'📝 Four-tier กรอก'!AW20="Y",'📝 Four-tier กรอก'!AX20='📝 Four-tier กรอก'!AX6,'📝 Four-tier กรอก'!AY20="Y"),"✅ Sound",IF(AND('📝 Four-tier กรอก'!AV20='📝 Four-tier กรอก'!AV6,'📝 Four-tier กรอก'!AW20="Y",'📝 Four-tier กรอก'!AX20&lt;&gt;'📝 Four-tier กรอก'!AX6,'📝 Four-tier กรอก'!AY20="Y"),"🎲 Guess",IF(AND('📝 Four-tier กรอก'!AV20&lt;&gt;'📝 Four-tier กรอก'!AV6,'📝 Four-tier กรอก'!AW20="Y",'📝 Four-tier กรอก'!AX20&lt;&gt;'📝 Four-tier กรอก'!AX6,'📝 Four-tier กรอก'!AY20="Y"),"❌ Misc.",IF(AND('📝 Four-tier กรอก'!AV20&lt;&gt;'📝 Four-tier กรอก'!AV6,'📝 Four-tier กรอก'!AW20="N",'📝 Four-tier กรอก'!AX20&lt;&gt;'📝 Four-tier กรอก'!AX6,'📝 Four-tier กรอก'!AY20="N"),"❓ NoK","🤔 Partial")))))</f>
        <v/>
      </c>
      <c r="P18" s="68">
        <f>IF(OR('📝 Four-tier กรอก'!AZ20="",'📝 Four-tier กรอก'!BB20=""),"—",IF(AND('📝 Four-tier กรอก'!AZ20='📝 Four-tier กรอก'!AZ6,'📝 Four-tier กรอก'!BA20="Y",'📝 Four-tier กรอก'!BB20='📝 Four-tier กรอก'!BB6,'📝 Four-tier กรอก'!BC20="Y"),"✅ Sound",IF(AND('📝 Four-tier กรอก'!AZ20='📝 Four-tier กรอก'!AZ6,'📝 Four-tier กรอก'!BA20="Y",'📝 Four-tier กรอก'!BB20&lt;&gt;'📝 Four-tier กรอก'!BB6,'📝 Four-tier กรอก'!BC20="Y"),"🎲 Guess",IF(AND('📝 Four-tier กรอก'!AZ20&lt;&gt;'📝 Four-tier กรอก'!AZ6,'📝 Four-tier กรอก'!BA20="Y",'📝 Four-tier กรอก'!BB20&lt;&gt;'📝 Four-tier กรอก'!BB6,'📝 Four-tier กรอก'!BC20="Y"),"❌ Misc.",IF(AND('📝 Four-tier กรอก'!AZ20&lt;&gt;'📝 Four-tier กรอก'!AZ6,'📝 Four-tier กรอก'!BA20="N",'📝 Four-tier กรอก'!BB20&lt;&gt;'📝 Four-tier กรอก'!BB6,'📝 Four-tier กรอก'!BC20="N"),"❓ NoK","🤔 Partial")))))</f>
        <v/>
      </c>
      <c r="Q18" s="68">
        <f>IF(OR('📝 Four-tier กรอก'!BD20="",'📝 Four-tier กรอก'!BF20=""),"—",IF(AND('📝 Four-tier กรอก'!BD20='📝 Four-tier กรอก'!BD6,'📝 Four-tier กรอก'!BE20="Y",'📝 Four-tier กรอก'!BF20='📝 Four-tier กรอก'!BF6,'📝 Four-tier กรอก'!BG20="Y"),"✅ Sound",IF(AND('📝 Four-tier กรอก'!BD20='📝 Four-tier กรอก'!BD6,'📝 Four-tier กรอก'!BE20="Y",'📝 Four-tier กรอก'!BF20&lt;&gt;'📝 Four-tier กรอก'!BF6,'📝 Four-tier กรอก'!BG20="Y"),"🎲 Guess",IF(AND('📝 Four-tier กรอก'!BD20&lt;&gt;'📝 Four-tier กรอก'!BD6,'📝 Four-tier กรอก'!BE20="Y",'📝 Four-tier กรอก'!BF20&lt;&gt;'📝 Four-tier กรอก'!BF6,'📝 Four-tier กรอก'!BG20="Y"),"❌ Misc.",IF(AND('📝 Four-tier กรอก'!BD20&lt;&gt;'📝 Four-tier กรอก'!BD6,'📝 Four-tier กรอก'!BE20="N",'📝 Four-tier กรอก'!BF20&lt;&gt;'📝 Four-tier กรอก'!BF6,'📝 Four-tier กรอก'!BG20="N"),"❓ NoK","🤔 Partial")))))</f>
        <v/>
      </c>
      <c r="R18" s="68">
        <f>IF(OR('📝 Four-tier กรอก'!BH20="",'📝 Four-tier กรอก'!BJ20=""),"—",IF(AND('📝 Four-tier กรอก'!BH20='📝 Four-tier กรอก'!BH6,'📝 Four-tier กรอก'!BI20="Y",'📝 Four-tier กรอก'!BJ20='📝 Four-tier กรอก'!BJ6,'📝 Four-tier กรอก'!BK20="Y"),"✅ Sound",IF(AND('📝 Four-tier กรอก'!BH20='📝 Four-tier กรอก'!BH6,'📝 Four-tier กรอก'!BI20="Y",'📝 Four-tier กรอก'!BJ20&lt;&gt;'📝 Four-tier กรอก'!BJ6,'📝 Four-tier กรอก'!BK20="Y"),"🎲 Guess",IF(AND('📝 Four-tier กรอก'!BH20&lt;&gt;'📝 Four-tier กรอก'!BH6,'📝 Four-tier กรอก'!BI20="Y",'📝 Four-tier กรอก'!BJ20&lt;&gt;'📝 Four-tier กรอก'!BJ6,'📝 Four-tier กรอก'!BK20="Y"),"❌ Misc.",IF(AND('📝 Four-tier กรอก'!BH20&lt;&gt;'📝 Four-tier กรอก'!BH6,'📝 Four-tier กรอก'!BI20="N",'📝 Four-tier กรอก'!BJ20&lt;&gt;'📝 Four-tier กรอก'!BJ6,'📝 Four-tier กรอก'!BK20="N"),"❓ NoK","🤔 Partial")))))</f>
        <v/>
      </c>
      <c r="S18" s="68">
        <f>IF(OR('📝 Four-tier กรอก'!BL20="",'📝 Four-tier กรอก'!BN20=""),"—",IF(AND('📝 Four-tier กรอก'!BL20='📝 Four-tier กรอก'!BL6,'📝 Four-tier กรอก'!BM20="Y",'📝 Four-tier กรอก'!BN20='📝 Four-tier กรอก'!BN6,'📝 Four-tier กรอก'!BO20="Y"),"✅ Sound",IF(AND('📝 Four-tier กรอก'!BL20='📝 Four-tier กรอก'!BL6,'📝 Four-tier กรอก'!BM20="Y",'📝 Four-tier กรอก'!BN20&lt;&gt;'📝 Four-tier กรอก'!BN6,'📝 Four-tier กรอก'!BO20="Y"),"🎲 Guess",IF(AND('📝 Four-tier กรอก'!BL20&lt;&gt;'📝 Four-tier กรอก'!BL6,'📝 Four-tier กรอก'!BM20="Y",'📝 Four-tier กรอก'!BN20&lt;&gt;'📝 Four-tier กรอก'!BN6,'📝 Four-tier กรอก'!BO20="Y"),"❌ Misc.",IF(AND('📝 Four-tier กรอก'!BL20&lt;&gt;'📝 Four-tier กรอก'!BL6,'📝 Four-tier กรอก'!BM20="N",'📝 Four-tier กรอก'!BN20&lt;&gt;'📝 Four-tier กรอก'!BN6,'📝 Four-tier กรอก'!BO20="N"),"❓ NoK","🤔 Partial")))))</f>
        <v/>
      </c>
      <c r="T18" s="68">
        <f>IF(OR('📝 Four-tier กรอก'!BP20="",'📝 Four-tier กรอก'!BR20=""),"—",IF(AND('📝 Four-tier กรอก'!BP20='📝 Four-tier กรอก'!BP6,'📝 Four-tier กรอก'!BQ20="Y",'📝 Four-tier กรอก'!BR20='📝 Four-tier กรอก'!BR6,'📝 Four-tier กรอก'!BS20="Y"),"✅ Sound",IF(AND('📝 Four-tier กรอก'!BP20='📝 Four-tier กรอก'!BP6,'📝 Four-tier กรอก'!BQ20="Y",'📝 Four-tier กรอก'!BR20&lt;&gt;'📝 Four-tier กรอก'!BR6,'📝 Four-tier กรอก'!BS20="Y"),"🎲 Guess",IF(AND('📝 Four-tier กรอก'!BP20&lt;&gt;'📝 Four-tier กรอก'!BP6,'📝 Four-tier กรอก'!BQ20="Y",'📝 Four-tier กรอก'!BR20&lt;&gt;'📝 Four-tier กรอก'!BR6,'📝 Four-tier กรอก'!BS20="Y"),"❌ Misc.",IF(AND('📝 Four-tier กรอก'!BP20&lt;&gt;'📝 Four-tier กรอก'!BP6,'📝 Four-tier กรอก'!BQ20="N",'📝 Four-tier กรอก'!BR20&lt;&gt;'📝 Four-tier กรอก'!BR6,'📝 Four-tier กรอก'!BS20="N"),"❓ NoK","🤔 Partial")))))</f>
        <v/>
      </c>
      <c r="U18" s="68">
        <f>IF(OR('📝 Four-tier กรอก'!BT20="",'📝 Four-tier กรอก'!BV20=""),"—",IF(AND('📝 Four-tier กรอก'!BT20='📝 Four-tier กรอก'!BT6,'📝 Four-tier กรอก'!BU20="Y",'📝 Four-tier กรอก'!BV20='📝 Four-tier กรอก'!BV6,'📝 Four-tier กรอก'!BW20="Y"),"✅ Sound",IF(AND('📝 Four-tier กรอก'!BT20='📝 Four-tier กรอก'!BT6,'📝 Four-tier กรอก'!BU20="Y",'📝 Four-tier กรอก'!BV20&lt;&gt;'📝 Four-tier กรอก'!BV6,'📝 Four-tier กรอก'!BW20="Y"),"🎲 Guess",IF(AND('📝 Four-tier กรอก'!BT20&lt;&gt;'📝 Four-tier กรอก'!BT6,'📝 Four-tier กรอก'!BU20="Y",'📝 Four-tier กรอก'!BV20&lt;&gt;'📝 Four-tier กรอก'!BV6,'📝 Four-tier กรอก'!BW20="Y"),"❌ Misc.",IF(AND('📝 Four-tier กรอก'!BT20&lt;&gt;'📝 Four-tier กรอก'!BT6,'📝 Four-tier กรอก'!BU20="N",'📝 Four-tier กรอก'!BV20&lt;&gt;'📝 Four-tier กรอก'!BV6,'📝 Four-tier กรอก'!BW20="N"),"❓ NoK","🤔 Partial")))))</f>
        <v/>
      </c>
      <c r="V18" s="68">
        <f>IF(OR('📝 Four-tier กรอก'!BX20="",'📝 Four-tier กรอก'!BZ20=""),"—",IF(AND('📝 Four-tier กรอก'!BX20='📝 Four-tier กรอก'!BX6,'📝 Four-tier กรอก'!BY20="Y",'📝 Four-tier กรอก'!BZ20='📝 Four-tier กรอก'!BZ6,'📝 Four-tier กรอก'!CA20="Y"),"✅ Sound",IF(AND('📝 Four-tier กรอก'!BX20='📝 Four-tier กรอก'!BX6,'📝 Four-tier กรอก'!BY20="Y",'📝 Four-tier กรอก'!BZ20&lt;&gt;'📝 Four-tier กรอก'!BZ6,'📝 Four-tier กรอก'!CA20="Y"),"🎲 Guess",IF(AND('📝 Four-tier กรอก'!BX20&lt;&gt;'📝 Four-tier กรอก'!BX6,'📝 Four-tier กรอก'!BY20="Y",'📝 Four-tier กรอก'!BZ20&lt;&gt;'📝 Four-tier กรอก'!BZ6,'📝 Four-tier กรอก'!CA20="Y"),"❌ Misc.",IF(AND('📝 Four-tier กรอก'!BX20&lt;&gt;'📝 Four-tier กรอก'!BX6,'📝 Four-tier กรอก'!BY20="N",'📝 Four-tier กรอก'!BZ20&lt;&gt;'📝 Four-tier กรอก'!BZ6,'📝 Four-tier กรอก'!CA20="N"),"❓ NoK","🤔 Partial")))))</f>
        <v/>
      </c>
      <c r="W18" s="68">
        <f>IF(OR('📝 Four-tier กรอก'!CB20="",'📝 Four-tier กรอก'!CD20=""),"—",IF(AND('📝 Four-tier กรอก'!CB20='📝 Four-tier กรอก'!CB6,'📝 Four-tier กรอก'!CC20="Y",'📝 Four-tier กรอก'!CD20='📝 Four-tier กรอก'!CD6,'📝 Four-tier กรอก'!CE20="Y"),"✅ Sound",IF(AND('📝 Four-tier กรอก'!CB20='📝 Four-tier กรอก'!CB6,'📝 Four-tier กรอก'!CC20="Y",'📝 Four-tier กรอก'!CD20&lt;&gt;'📝 Four-tier กรอก'!CD6,'📝 Four-tier กรอก'!CE20="Y"),"🎲 Guess",IF(AND('📝 Four-tier กรอก'!CB20&lt;&gt;'📝 Four-tier กรอก'!CB6,'📝 Four-tier กรอก'!CC20="Y",'📝 Four-tier กรอก'!CD20&lt;&gt;'📝 Four-tier กรอก'!CD6,'📝 Four-tier กรอก'!CE20="Y"),"❌ Misc.",IF(AND('📝 Four-tier กรอก'!CB20&lt;&gt;'📝 Four-tier กรอก'!CB6,'📝 Four-tier กรอก'!CC20="N",'📝 Four-tier กรอก'!CD20&lt;&gt;'📝 Four-tier กรอก'!CD6,'📝 Four-tier กรอก'!CE20="N"),"❓ NoK","🤔 Partial")))))</f>
        <v/>
      </c>
      <c r="X18" s="37">
        <f>COUNTIF(D18:W18,"✅ Sound")</f>
        <v/>
      </c>
      <c r="Y18" s="37">
        <f>COUNTIF(D18:W18,"❌ Misc.")</f>
        <v/>
      </c>
      <c r="Z18" s="37">
        <f>COUNTIF(D18:W18,"🎲 Guess")</f>
        <v/>
      </c>
      <c r="AA18" s="37">
        <f>COUNTIF(D18:W18,"❓ NoK")</f>
        <v/>
      </c>
    </row>
    <row r="19" ht="18" customHeight="1">
      <c r="B19" s="46">
        <f>'📝 Four-tier กรอก'!B21</f>
        <v/>
      </c>
      <c r="C19" s="47">
        <f>'📝 Four-tier กรอก'!C21</f>
        <v/>
      </c>
      <c r="D19" s="67">
        <f>IF(OR('📝 Four-tier กรอก'!D21="",'📝 Four-tier กรอก'!F21=""),"—",IF(AND('📝 Four-tier กรอก'!D21='📝 Four-tier กรอก'!D6,'📝 Four-tier กรอก'!E21="Y",'📝 Four-tier กรอก'!F21='📝 Four-tier กรอก'!F6,'📝 Four-tier กรอก'!G21="Y"),"✅ Sound",IF(AND('📝 Four-tier กรอก'!D21='📝 Four-tier กรอก'!D6,'📝 Four-tier กรอก'!E21="Y",'📝 Four-tier กรอก'!F21&lt;&gt;'📝 Four-tier กรอก'!F6,'📝 Four-tier กรอก'!G21="Y"),"🎲 Guess",IF(AND('📝 Four-tier กรอก'!D21&lt;&gt;'📝 Four-tier กรอก'!D6,'📝 Four-tier กรอก'!E21="Y",'📝 Four-tier กรอก'!F21&lt;&gt;'📝 Four-tier กรอก'!F6,'📝 Four-tier กรอก'!G21="Y"),"❌ Misc.",IF(AND('📝 Four-tier กรอก'!D21&lt;&gt;'📝 Four-tier กรอก'!D6,'📝 Four-tier กรอก'!E21="N",'📝 Four-tier กรอก'!F21&lt;&gt;'📝 Four-tier กรอก'!F6,'📝 Four-tier กรอก'!G21="N"),"❓ NoK","🤔 Partial")))))</f>
        <v/>
      </c>
      <c r="E19" s="67">
        <f>IF(OR('📝 Four-tier กรอก'!H21="",'📝 Four-tier กรอก'!J21=""),"—",IF(AND('📝 Four-tier กรอก'!H21='📝 Four-tier กรอก'!H6,'📝 Four-tier กรอก'!I21="Y",'📝 Four-tier กรอก'!J21='📝 Four-tier กรอก'!J6,'📝 Four-tier กรอก'!K21="Y"),"✅ Sound",IF(AND('📝 Four-tier กรอก'!H21='📝 Four-tier กรอก'!H6,'📝 Four-tier กรอก'!I21="Y",'📝 Four-tier กรอก'!J21&lt;&gt;'📝 Four-tier กรอก'!J6,'📝 Four-tier กรอก'!K21="Y"),"🎲 Guess",IF(AND('📝 Four-tier กรอก'!H21&lt;&gt;'📝 Four-tier กรอก'!H6,'📝 Four-tier กรอก'!I21="Y",'📝 Four-tier กรอก'!J21&lt;&gt;'📝 Four-tier กรอก'!J6,'📝 Four-tier กรอก'!K21="Y"),"❌ Misc.",IF(AND('📝 Four-tier กรอก'!H21&lt;&gt;'📝 Four-tier กรอก'!H6,'📝 Four-tier กรอก'!I21="N",'📝 Four-tier กรอก'!J21&lt;&gt;'📝 Four-tier กรอก'!J6,'📝 Four-tier กรอก'!K21="N"),"❓ NoK","🤔 Partial")))))</f>
        <v/>
      </c>
      <c r="F19" s="67">
        <f>IF(OR('📝 Four-tier กรอก'!L21="",'📝 Four-tier กรอก'!N21=""),"—",IF(AND('📝 Four-tier กรอก'!L21='📝 Four-tier กรอก'!L6,'📝 Four-tier กรอก'!M21="Y",'📝 Four-tier กรอก'!N21='📝 Four-tier กรอก'!N6,'📝 Four-tier กรอก'!O21="Y"),"✅ Sound",IF(AND('📝 Four-tier กรอก'!L21='📝 Four-tier กรอก'!L6,'📝 Four-tier กรอก'!M21="Y",'📝 Four-tier กรอก'!N21&lt;&gt;'📝 Four-tier กรอก'!N6,'📝 Four-tier กรอก'!O21="Y"),"🎲 Guess",IF(AND('📝 Four-tier กรอก'!L21&lt;&gt;'📝 Four-tier กรอก'!L6,'📝 Four-tier กรอก'!M21="Y",'📝 Four-tier กรอก'!N21&lt;&gt;'📝 Four-tier กรอก'!N6,'📝 Four-tier กรอก'!O21="Y"),"❌ Misc.",IF(AND('📝 Four-tier กรอก'!L21&lt;&gt;'📝 Four-tier กรอก'!L6,'📝 Four-tier กรอก'!M21="N",'📝 Four-tier กรอก'!N21&lt;&gt;'📝 Four-tier กรอก'!N6,'📝 Four-tier กรอก'!O21="N"),"❓ NoK","🤔 Partial")))))</f>
        <v/>
      </c>
      <c r="G19" s="67">
        <f>IF(OR('📝 Four-tier กรอก'!P21="",'📝 Four-tier กรอก'!R21=""),"—",IF(AND('📝 Four-tier กรอก'!P21='📝 Four-tier กรอก'!P6,'📝 Four-tier กรอก'!Q21="Y",'📝 Four-tier กรอก'!R21='📝 Four-tier กรอก'!R6,'📝 Four-tier กรอก'!S21="Y"),"✅ Sound",IF(AND('📝 Four-tier กรอก'!P21='📝 Four-tier กรอก'!P6,'📝 Four-tier กรอก'!Q21="Y",'📝 Four-tier กรอก'!R21&lt;&gt;'📝 Four-tier กรอก'!R6,'📝 Four-tier กรอก'!S21="Y"),"🎲 Guess",IF(AND('📝 Four-tier กรอก'!P21&lt;&gt;'📝 Four-tier กรอก'!P6,'📝 Four-tier กรอก'!Q21="Y",'📝 Four-tier กรอก'!R21&lt;&gt;'📝 Four-tier กรอก'!R6,'📝 Four-tier กรอก'!S21="Y"),"❌ Misc.",IF(AND('📝 Four-tier กรอก'!P21&lt;&gt;'📝 Four-tier กรอก'!P6,'📝 Four-tier กรอก'!Q21="N",'📝 Four-tier กรอก'!R21&lt;&gt;'📝 Four-tier กรอก'!R6,'📝 Four-tier กรอก'!S21="N"),"❓ NoK","🤔 Partial")))))</f>
        <v/>
      </c>
      <c r="H19" s="67">
        <f>IF(OR('📝 Four-tier กรอก'!T21="",'📝 Four-tier กรอก'!V21=""),"—",IF(AND('📝 Four-tier กรอก'!T21='📝 Four-tier กรอก'!T6,'📝 Four-tier กรอก'!U21="Y",'📝 Four-tier กรอก'!V21='📝 Four-tier กรอก'!V6,'📝 Four-tier กรอก'!W21="Y"),"✅ Sound",IF(AND('📝 Four-tier กรอก'!T21='📝 Four-tier กรอก'!T6,'📝 Four-tier กรอก'!U21="Y",'📝 Four-tier กรอก'!V21&lt;&gt;'📝 Four-tier กรอก'!V6,'📝 Four-tier กรอก'!W21="Y"),"🎲 Guess",IF(AND('📝 Four-tier กรอก'!T21&lt;&gt;'📝 Four-tier กรอก'!T6,'📝 Four-tier กรอก'!U21="Y",'📝 Four-tier กรอก'!V21&lt;&gt;'📝 Four-tier กรอก'!V6,'📝 Four-tier กรอก'!W21="Y"),"❌ Misc.",IF(AND('📝 Four-tier กรอก'!T21&lt;&gt;'📝 Four-tier กรอก'!T6,'📝 Four-tier กรอก'!U21="N",'📝 Four-tier กรอก'!V21&lt;&gt;'📝 Four-tier กรอก'!V6,'📝 Four-tier กรอก'!W21="N"),"❓ NoK","🤔 Partial")))))</f>
        <v/>
      </c>
      <c r="I19" s="67">
        <f>IF(OR('📝 Four-tier กรอก'!X21="",'📝 Four-tier กรอก'!Z21=""),"—",IF(AND('📝 Four-tier กรอก'!X21='📝 Four-tier กรอก'!X6,'📝 Four-tier กรอก'!Y21="Y",'📝 Four-tier กรอก'!Z21='📝 Four-tier กรอก'!Z6,'📝 Four-tier กรอก'!AA21="Y"),"✅ Sound",IF(AND('📝 Four-tier กรอก'!X21='📝 Four-tier กรอก'!X6,'📝 Four-tier กรอก'!Y21="Y",'📝 Four-tier กรอก'!Z21&lt;&gt;'📝 Four-tier กรอก'!Z6,'📝 Four-tier กรอก'!AA21="Y"),"🎲 Guess",IF(AND('📝 Four-tier กรอก'!X21&lt;&gt;'📝 Four-tier กรอก'!X6,'📝 Four-tier กรอก'!Y21="Y",'📝 Four-tier กรอก'!Z21&lt;&gt;'📝 Four-tier กรอก'!Z6,'📝 Four-tier กรอก'!AA21="Y"),"❌ Misc.",IF(AND('📝 Four-tier กรอก'!X21&lt;&gt;'📝 Four-tier กรอก'!X6,'📝 Four-tier กรอก'!Y21="N",'📝 Four-tier กรอก'!Z21&lt;&gt;'📝 Four-tier กรอก'!Z6,'📝 Four-tier กรอก'!AA21="N"),"❓ NoK","🤔 Partial")))))</f>
        <v/>
      </c>
      <c r="J19" s="67">
        <f>IF(OR('📝 Four-tier กรอก'!AB21="",'📝 Four-tier กรอก'!AD21=""),"—",IF(AND('📝 Four-tier กรอก'!AB21='📝 Four-tier กรอก'!AB6,'📝 Four-tier กรอก'!AC21="Y",'📝 Four-tier กรอก'!AD21='📝 Four-tier กรอก'!AD6,'📝 Four-tier กรอก'!AE21="Y"),"✅ Sound",IF(AND('📝 Four-tier กรอก'!AB21='📝 Four-tier กรอก'!AB6,'📝 Four-tier กรอก'!AC21="Y",'📝 Four-tier กรอก'!AD21&lt;&gt;'📝 Four-tier กรอก'!AD6,'📝 Four-tier กรอก'!AE21="Y"),"🎲 Guess",IF(AND('📝 Four-tier กรอก'!AB21&lt;&gt;'📝 Four-tier กรอก'!AB6,'📝 Four-tier กรอก'!AC21="Y",'📝 Four-tier กรอก'!AD21&lt;&gt;'📝 Four-tier กรอก'!AD6,'📝 Four-tier กรอก'!AE21="Y"),"❌ Misc.",IF(AND('📝 Four-tier กรอก'!AB21&lt;&gt;'📝 Four-tier กรอก'!AB6,'📝 Four-tier กรอก'!AC21="N",'📝 Four-tier กรอก'!AD21&lt;&gt;'📝 Four-tier กรอก'!AD6,'📝 Four-tier กรอก'!AE21="N"),"❓ NoK","🤔 Partial")))))</f>
        <v/>
      </c>
      <c r="K19" s="67">
        <f>IF(OR('📝 Four-tier กรอก'!AF21="",'📝 Four-tier กรอก'!AH21=""),"—",IF(AND('📝 Four-tier กรอก'!AF21='📝 Four-tier กรอก'!AF6,'📝 Four-tier กรอก'!AG21="Y",'📝 Four-tier กรอก'!AH21='📝 Four-tier กรอก'!AH6,'📝 Four-tier กรอก'!AI21="Y"),"✅ Sound",IF(AND('📝 Four-tier กรอก'!AF21='📝 Four-tier กรอก'!AF6,'📝 Four-tier กรอก'!AG21="Y",'📝 Four-tier กรอก'!AH21&lt;&gt;'📝 Four-tier กรอก'!AH6,'📝 Four-tier กรอก'!AI21="Y"),"🎲 Guess",IF(AND('📝 Four-tier กรอก'!AF21&lt;&gt;'📝 Four-tier กรอก'!AF6,'📝 Four-tier กรอก'!AG21="Y",'📝 Four-tier กรอก'!AH21&lt;&gt;'📝 Four-tier กรอก'!AH6,'📝 Four-tier กรอก'!AI21="Y"),"❌ Misc.",IF(AND('📝 Four-tier กรอก'!AF21&lt;&gt;'📝 Four-tier กรอก'!AF6,'📝 Four-tier กรอก'!AG21="N",'📝 Four-tier กรอก'!AH21&lt;&gt;'📝 Four-tier กรอก'!AH6,'📝 Four-tier กรอก'!AI21="N"),"❓ NoK","🤔 Partial")))))</f>
        <v/>
      </c>
      <c r="L19" s="67">
        <f>IF(OR('📝 Four-tier กรอก'!AJ21="",'📝 Four-tier กรอก'!AL21=""),"—",IF(AND('📝 Four-tier กรอก'!AJ21='📝 Four-tier กรอก'!AJ6,'📝 Four-tier กรอก'!AK21="Y",'📝 Four-tier กรอก'!AL21='📝 Four-tier กรอก'!AL6,'📝 Four-tier กรอก'!AM21="Y"),"✅ Sound",IF(AND('📝 Four-tier กรอก'!AJ21='📝 Four-tier กรอก'!AJ6,'📝 Four-tier กรอก'!AK21="Y",'📝 Four-tier กรอก'!AL21&lt;&gt;'📝 Four-tier กรอก'!AL6,'📝 Four-tier กรอก'!AM21="Y"),"🎲 Guess",IF(AND('📝 Four-tier กรอก'!AJ21&lt;&gt;'📝 Four-tier กรอก'!AJ6,'📝 Four-tier กรอก'!AK21="Y",'📝 Four-tier กรอก'!AL21&lt;&gt;'📝 Four-tier กรอก'!AL6,'📝 Four-tier กรอก'!AM21="Y"),"❌ Misc.",IF(AND('📝 Four-tier กรอก'!AJ21&lt;&gt;'📝 Four-tier กรอก'!AJ6,'📝 Four-tier กรอก'!AK21="N",'📝 Four-tier กรอก'!AL21&lt;&gt;'📝 Four-tier กรอก'!AL6,'📝 Four-tier กรอก'!AM21="N"),"❓ NoK","🤔 Partial")))))</f>
        <v/>
      </c>
      <c r="M19" s="67">
        <f>IF(OR('📝 Four-tier กรอก'!AN21="",'📝 Four-tier กรอก'!AP21=""),"—",IF(AND('📝 Four-tier กรอก'!AN21='📝 Four-tier กรอก'!AN6,'📝 Four-tier กรอก'!AO21="Y",'📝 Four-tier กรอก'!AP21='📝 Four-tier กรอก'!AP6,'📝 Four-tier กรอก'!AQ21="Y"),"✅ Sound",IF(AND('📝 Four-tier กรอก'!AN21='📝 Four-tier กรอก'!AN6,'📝 Four-tier กรอก'!AO21="Y",'📝 Four-tier กรอก'!AP21&lt;&gt;'📝 Four-tier กรอก'!AP6,'📝 Four-tier กรอก'!AQ21="Y"),"🎲 Guess",IF(AND('📝 Four-tier กรอก'!AN21&lt;&gt;'📝 Four-tier กรอก'!AN6,'📝 Four-tier กรอก'!AO21="Y",'📝 Four-tier กรอก'!AP21&lt;&gt;'📝 Four-tier กรอก'!AP6,'📝 Four-tier กรอก'!AQ21="Y"),"❌ Misc.",IF(AND('📝 Four-tier กรอก'!AN21&lt;&gt;'📝 Four-tier กรอก'!AN6,'📝 Four-tier กรอก'!AO21="N",'📝 Four-tier กรอก'!AP21&lt;&gt;'📝 Four-tier กรอก'!AP6,'📝 Four-tier กรอก'!AQ21="N"),"❓ NoK","🤔 Partial")))))</f>
        <v/>
      </c>
      <c r="N19" s="67">
        <f>IF(OR('📝 Four-tier กรอก'!AR21="",'📝 Four-tier กรอก'!AT21=""),"—",IF(AND('📝 Four-tier กรอก'!AR21='📝 Four-tier กรอก'!AR6,'📝 Four-tier กรอก'!AS21="Y",'📝 Four-tier กรอก'!AT21='📝 Four-tier กรอก'!AT6,'📝 Four-tier กรอก'!AU21="Y"),"✅ Sound",IF(AND('📝 Four-tier กรอก'!AR21='📝 Four-tier กรอก'!AR6,'📝 Four-tier กรอก'!AS21="Y",'📝 Four-tier กรอก'!AT21&lt;&gt;'📝 Four-tier กรอก'!AT6,'📝 Four-tier กรอก'!AU21="Y"),"🎲 Guess",IF(AND('📝 Four-tier กรอก'!AR21&lt;&gt;'📝 Four-tier กรอก'!AR6,'📝 Four-tier กรอก'!AS21="Y",'📝 Four-tier กรอก'!AT21&lt;&gt;'📝 Four-tier กรอก'!AT6,'📝 Four-tier กรอก'!AU21="Y"),"❌ Misc.",IF(AND('📝 Four-tier กรอก'!AR21&lt;&gt;'📝 Four-tier กรอก'!AR6,'📝 Four-tier กรอก'!AS21="N",'📝 Four-tier กรอก'!AT21&lt;&gt;'📝 Four-tier กรอก'!AT6,'📝 Four-tier กรอก'!AU21="N"),"❓ NoK","🤔 Partial")))))</f>
        <v/>
      </c>
      <c r="O19" s="67">
        <f>IF(OR('📝 Four-tier กรอก'!AV21="",'📝 Four-tier กรอก'!AX21=""),"—",IF(AND('📝 Four-tier กรอก'!AV21='📝 Four-tier กรอก'!AV6,'📝 Four-tier กรอก'!AW21="Y",'📝 Four-tier กรอก'!AX21='📝 Four-tier กรอก'!AX6,'📝 Four-tier กรอก'!AY21="Y"),"✅ Sound",IF(AND('📝 Four-tier กรอก'!AV21='📝 Four-tier กรอก'!AV6,'📝 Four-tier กรอก'!AW21="Y",'📝 Four-tier กรอก'!AX21&lt;&gt;'📝 Four-tier กรอก'!AX6,'📝 Four-tier กรอก'!AY21="Y"),"🎲 Guess",IF(AND('📝 Four-tier กรอก'!AV21&lt;&gt;'📝 Four-tier กรอก'!AV6,'📝 Four-tier กรอก'!AW21="Y",'📝 Four-tier กรอก'!AX21&lt;&gt;'📝 Four-tier กรอก'!AX6,'📝 Four-tier กรอก'!AY21="Y"),"❌ Misc.",IF(AND('📝 Four-tier กรอก'!AV21&lt;&gt;'📝 Four-tier กรอก'!AV6,'📝 Four-tier กรอก'!AW21="N",'📝 Four-tier กรอก'!AX21&lt;&gt;'📝 Four-tier กรอก'!AX6,'📝 Four-tier กรอก'!AY21="N"),"❓ NoK","🤔 Partial")))))</f>
        <v/>
      </c>
      <c r="P19" s="67">
        <f>IF(OR('📝 Four-tier กรอก'!AZ21="",'📝 Four-tier กรอก'!BB21=""),"—",IF(AND('📝 Four-tier กรอก'!AZ21='📝 Four-tier กรอก'!AZ6,'📝 Four-tier กรอก'!BA21="Y",'📝 Four-tier กรอก'!BB21='📝 Four-tier กรอก'!BB6,'📝 Four-tier กรอก'!BC21="Y"),"✅ Sound",IF(AND('📝 Four-tier กรอก'!AZ21='📝 Four-tier กรอก'!AZ6,'📝 Four-tier กรอก'!BA21="Y",'📝 Four-tier กรอก'!BB21&lt;&gt;'📝 Four-tier กรอก'!BB6,'📝 Four-tier กรอก'!BC21="Y"),"🎲 Guess",IF(AND('📝 Four-tier กรอก'!AZ21&lt;&gt;'📝 Four-tier กรอก'!AZ6,'📝 Four-tier กรอก'!BA21="Y",'📝 Four-tier กรอก'!BB21&lt;&gt;'📝 Four-tier กรอก'!BB6,'📝 Four-tier กรอก'!BC21="Y"),"❌ Misc.",IF(AND('📝 Four-tier กรอก'!AZ21&lt;&gt;'📝 Four-tier กรอก'!AZ6,'📝 Four-tier กรอก'!BA21="N",'📝 Four-tier กรอก'!BB21&lt;&gt;'📝 Four-tier กรอก'!BB6,'📝 Four-tier กรอก'!BC21="N"),"❓ NoK","🤔 Partial")))))</f>
        <v/>
      </c>
      <c r="Q19" s="67">
        <f>IF(OR('📝 Four-tier กรอก'!BD21="",'📝 Four-tier กรอก'!BF21=""),"—",IF(AND('📝 Four-tier กรอก'!BD21='📝 Four-tier กรอก'!BD6,'📝 Four-tier กรอก'!BE21="Y",'📝 Four-tier กรอก'!BF21='📝 Four-tier กรอก'!BF6,'📝 Four-tier กรอก'!BG21="Y"),"✅ Sound",IF(AND('📝 Four-tier กรอก'!BD21='📝 Four-tier กรอก'!BD6,'📝 Four-tier กรอก'!BE21="Y",'📝 Four-tier กรอก'!BF21&lt;&gt;'📝 Four-tier กรอก'!BF6,'📝 Four-tier กรอก'!BG21="Y"),"🎲 Guess",IF(AND('📝 Four-tier กรอก'!BD21&lt;&gt;'📝 Four-tier กรอก'!BD6,'📝 Four-tier กรอก'!BE21="Y",'📝 Four-tier กรอก'!BF21&lt;&gt;'📝 Four-tier กรอก'!BF6,'📝 Four-tier กรอก'!BG21="Y"),"❌ Misc.",IF(AND('📝 Four-tier กรอก'!BD21&lt;&gt;'📝 Four-tier กรอก'!BD6,'📝 Four-tier กรอก'!BE21="N",'📝 Four-tier กรอก'!BF21&lt;&gt;'📝 Four-tier กรอก'!BF6,'📝 Four-tier กรอก'!BG21="N"),"❓ NoK","🤔 Partial")))))</f>
        <v/>
      </c>
      <c r="R19" s="67">
        <f>IF(OR('📝 Four-tier กรอก'!BH21="",'📝 Four-tier กรอก'!BJ21=""),"—",IF(AND('📝 Four-tier กรอก'!BH21='📝 Four-tier กรอก'!BH6,'📝 Four-tier กรอก'!BI21="Y",'📝 Four-tier กรอก'!BJ21='📝 Four-tier กรอก'!BJ6,'📝 Four-tier กรอก'!BK21="Y"),"✅ Sound",IF(AND('📝 Four-tier กรอก'!BH21='📝 Four-tier กรอก'!BH6,'📝 Four-tier กรอก'!BI21="Y",'📝 Four-tier กรอก'!BJ21&lt;&gt;'📝 Four-tier กรอก'!BJ6,'📝 Four-tier กรอก'!BK21="Y"),"🎲 Guess",IF(AND('📝 Four-tier กรอก'!BH21&lt;&gt;'📝 Four-tier กรอก'!BH6,'📝 Four-tier กรอก'!BI21="Y",'📝 Four-tier กรอก'!BJ21&lt;&gt;'📝 Four-tier กรอก'!BJ6,'📝 Four-tier กรอก'!BK21="Y"),"❌ Misc.",IF(AND('📝 Four-tier กรอก'!BH21&lt;&gt;'📝 Four-tier กรอก'!BH6,'📝 Four-tier กรอก'!BI21="N",'📝 Four-tier กรอก'!BJ21&lt;&gt;'📝 Four-tier กรอก'!BJ6,'📝 Four-tier กรอก'!BK21="N"),"❓ NoK","🤔 Partial")))))</f>
        <v/>
      </c>
      <c r="S19" s="67">
        <f>IF(OR('📝 Four-tier กรอก'!BL21="",'📝 Four-tier กรอก'!BN21=""),"—",IF(AND('📝 Four-tier กรอก'!BL21='📝 Four-tier กรอก'!BL6,'📝 Four-tier กรอก'!BM21="Y",'📝 Four-tier กรอก'!BN21='📝 Four-tier กรอก'!BN6,'📝 Four-tier กรอก'!BO21="Y"),"✅ Sound",IF(AND('📝 Four-tier กรอก'!BL21='📝 Four-tier กรอก'!BL6,'📝 Four-tier กรอก'!BM21="Y",'📝 Four-tier กรอก'!BN21&lt;&gt;'📝 Four-tier กรอก'!BN6,'📝 Four-tier กรอก'!BO21="Y"),"🎲 Guess",IF(AND('📝 Four-tier กรอก'!BL21&lt;&gt;'📝 Four-tier กรอก'!BL6,'📝 Four-tier กรอก'!BM21="Y",'📝 Four-tier กรอก'!BN21&lt;&gt;'📝 Four-tier กรอก'!BN6,'📝 Four-tier กรอก'!BO21="Y"),"❌ Misc.",IF(AND('📝 Four-tier กรอก'!BL21&lt;&gt;'📝 Four-tier กรอก'!BL6,'📝 Four-tier กรอก'!BM21="N",'📝 Four-tier กรอก'!BN21&lt;&gt;'📝 Four-tier กรอก'!BN6,'📝 Four-tier กรอก'!BO21="N"),"❓ NoK","🤔 Partial")))))</f>
        <v/>
      </c>
      <c r="T19" s="67">
        <f>IF(OR('📝 Four-tier กรอก'!BP21="",'📝 Four-tier กรอก'!BR21=""),"—",IF(AND('📝 Four-tier กรอก'!BP21='📝 Four-tier กรอก'!BP6,'📝 Four-tier กรอก'!BQ21="Y",'📝 Four-tier กรอก'!BR21='📝 Four-tier กรอก'!BR6,'📝 Four-tier กรอก'!BS21="Y"),"✅ Sound",IF(AND('📝 Four-tier กรอก'!BP21='📝 Four-tier กรอก'!BP6,'📝 Four-tier กรอก'!BQ21="Y",'📝 Four-tier กรอก'!BR21&lt;&gt;'📝 Four-tier กรอก'!BR6,'📝 Four-tier กรอก'!BS21="Y"),"🎲 Guess",IF(AND('📝 Four-tier กรอก'!BP21&lt;&gt;'📝 Four-tier กรอก'!BP6,'📝 Four-tier กรอก'!BQ21="Y",'📝 Four-tier กรอก'!BR21&lt;&gt;'📝 Four-tier กรอก'!BR6,'📝 Four-tier กรอก'!BS21="Y"),"❌ Misc.",IF(AND('📝 Four-tier กรอก'!BP21&lt;&gt;'📝 Four-tier กรอก'!BP6,'📝 Four-tier กรอก'!BQ21="N",'📝 Four-tier กรอก'!BR21&lt;&gt;'📝 Four-tier กรอก'!BR6,'📝 Four-tier กรอก'!BS21="N"),"❓ NoK","🤔 Partial")))))</f>
        <v/>
      </c>
      <c r="U19" s="67">
        <f>IF(OR('📝 Four-tier กรอก'!BT21="",'📝 Four-tier กรอก'!BV21=""),"—",IF(AND('📝 Four-tier กรอก'!BT21='📝 Four-tier กรอก'!BT6,'📝 Four-tier กรอก'!BU21="Y",'📝 Four-tier กรอก'!BV21='📝 Four-tier กรอก'!BV6,'📝 Four-tier กรอก'!BW21="Y"),"✅ Sound",IF(AND('📝 Four-tier กรอก'!BT21='📝 Four-tier กรอก'!BT6,'📝 Four-tier กรอก'!BU21="Y",'📝 Four-tier กรอก'!BV21&lt;&gt;'📝 Four-tier กรอก'!BV6,'📝 Four-tier กรอก'!BW21="Y"),"🎲 Guess",IF(AND('📝 Four-tier กรอก'!BT21&lt;&gt;'📝 Four-tier กรอก'!BT6,'📝 Four-tier กรอก'!BU21="Y",'📝 Four-tier กรอก'!BV21&lt;&gt;'📝 Four-tier กรอก'!BV6,'📝 Four-tier กรอก'!BW21="Y"),"❌ Misc.",IF(AND('📝 Four-tier กรอก'!BT21&lt;&gt;'📝 Four-tier กรอก'!BT6,'📝 Four-tier กรอก'!BU21="N",'📝 Four-tier กรอก'!BV21&lt;&gt;'📝 Four-tier กรอก'!BV6,'📝 Four-tier กรอก'!BW21="N"),"❓ NoK","🤔 Partial")))))</f>
        <v/>
      </c>
      <c r="V19" s="67">
        <f>IF(OR('📝 Four-tier กรอก'!BX21="",'📝 Four-tier กรอก'!BZ21=""),"—",IF(AND('📝 Four-tier กรอก'!BX21='📝 Four-tier กรอก'!BX6,'📝 Four-tier กรอก'!BY21="Y",'📝 Four-tier กรอก'!BZ21='📝 Four-tier กรอก'!BZ6,'📝 Four-tier กรอก'!CA21="Y"),"✅ Sound",IF(AND('📝 Four-tier กรอก'!BX21='📝 Four-tier กรอก'!BX6,'📝 Four-tier กรอก'!BY21="Y",'📝 Four-tier กรอก'!BZ21&lt;&gt;'📝 Four-tier กรอก'!BZ6,'📝 Four-tier กรอก'!CA21="Y"),"🎲 Guess",IF(AND('📝 Four-tier กรอก'!BX21&lt;&gt;'📝 Four-tier กรอก'!BX6,'📝 Four-tier กรอก'!BY21="Y",'📝 Four-tier กรอก'!BZ21&lt;&gt;'📝 Four-tier กรอก'!BZ6,'📝 Four-tier กรอก'!CA21="Y"),"❌ Misc.",IF(AND('📝 Four-tier กรอก'!BX21&lt;&gt;'📝 Four-tier กรอก'!BX6,'📝 Four-tier กรอก'!BY21="N",'📝 Four-tier กรอก'!BZ21&lt;&gt;'📝 Four-tier กรอก'!BZ6,'📝 Four-tier กรอก'!CA21="N"),"❓ NoK","🤔 Partial")))))</f>
        <v/>
      </c>
      <c r="W19" s="67">
        <f>IF(OR('📝 Four-tier กรอก'!CB21="",'📝 Four-tier กรอก'!CD21=""),"—",IF(AND('📝 Four-tier กรอก'!CB21='📝 Four-tier กรอก'!CB6,'📝 Four-tier กรอก'!CC21="Y",'📝 Four-tier กรอก'!CD21='📝 Four-tier กรอก'!CD6,'📝 Four-tier กรอก'!CE21="Y"),"✅ Sound",IF(AND('📝 Four-tier กรอก'!CB21='📝 Four-tier กรอก'!CB6,'📝 Four-tier กรอก'!CC21="Y",'📝 Four-tier กรอก'!CD21&lt;&gt;'📝 Four-tier กรอก'!CD6,'📝 Four-tier กรอก'!CE21="Y"),"🎲 Guess",IF(AND('📝 Four-tier กรอก'!CB21&lt;&gt;'📝 Four-tier กรอก'!CB6,'📝 Four-tier กรอก'!CC21="Y",'📝 Four-tier กรอก'!CD21&lt;&gt;'📝 Four-tier กรอก'!CD6,'📝 Four-tier กรอก'!CE21="Y"),"❌ Misc.",IF(AND('📝 Four-tier กรอก'!CB21&lt;&gt;'📝 Four-tier กรอก'!CB6,'📝 Four-tier กรอก'!CC21="N",'📝 Four-tier กรอก'!CD21&lt;&gt;'📝 Four-tier กรอก'!CD6,'📝 Four-tier กรอก'!CE21="N"),"❓ NoK","🤔 Partial")))))</f>
        <v/>
      </c>
      <c r="X19" s="37">
        <f>COUNTIF(D19:W19,"✅ Sound")</f>
        <v/>
      </c>
      <c r="Y19" s="37">
        <f>COUNTIF(D19:W19,"❌ Misc.")</f>
        <v/>
      </c>
      <c r="Z19" s="37">
        <f>COUNTIF(D19:W19,"🎲 Guess")</f>
        <v/>
      </c>
      <c r="AA19" s="37">
        <f>COUNTIF(D19:W19,"❓ NoK")</f>
        <v/>
      </c>
    </row>
    <row r="20" ht="18" customHeight="1">
      <c r="B20" s="46">
        <f>'📝 Four-tier กรอก'!B22</f>
        <v/>
      </c>
      <c r="C20" s="51">
        <f>'📝 Four-tier กรอก'!C22</f>
        <v/>
      </c>
      <c r="D20" s="68">
        <f>IF(OR('📝 Four-tier กรอก'!D22="",'📝 Four-tier กรอก'!F22=""),"—",IF(AND('📝 Four-tier กรอก'!D22='📝 Four-tier กรอก'!D6,'📝 Four-tier กรอก'!E22="Y",'📝 Four-tier กรอก'!F22='📝 Four-tier กรอก'!F6,'📝 Four-tier กรอก'!G22="Y"),"✅ Sound",IF(AND('📝 Four-tier กรอก'!D22='📝 Four-tier กรอก'!D6,'📝 Four-tier กรอก'!E22="Y",'📝 Four-tier กรอก'!F22&lt;&gt;'📝 Four-tier กรอก'!F6,'📝 Four-tier กรอก'!G22="Y"),"🎲 Guess",IF(AND('📝 Four-tier กรอก'!D22&lt;&gt;'📝 Four-tier กรอก'!D6,'📝 Four-tier กรอก'!E22="Y",'📝 Four-tier กรอก'!F22&lt;&gt;'📝 Four-tier กรอก'!F6,'📝 Four-tier กรอก'!G22="Y"),"❌ Misc.",IF(AND('📝 Four-tier กรอก'!D22&lt;&gt;'📝 Four-tier กรอก'!D6,'📝 Four-tier กรอก'!E22="N",'📝 Four-tier กรอก'!F22&lt;&gt;'📝 Four-tier กรอก'!F6,'📝 Four-tier กรอก'!G22="N"),"❓ NoK","🤔 Partial")))))</f>
        <v/>
      </c>
      <c r="E20" s="68">
        <f>IF(OR('📝 Four-tier กรอก'!H22="",'📝 Four-tier กรอก'!J22=""),"—",IF(AND('📝 Four-tier กรอก'!H22='📝 Four-tier กรอก'!H6,'📝 Four-tier กรอก'!I22="Y",'📝 Four-tier กรอก'!J22='📝 Four-tier กรอก'!J6,'📝 Four-tier กรอก'!K22="Y"),"✅ Sound",IF(AND('📝 Four-tier กรอก'!H22='📝 Four-tier กรอก'!H6,'📝 Four-tier กรอก'!I22="Y",'📝 Four-tier กรอก'!J22&lt;&gt;'📝 Four-tier กรอก'!J6,'📝 Four-tier กรอก'!K22="Y"),"🎲 Guess",IF(AND('📝 Four-tier กรอก'!H22&lt;&gt;'📝 Four-tier กรอก'!H6,'📝 Four-tier กรอก'!I22="Y",'📝 Four-tier กรอก'!J22&lt;&gt;'📝 Four-tier กรอก'!J6,'📝 Four-tier กรอก'!K22="Y"),"❌ Misc.",IF(AND('📝 Four-tier กรอก'!H22&lt;&gt;'📝 Four-tier กรอก'!H6,'📝 Four-tier กรอก'!I22="N",'📝 Four-tier กรอก'!J22&lt;&gt;'📝 Four-tier กรอก'!J6,'📝 Four-tier กรอก'!K22="N"),"❓ NoK","🤔 Partial")))))</f>
        <v/>
      </c>
      <c r="F20" s="68">
        <f>IF(OR('📝 Four-tier กรอก'!L22="",'📝 Four-tier กรอก'!N22=""),"—",IF(AND('📝 Four-tier กรอก'!L22='📝 Four-tier กรอก'!L6,'📝 Four-tier กรอก'!M22="Y",'📝 Four-tier กรอก'!N22='📝 Four-tier กรอก'!N6,'📝 Four-tier กรอก'!O22="Y"),"✅ Sound",IF(AND('📝 Four-tier กรอก'!L22='📝 Four-tier กรอก'!L6,'📝 Four-tier กรอก'!M22="Y",'📝 Four-tier กรอก'!N22&lt;&gt;'📝 Four-tier กรอก'!N6,'📝 Four-tier กรอก'!O22="Y"),"🎲 Guess",IF(AND('📝 Four-tier กรอก'!L22&lt;&gt;'📝 Four-tier กรอก'!L6,'📝 Four-tier กรอก'!M22="Y",'📝 Four-tier กรอก'!N22&lt;&gt;'📝 Four-tier กรอก'!N6,'📝 Four-tier กรอก'!O22="Y"),"❌ Misc.",IF(AND('📝 Four-tier กรอก'!L22&lt;&gt;'📝 Four-tier กรอก'!L6,'📝 Four-tier กรอก'!M22="N",'📝 Four-tier กรอก'!N22&lt;&gt;'📝 Four-tier กรอก'!N6,'📝 Four-tier กรอก'!O22="N"),"❓ NoK","🤔 Partial")))))</f>
        <v/>
      </c>
      <c r="G20" s="68">
        <f>IF(OR('📝 Four-tier กรอก'!P22="",'📝 Four-tier กรอก'!R22=""),"—",IF(AND('📝 Four-tier กรอก'!P22='📝 Four-tier กรอก'!P6,'📝 Four-tier กรอก'!Q22="Y",'📝 Four-tier กรอก'!R22='📝 Four-tier กรอก'!R6,'📝 Four-tier กรอก'!S22="Y"),"✅ Sound",IF(AND('📝 Four-tier กรอก'!P22='📝 Four-tier กรอก'!P6,'📝 Four-tier กรอก'!Q22="Y",'📝 Four-tier กรอก'!R22&lt;&gt;'📝 Four-tier กรอก'!R6,'📝 Four-tier กรอก'!S22="Y"),"🎲 Guess",IF(AND('📝 Four-tier กรอก'!P22&lt;&gt;'📝 Four-tier กรอก'!P6,'📝 Four-tier กรอก'!Q22="Y",'📝 Four-tier กรอก'!R22&lt;&gt;'📝 Four-tier กรอก'!R6,'📝 Four-tier กรอก'!S22="Y"),"❌ Misc.",IF(AND('📝 Four-tier กรอก'!P22&lt;&gt;'📝 Four-tier กรอก'!P6,'📝 Four-tier กรอก'!Q22="N",'📝 Four-tier กรอก'!R22&lt;&gt;'📝 Four-tier กรอก'!R6,'📝 Four-tier กรอก'!S22="N"),"❓ NoK","🤔 Partial")))))</f>
        <v/>
      </c>
      <c r="H20" s="68">
        <f>IF(OR('📝 Four-tier กรอก'!T22="",'📝 Four-tier กรอก'!V22=""),"—",IF(AND('📝 Four-tier กรอก'!T22='📝 Four-tier กรอก'!T6,'📝 Four-tier กรอก'!U22="Y",'📝 Four-tier กรอก'!V22='📝 Four-tier กรอก'!V6,'📝 Four-tier กรอก'!W22="Y"),"✅ Sound",IF(AND('📝 Four-tier กรอก'!T22='📝 Four-tier กรอก'!T6,'📝 Four-tier กรอก'!U22="Y",'📝 Four-tier กรอก'!V22&lt;&gt;'📝 Four-tier กรอก'!V6,'📝 Four-tier กรอก'!W22="Y"),"🎲 Guess",IF(AND('📝 Four-tier กรอก'!T22&lt;&gt;'📝 Four-tier กรอก'!T6,'📝 Four-tier กรอก'!U22="Y",'📝 Four-tier กรอก'!V22&lt;&gt;'📝 Four-tier กรอก'!V6,'📝 Four-tier กรอก'!W22="Y"),"❌ Misc.",IF(AND('📝 Four-tier กรอก'!T22&lt;&gt;'📝 Four-tier กรอก'!T6,'📝 Four-tier กรอก'!U22="N",'📝 Four-tier กรอก'!V22&lt;&gt;'📝 Four-tier กรอก'!V6,'📝 Four-tier กรอก'!W22="N"),"❓ NoK","🤔 Partial")))))</f>
        <v/>
      </c>
      <c r="I20" s="68">
        <f>IF(OR('📝 Four-tier กรอก'!X22="",'📝 Four-tier กรอก'!Z22=""),"—",IF(AND('📝 Four-tier กรอก'!X22='📝 Four-tier กรอก'!X6,'📝 Four-tier กรอก'!Y22="Y",'📝 Four-tier กรอก'!Z22='📝 Four-tier กรอก'!Z6,'📝 Four-tier กรอก'!AA22="Y"),"✅ Sound",IF(AND('📝 Four-tier กรอก'!X22='📝 Four-tier กรอก'!X6,'📝 Four-tier กรอก'!Y22="Y",'📝 Four-tier กรอก'!Z22&lt;&gt;'📝 Four-tier กรอก'!Z6,'📝 Four-tier กรอก'!AA22="Y"),"🎲 Guess",IF(AND('📝 Four-tier กรอก'!X22&lt;&gt;'📝 Four-tier กรอก'!X6,'📝 Four-tier กรอก'!Y22="Y",'📝 Four-tier กรอก'!Z22&lt;&gt;'📝 Four-tier กรอก'!Z6,'📝 Four-tier กรอก'!AA22="Y"),"❌ Misc.",IF(AND('📝 Four-tier กรอก'!X22&lt;&gt;'📝 Four-tier กรอก'!X6,'📝 Four-tier กรอก'!Y22="N",'📝 Four-tier กรอก'!Z22&lt;&gt;'📝 Four-tier กรอก'!Z6,'📝 Four-tier กรอก'!AA22="N"),"❓ NoK","🤔 Partial")))))</f>
        <v/>
      </c>
      <c r="J20" s="68">
        <f>IF(OR('📝 Four-tier กรอก'!AB22="",'📝 Four-tier กรอก'!AD22=""),"—",IF(AND('📝 Four-tier กรอก'!AB22='📝 Four-tier กรอก'!AB6,'📝 Four-tier กรอก'!AC22="Y",'📝 Four-tier กรอก'!AD22='📝 Four-tier กรอก'!AD6,'📝 Four-tier กรอก'!AE22="Y"),"✅ Sound",IF(AND('📝 Four-tier กรอก'!AB22='📝 Four-tier กรอก'!AB6,'📝 Four-tier กรอก'!AC22="Y",'📝 Four-tier กรอก'!AD22&lt;&gt;'📝 Four-tier กรอก'!AD6,'📝 Four-tier กรอก'!AE22="Y"),"🎲 Guess",IF(AND('📝 Four-tier กรอก'!AB22&lt;&gt;'📝 Four-tier กรอก'!AB6,'📝 Four-tier กรอก'!AC22="Y",'📝 Four-tier กรอก'!AD22&lt;&gt;'📝 Four-tier กรอก'!AD6,'📝 Four-tier กรอก'!AE22="Y"),"❌ Misc.",IF(AND('📝 Four-tier กรอก'!AB22&lt;&gt;'📝 Four-tier กรอก'!AB6,'📝 Four-tier กรอก'!AC22="N",'📝 Four-tier กรอก'!AD22&lt;&gt;'📝 Four-tier กรอก'!AD6,'📝 Four-tier กรอก'!AE22="N"),"❓ NoK","🤔 Partial")))))</f>
        <v/>
      </c>
      <c r="K20" s="68">
        <f>IF(OR('📝 Four-tier กรอก'!AF22="",'📝 Four-tier กรอก'!AH22=""),"—",IF(AND('📝 Four-tier กรอก'!AF22='📝 Four-tier กรอก'!AF6,'📝 Four-tier กรอก'!AG22="Y",'📝 Four-tier กรอก'!AH22='📝 Four-tier กรอก'!AH6,'📝 Four-tier กรอก'!AI22="Y"),"✅ Sound",IF(AND('📝 Four-tier กรอก'!AF22='📝 Four-tier กรอก'!AF6,'📝 Four-tier กรอก'!AG22="Y",'📝 Four-tier กรอก'!AH22&lt;&gt;'📝 Four-tier กรอก'!AH6,'📝 Four-tier กรอก'!AI22="Y"),"🎲 Guess",IF(AND('📝 Four-tier กรอก'!AF22&lt;&gt;'📝 Four-tier กรอก'!AF6,'📝 Four-tier กรอก'!AG22="Y",'📝 Four-tier กรอก'!AH22&lt;&gt;'📝 Four-tier กรอก'!AH6,'📝 Four-tier กรอก'!AI22="Y"),"❌ Misc.",IF(AND('📝 Four-tier กรอก'!AF22&lt;&gt;'📝 Four-tier กรอก'!AF6,'📝 Four-tier กรอก'!AG22="N",'📝 Four-tier กรอก'!AH22&lt;&gt;'📝 Four-tier กรอก'!AH6,'📝 Four-tier กรอก'!AI22="N"),"❓ NoK","🤔 Partial")))))</f>
        <v/>
      </c>
      <c r="L20" s="68">
        <f>IF(OR('📝 Four-tier กรอก'!AJ22="",'📝 Four-tier กรอก'!AL22=""),"—",IF(AND('📝 Four-tier กรอก'!AJ22='📝 Four-tier กรอก'!AJ6,'📝 Four-tier กรอก'!AK22="Y",'📝 Four-tier กรอก'!AL22='📝 Four-tier กรอก'!AL6,'📝 Four-tier กรอก'!AM22="Y"),"✅ Sound",IF(AND('📝 Four-tier กรอก'!AJ22='📝 Four-tier กรอก'!AJ6,'📝 Four-tier กรอก'!AK22="Y",'📝 Four-tier กรอก'!AL22&lt;&gt;'📝 Four-tier กรอก'!AL6,'📝 Four-tier กรอก'!AM22="Y"),"🎲 Guess",IF(AND('📝 Four-tier กรอก'!AJ22&lt;&gt;'📝 Four-tier กรอก'!AJ6,'📝 Four-tier กรอก'!AK22="Y",'📝 Four-tier กรอก'!AL22&lt;&gt;'📝 Four-tier กรอก'!AL6,'📝 Four-tier กรอก'!AM22="Y"),"❌ Misc.",IF(AND('📝 Four-tier กรอก'!AJ22&lt;&gt;'📝 Four-tier กรอก'!AJ6,'📝 Four-tier กรอก'!AK22="N",'📝 Four-tier กรอก'!AL22&lt;&gt;'📝 Four-tier กรอก'!AL6,'📝 Four-tier กรอก'!AM22="N"),"❓ NoK","🤔 Partial")))))</f>
        <v/>
      </c>
      <c r="M20" s="68">
        <f>IF(OR('📝 Four-tier กรอก'!AN22="",'📝 Four-tier กรอก'!AP22=""),"—",IF(AND('📝 Four-tier กรอก'!AN22='📝 Four-tier กรอก'!AN6,'📝 Four-tier กรอก'!AO22="Y",'📝 Four-tier กรอก'!AP22='📝 Four-tier กรอก'!AP6,'📝 Four-tier กรอก'!AQ22="Y"),"✅ Sound",IF(AND('📝 Four-tier กรอก'!AN22='📝 Four-tier กรอก'!AN6,'📝 Four-tier กรอก'!AO22="Y",'📝 Four-tier กรอก'!AP22&lt;&gt;'📝 Four-tier กรอก'!AP6,'📝 Four-tier กรอก'!AQ22="Y"),"🎲 Guess",IF(AND('📝 Four-tier กรอก'!AN22&lt;&gt;'📝 Four-tier กรอก'!AN6,'📝 Four-tier กรอก'!AO22="Y",'📝 Four-tier กรอก'!AP22&lt;&gt;'📝 Four-tier กรอก'!AP6,'📝 Four-tier กรอก'!AQ22="Y"),"❌ Misc.",IF(AND('📝 Four-tier กรอก'!AN22&lt;&gt;'📝 Four-tier กรอก'!AN6,'📝 Four-tier กรอก'!AO22="N",'📝 Four-tier กรอก'!AP22&lt;&gt;'📝 Four-tier กรอก'!AP6,'📝 Four-tier กรอก'!AQ22="N"),"❓ NoK","🤔 Partial")))))</f>
        <v/>
      </c>
      <c r="N20" s="68">
        <f>IF(OR('📝 Four-tier กรอก'!AR22="",'📝 Four-tier กรอก'!AT22=""),"—",IF(AND('📝 Four-tier กรอก'!AR22='📝 Four-tier กรอก'!AR6,'📝 Four-tier กรอก'!AS22="Y",'📝 Four-tier กรอก'!AT22='📝 Four-tier กรอก'!AT6,'📝 Four-tier กรอก'!AU22="Y"),"✅ Sound",IF(AND('📝 Four-tier กรอก'!AR22='📝 Four-tier กรอก'!AR6,'📝 Four-tier กรอก'!AS22="Y",'📝 Four-tier กรอก'!AT22&lt;&gt;'📝 Four-tier กรอก'!AT6,'📝 Four-tier กรอก'!AU22="Y"),"🎲 Guess",IF(AND('📝 Four-tier กรอก'!AR22&lt;&gt;'📝 Four-tier กรอก'!AR6,'📝 Four-tier กรอก'!AS22="Y",'📝 Four-tier กรอก'!AT22&lt;&gt;'📝 Four-tier กรอก'!AT6,'📝 Four-tier กรอก'!AU22="Y"),"❌ Misc.",IF(AND('📝 Four-tier กรอก'!AR22&lt;&gt;'📝 Four-tier กรอก'!AR6,'📝 Four-tier กรอก'!AS22="N",'📝 Four-tier กรอก'!AT22&lt;&gt;'📝 Four-tier กรอก'!AT6,'📝 Four-tier กรอก'!AU22="N"),"❓ NoK","🤔 Partial")))))</f>
        <v/>
      </c>
      <c r="O20" s="68">
        <f>IF(OR('📝 Four-tier กรอก'!AV22="",'📝 Four-tier กรอก'!AX22=""),"—",IF(AND('📝 Four-tier กรอก'!AV22='📝 Four-tier กรอก'!AV6,'📝 Four-tier กรอก'!AW22="Y",'📝 Four-tier กรอก'!AX22='📝 Four-tier กรอก'!AX6,'📝 Four-tier กรอก'!AY22="Y"),"✅ Sound",IF(AND('📝 Four-tier กรอก'!AV22='📝 Four-tier กรอก'!AV6,'📝 Four-tier กรอก'!AW22="Y",'📝 Four-tier กรอก'!AX22&lt;&gt;'📝 Four-tier กรอก'!AX6,'📝 Four-tier กรอก'!AY22="Y"),"🎲 Guess",IF(AND('📝 Four-tier กรอก'!AV22&lt;&gt;'📝 Four-tier กรอก'!AV6,'📝 Four-tier กรอก'!AW22="Y",'📝 Four-tier กรอก'!AX22&lt;&gt;'📝 Four-tier กรอก'!AX6,'📝 Four-tier กรอก'!AY22="Y"),"❌ Misc.",IF(AND('📝 Four-tier กรอก'!AV22&lt;&gt;'📝 Four-tier กรอก'!AV6,'📝 Four-tier กรอก'!AW22="N",'📝 Four-tier กรอก'!AX22&lt;&gt;'📝 Four-tier กรอก'!AX6,'📝 Four-tier กรอก'!AY22="N"),"❓ NoK","🤔 Partial")))))</f>
        <v/>
      </c>
      <c r="P20" s="68">
        <f>IF(OR('📝 Four-tier กรอก'!AZ22="",'📝 Four-tier กรอก'!BB22=""),"—",IF(AND('📝 Four-tier กรอก'!AZ22='📝 Four-tier กรอก'!AZ6,'📝 Four-tier กรอก'!BA22="Y",'📝 Four-tier กรอก'!BB22='📝 Four-tier กรอก'!BB6,'📝 Four-tier กรอก'!BC22="Y"),"✅ Sound",IF(AND('📝 Four-tier กรอก'!AZ22='📝 Four-tier กรอก'!AZ6,'📝 Four-tier กรอก'!BA22="Y",'📝 Four-tier กรอก'!BB22&lt;&gt;'📝 Four-tier กรอก'!BB6,'📝 Four-tier กรอก'!BC22="Y"),"🎲 Guess",IF(AND('📝 Four-tier กรอก'!AZ22&lt;&gt;'📝 Four-tier กรอก'!AZ6,'📝 Four-tier กรอก'!BA22="Y",'📝 Four-tier กรอก'!BB22&lt;&gt;'📝 Four-tier กรอก'!BB6,'📝 Four-tier กรอก'!BC22="Y"),"❌ Misc.",IF(AND('📝 Four-tier กรอก'!AZ22&lt;&gt;'📝 Four-tier กรอก'!AZ6,'📝 Four-tier กรอก'!BA22="N",'📝 Four-tier กรอก'!BB22&lt;&gt;'📝 Four-tier กรอก'!BB6,'📝 Four-tier กรอก'!BC22="N"),"❓ NoK","🤔 Partial")))))</f>
        <v/>
      </c>
      <c r="Q20" s="68">
        <f>IF(OR('📝 Four-tier กรอก'!BD22="",'📝 Four-tier กรอก'!BF22=""),"—",IF(AND('📝 Four-tier กรอก'!BD22='📝 Four-tier กรอก'!BD6,'📝 Four-tier กรอก'!BE22="Y",'📝 Four-tier กรอก'!BF22='📝 Four-tier กรอก'!BF6,'📝 Four-tier กรอก'!BG22="Y"),"✅ Sound",IF(AND('📝 Four-tier กรอก'!BD22='📝 Four-tier กรอก'!BD6,'📝 Four-tier กรอก'!BE22="Y",'📝 Four-tier กรอก'!BF22&lt;&gt;'📝 Four-tier กรอก'!BF6,'📝 Four-tier กรอก'!BG22="Y"),"🎲 Guess",IF(AND('📝 Four-tier กรอก'!BD22&lt;&gt;'📝 Four-tier กรอก'!BD6,'📝 Four-tier กรอก'!BE22="Y",'📝 Four-tier กรอก'!BF22&lt;&gt;'📝 Four-tier กรอก'!BF6,'📝 Four-tier กรอก'!BG22="Y"),"❌ Misc.",IF(AND('📝 Four-tier กรอก'!BD22&lt;&gt;'📝 Four-tier กรอก'!BD6,'📝 Four-tier กรอก'!BE22="N",'📝 Four-tier กรอก'!BF22&lt;&gt;'📝 Four-tier กรอก'!BF6,'📝 Four-tier กรอก'!BG22="N"),"❓ NoK","🤔 Partial")))))</f>
        <v/>
      </c>
      <c r="R20" s="68">
        <f>IF(OR('📝 Four-tier กรอก'!BH22="",'📝 Four-tier กรอก'!BJ22=""),"—",IF(AND('📝 Four-tier กรอก'!BH22='📝 Four-tier กรอก'!BH6,'📝 Four-tier กรอก'!BI22="Y",'📝 Four-tier กรอก'!BJ22='📝 Four-tier กรอก'!BJ6,'📝 Four-tier กรอก'!BK22="Y"),"✅ Sound",IF(AND('📝 Four-tier กรอก'!BH22='📝 Four-tier กรอก'!BH6,'📝 Four-tier กรอก'!BI22="Y",'📝 Four-tier กรอก'!BJ22&lt;&gt;'📝 Four-tier กรอก'!BJ6,'📝 Four-tier กรอก'!BK22="Y"),"🎲 Guess",IF(AND('📝 Four-tier กรอก'!BH22&lt;&gt;'📝 Four-tier กรอก'!BH6,'📝 Four-tier กรอก'!BI22="Y",'📝 Four-tier กรอก'!BJ22&lt;&gt;'📝 Four-tier กรอก'!BJ6,'📝 Four-tier กรอก'!BK22="Y"),"❌ Misc.",IF(AND('📝 Four-tier กรอก'!BH22&lt;&gt;'📝 Four-tier กรอก'!BH6,'📝 Four-tier กรอก'!BI22="N",'📝 Four-tier กรอก'!BJ22&lt;&gt;'📝 Four-tier กรอก'!BJ6,'📝 Four-tier กรอก'!BK22="N"),"❓ NoK","🤔 Partial")))))</f>
        <v/>
      </c>
      <c r="S20" s="68">
        <f>IF(OR('📝 Four-tier กรอก'!BL22="",'📝 Four-tier กรอก'!BN22=""),"—",IF(AND('📝 Four-tier กรอก'!BL22='📝 Four-tier กรอก'!BL6,'📝 Four-tier กรอก'!BM22="Y",'📝 Four-tier กรอก'!BN22='📝 Four-tier กรอก'!BN6,'📝 Four-tier กรอก'!BO22="Y"),"✅ Sound",IF(AND('📝 Four-tier กรอก'!BL22='📝 Four-tier กรอก'!BL6,'📝 Four-tier กรอก'!BM22="Y",'📝 Four-tier กรอก'!BN22&lt;&gt;'📝 Four-tier กรอก'!BN6,'📝 Four-tier กรอก'!BO22="Y"),"🎲 Guess",IF(AND('📝 Four-tier กรอก'!BL22&lt;&gt;'📝 Four-tier กรอก'!BL6,'📝 Four-tier กรอก'!BM22="Y",'📝 Four-tier กรอก'!BN22&lt;&gt;'📝 Four-tier กรอก'!BN6,'📝 Four-tier กรอก'!BO22="Y"),"❌ Misc.",IF(AND('📝 Four-tier กรอก'!BL22&lt;&gt;'📝 Four-tier กรอก'!BL6,'📝 Four-tier กรอก'!BM22="N",'📝 Four-tier กรอก'!BN22&lt;&gt;'📝 Four-tier กรอก'!BN6,'📝 Four-tier กรอก'!BO22="N"),"❓ NoK","🤔 Partial")))))</f>
        <v/>
      </c>
      <c r="T20" s="68">
        <f>IF(OR('📝 Four-tier กรอก'!BP22="",'📝 Four-tier กรอก'!BR22=""),"—",IF(AND('📝 Four-tier กรอก'!BP22='📝 Four-tier กรอก'!BP6,'📝 Four-tier กรอก'!BQ22="Y",'📝 Four-tier กรอก'!BR22='📝 Four-tier กรอก'!BR6,'📝 Four-tier กรอก'!BS22="Y"),"✅ Sound",IF(AND('📝 Four-tier กรอก'!BP22='📝 Four-tier กรอก'!BP6,'📝 Four-tier กรอก'!BQ22="Y",'📝 Four-tier กรอก'!BR22&lt;&gt;'📝 Four-tier กรอก'!BR6,'📝 Four-tier กรอก'!BS22="Y"),"🎲 Guess",IF(AND('📝 Four-tier กรอก'!BP22&lt;&gt;'📝 Four-tier กรอก'!BP6,'📝 Four-tier กรอก'!BQ22="Y",'📝 Four-tier กรอก'!BR22&lt;&gt;'📝 Four-tier กรอก'!BR6,'📝 Four-tier กรอก'!BS22="Y"),"❌ Misc.",IF(AND('📝 Four-tier กรอก'!BP22&lt;&gt;'📝 Four-tier กรอก'!BP6,'📝 Four-tier กรอก'!BQ22="N",'📝 Four-tier กรอก'!BR22&lt;&gt;'📝 Four-tier กรอก'!BR6,'📝 Four-tier กรอก'!BS22="N"),"❓ NoK","🤔 Partial")))))</f>
        <v/>
      </c>
      <c r="U20" s="68">
        <f>IF(OR('📝 Four-tier กรอก'!BT22="",'📝 Four-tier กรอก'!BV22=""),"—",IF(AND('📝 Four-tier กรอก'!BT22='📝 Four-tier กรอก'!BT6,'📝 Four-tier กรอก'!BU22="Y",'📝 Four-tier กรอก'!BV22='📝 Four-tier กรอก'!BV6,'📝 Four-tier กรอก'!BW22="Y"),"✅ Sound",IF(AND('📝 Four-tier กรอก'!BT22='📝 Four-tier กรอก'!BT6,'📝 Four-tier กรอก'!BU22="Y",'📝 Four-tier กรอก'!BV22&lt;&gt;'📝 Four-tier กรอก'!BV6,'📝 Four-tier กรอก'!BW22="Y"),"🎲 Guess",IF(AND('📝 Four-tier กรอก'!BT22&lt;&gt;'📝 Four-tier กรอก'!BT6,'📝 Four-tier กรอก'!BU22="Y",'📝 Four-tier กรอก'!BV22&lt;&gt;'📝 Four-tier กรอก'!BV6,'📝 Four-tier กรอก'!BW22="Y"),"❌ Misc.",IF(AND('📝 Four-tier กรอก'!BT22&lt;&gt;'📝 Four-tier กรอก'!BT6,'📝 Four-tier กรอก'!BU22="N",'📝 Four-tier กรอก'!BV22&lt;&gt;'📝 Four-tier กรอก'!BV6,'📝 Four-tier กรอก'!BW22="N"),"❓ NoK","🤔 Partial")))))</f>
        <v/>
      </c>
      <c r="V20" s="68">
        <f>IF(OR('📝 Four-tier กรอก'!BX22="",'📝 Four-tier กรอก'!BZ22=""),"—",IF(AND('📝 Four-tier กรอก'!BX22='📝 Four-tier กรอก'!BX6,'📝 Four-tier กรอก'!BY22="Y",'📝 Four-tier กรอก'!BZ22='📝 Four-tier กรอก'!BZ6,'📝 Four-tier กรอก'!CA22="Y"),"✅ Sound",IF(AND('📝 Four-tier กรอก'!BX22='📝 Four-tier กรอก'!BX6,'📝 Four-tier กรอก'!BY22="Y",'📝 Four-tier กรอก'!BZ22&lt;&gt;'📝 Four-tier กรอก'!BZ6,'📝 Four-tier กรอก'!CA22="Y"),"🎲 Guess",IF(AND('📝 Four-tier กรอก'!BX22&lt;&gt;'📝 Four-tier กรอก'!BX6,'📝 Four-tier กรอก'!BY22="Y",'📝 Four-tier กรอก'!BZ22&lt;&gt;'📝 Four-tier กรอก'!BZ6,'📝 Four-tier กรอก'!CA22="Y"),"❌ Misc.",IF(AND('📝 Four-tier กรอก'!BX22&lt;&gt;'📝 Four-tier กรอก'!BX6,'📝 Four-tier กรอก'!BY22="N",'📝 Four-tier กรอก'!BZ22&lt;&gt;'📝 Four-tier กรอก'!BZ6,'📝 Four-tier กรอก'!CA22="N"),"❓ NoK","🤔 Partial")))))</f>
        <v/>
      </c>
      <c r="W20" s="68">
        <f>IF(OR('📝 Four-tier กรอก'!CB22="",'📝 Four-tier กรอก'!CD22=""),"—",IF(AND('📝 Four-tier กรอก'!CB22='📝 Four-tier กรอก'!CB6,'📝 Four-tier กรอก'!CC22="Y",'📝 Four-tier กรอก'!CD22='📝 Four-tier กรอก'!CD6,'📝 Four-tier กรอก'!CE22="Y"),"✅ Sound",IF(AND('📝 Four-tier กรอก'!CB22='📝 Four-tier กรอก'!CB6,'📝 Four-tier กรอก'!CC22="Y",'📝 Four-tier กรอก'!CD22&lt;&gt;'📝 Four-tier กรอก'!CD6,'📝 Four-tier กรอก'!CE22="Y"),"🎲 Guess",IF(AND('📝 Four-tier กรอก'!CB22&lt;&gt;'📝 Four-tier กรอก'!CB6,'📝 Four-tier กรอก'!CC22="Y",'📝 Four-tier กรอก'!CD22&lt;&gt;'📝 Four-tier กรอก'!CD6,'📝 Four-tier กรอก'!CE22="Y"),"❌ Misc.",IF(AND('📝 Four-tier กรอก'!CB22&lt;&gt;'📝 Four-tier กรอก'!CB6,'📝 Four-tier กรอก'!CC22="N",'📝 Four-tier กรอก'!CD22&lt;&gt;'📝 Four-tier กรอก'!CD6,'📝 Four-tier กรอก'!CE22="N"),"❓ NoK","🤔 Partial")))))</f>
        <v/>
      </c>
      <c r="X20" s="37">
        <f>COUNTIF(D20:W20,"✅ Sound")</f>
        <v/>
      </c>
      <c r="Y20" s="37">
        <f>COUNTIF(D20:W20,"❌ Misc.")</f>
        <v/>
      </c>
      <c r="Z20" s="37">
        <f>COUNTIF(D20:W20,"🎲 Guess")</f>
        <v/>
      </c>
      <c r="AA20" s="37">
        <f>COUNTIF(D20:W20,"❓ NoK")</f>
        <v/>
      </c>
    </row>
    <row r="21" ht="18" customHeight="1">
      <c r="B21" s="46">
        <f>'📝 Four-tier กรอก'!B23</f>
        <v/>
      </c>
      <c r="C21" s="47">
        <f>'📝 Four-tier กรอก'!C23</f>
        <v/>
      </c>
      <c r="D21" s="67">
        <f>IF(OR('📝 Four-tier กรอก'!D23="",'📝 Four-tier กรอก'!F23=""),"—",IF(AND('📝 Four-tier กรอก'!D23='📝 Four-tier กรอก'!D6,'📝 Four-tier กรอก'!E23="Y",'📝 Four-tier กรอก'!F23='📝 Four-tier กรอก'!F6,'📝 Four-tier กรอก'!G23="Y"),"✅ Sound",IF(AND('📝 Four-tier กรอก'!D23='📝 Four-tier กรอก'!D6,'📝 Four-tier กรอก'!E23="Y",'📝 Four-tier กรอก'!F23&lt;&gt;'📝 Four-tier กรอก'!F6,'📝 Four-tier กรอก'!G23="Y"),"🎲 Guess",IF(AND('📝 Four-tier กรอก'!D23&lt;&gt;'📝 Four-tier กรอก'!D6,'📝 Four-tier กรอก'!E23="Y",'📝 Four-tier กรอก'!F23&lt;&gt;'📝 Four-tier กรอก'!F6,'📝 Four-tier กรอก'!G23="Y"),"❌ Misc.",IF(AND('📝 Four-tier กรอก'!D23&lt;&gt;'📝 Four-tier กรอก'!D6,'📝 Four-tier กรอก'!E23="N",'📝 Four-tier กรอก'!F23&lt;&gt;'📝 Four-tier กรอก'!F6,'📝 Four-tier กรอก'!G23="N"),"❓ NoK","🤔 Partial")))))</f>
        <v/>
      </c>
      <c r="E21" s="67">
        <f>IF(OR('📝 Four-tier กรอก'!H23="",'📝 Four-tier กรอก'!J23=""),"—",IF(AND('📝 Four-tier กรอก'!H23='📝 Four-tier กรอก'!H6,'📝 Four-tier กรอก'!I23="Y",'📝 Four-tier กรอก'!J23='📝 Four-tier กรอก'!J6,'📝 Four-tier กรอก'!K23="Y"),"✅ Sound",IF(AND('📝 Four-tier กรอก'!H23='📝 Four-tier กรอก'!H6,'📝 Four-tier กรอก'!I23="Y",'📝 Four-tier กรอก'!J23&lt;&gt;'📝 Four-tier กรอก'!J6,'📝 Four-tier กรอก'!K23="Y"),"🎲 Guess",IF(AND('📝 Four-tier กรอก'!H23&lt;&gt;'📝 Four-tier กรอก'!H6,'📝 Four-tier กรอก'!I23="Y",'📝 Four-tier กรอก'!J23&lt;&gt;'📝 Four-tier กรอก'!J6,'📝 Four-tier กรอก'!K23="Y"),"❌ Misc.",IF(AND('📝 Four-tier กรอก'!H23&lt;&gt;'📝 Four-tier กรอก'!H6,'📝 Four-tier กรอก'!I23="N",'📝 Four-tier กรอก'!J23&lt;&gt;'📝 Four-tier กรอก'!J6,'📝 Four-tier กรอก'!K23="N"),"❓ NoK","🤔 Partial")))))</f>
        <v/>
      </c>
      <c r="F21" s="67">
        <f>IF(OR('📝 Four-tier กรอก'!L23="",'📝 Four-tier กรอก'!N23=""),"—",IF(AND('📝 Four-tier กรอก'!L23='📝 Four-tier กรอก'!L6,'📝 Four-tier กรอก'!M23="Y",'📝 Four-tier กรอก'!N23='📝 Four-tier กรอก'!N6,'📝 Four-tier กรอก'!O23="Y"),"✅ Sound",IF(AND('📝 Four-tier กรอก'!L23='📝 Four-tier กรอก'!L6,'📝 Four-tier กรอก'!M23="Y",'📝 Four-tier กรอก'!N23&lt;&gt;'📝 Four-tier กรอก'!N6,'📝 Four-tier กรอก'!O23="Y"),"🎲 Guess",IF(AND('📝 Four-tier กรอก'!L23&lt;&gt;'📝 Four-tier กรอก'!L6,'📝 Four-tier กรอก'!M23="Y",'📝 Four-tier กรอก'!N23&lt;&gt;'📝 Four-tier กรอก'!N6,'📝 Four-tier กรอก'!O23="Y"),"❌ Misc.",IF(AND('📝 Four-tier กรอก'!L23&lt;&gt;'📝 Four-tier กรอก'!L6,'📝 Four-tier กรอก'!M23="N",'📝 Four-tier กรอก'!N23&lt;&gt;'📝 Four-tier กรอก'!N6,'📝 Four-tier กรอก'!O23="N"),"❓ NoK","🤔 Partial")))))</f>
        <v/>
      </c>
      <c r="G21" s="67">
        <f>IF(OR('📝 Four-tier กรอก'!P23="",'📝 Four-tier กรอก'!R23=""),"—",IF(AND('📝 Four-tier กรอก'!P23='📝 Four-tier กรอก'!P6,'📝 Four-tier กรอก'!Q23="Y",'📝 Four-tier กรอก'!R23='📝 Four-tier กรอก'!R6,'📝 Four-tier กรอก'!S23="Y"),"✅ Sound",IF(AND('📝 Four-tier กรอก'!P23='📝 Four-tier กรอก'!P6,'📝 Four-tier กรอก'!Q23="Y",'📝 Four-tier กรอก'!R23&lt;&gt;'📝 Four-tier กรอก'!R6,'📝 Four-tier กรอก'!S23="Y"),"🎲 Guess",IF(AND('📝 Four-tier กรอก'!P23&lt;&gt;'📝 Four-tier กรอก'!P6,'📝 Four-tier กรอก'!Q23="Y",'📝 Four-tier กรอก'!R23&lt;&gt;'📝 Four-tier กรอก'!R6,'📝 Four-tier กรอก'!S23="Y"),"❌ Misc.",IF(AND('📝 Four-tier กรอก'!P23&lt;&gt;'📝 Four-tier กรอก'!P6,'📝 Four-tier กรอก'!Q23="N",'📝 Four-tier กรอก'!R23&lt;&gt;'📝 Four-tier กรอก'!R6,'📝 Four-tier กรอก'!S23="N"),"❓ NoK","🤔 Partial")))))</f>
        <v/>
      </c>
      <c r="H21" s="67">
        <f>IF(OR('📝 Four-tier กรอก'!T23="",'📝 Four-tier กรอก'!V23=""),"—",IF(AND('📝 Four-tier กรอก'!T23='📝 Four-tier กรอก'!T6,'📝 Four-tier กรอก'!U23="Y",'📝 Four-tier กรอก'!V23='📝 Four-tier กรอก'!V6,'📝 Four-tier กรอก'!W23="Y"),"✅ Sound",IF(AND('📝 Four-tier กรอก'!T23='📝 Four-tier กรอก'!T6,'📝 Four-tier กรอก'!U23="Y",'📝 Four-tier กรอก'!V23&lt;&gt;'📝 Four-tier กรอก'!V6,'📝 Four-tier กรอก'!W23="Y"),"🎲 Guess",IF(AND('📝 Four-tier กรอก'!T23&lt;&gt;'📝 Four-tier กรอก'!T6,'📝 Four-tier กรอก'!U23="Y",'📝 Four-tier กรอก'!V23&lt;&gt;'📝 Four-tier กรอก'!V6,'📝 Four-tier กรอก'!W23="Y"),"❌ Misc.",IF(AND('📝 Four-tier กรอก'!T23&lt;&gt;'📝 Four-tier กรอก'!T6,'📝 Four-tier กรอก'!U23="N",'📝 Four-tier กรอก'!V23&lt;&gt;'📝 Four-tier กรอก'!V6,'📝 Four-tier กรอก'!W23="N"),"❓ NoK","🤔 Partial")))))</f>
        <v/>
      </c>
      <c r="I21" s="67">
        <f>IF(OR('📝 Four-tier กรอก'!X23="",'📝 Four-tier กรอก'!Z23=""),"—",IF(AND('📝 Four-tier กรอก'!X23='📝 Four-tier กรอก'!X6,'📝 Four-tier กรอก'!Y23="Y",'📝 Four-tier กรอก'!Z23='📝 Four-tier กรอก'!Z6,'📝 Four-tier กรอก'!AA23="Y"),"✅ Sound",IF(AND('📝 Four-tier กรอก'!X23='📝 Four-tier กรอก'!X6,'📝 Four-tier กรอก'!Y23="Y",'📝 Four-tier กรอก'!Z23&lt;&gt;'📝 Four-tier กรอก'!Z6,'📝 Four-tier กรอก'!AA23="Y"),"🎲 Guess",IF(AND('📝 Four-tier กรอก'!X23&lt;&gt;'📝 Four-tier กรอก'!X6,'📝 Four-tier กรอก'!Y23="Y",'📝 Four-tier กรอก'!Z23&lt;&gt;'📝 Four-tier กรอก'!Z6,'📝 Four-tier กรอก'!AA23="Y"),"❌ Misc.",IF(AND('📝 Four-tier กรอก'!X23&lt;&gt;'📝 Four-tier กรอก'!X6,'📝 Four-tier กรอก'!Y23="N",'📝 Four-tier กรอก'!Z23&lt;&gt;'📝 Four-tier กรอก'!Z6,'📝 Four-tier กรอก'!AA23="N"),"❓ NoK","🤔 Partial")))))</f>
        <v/>
      </c>
      <c r="J21" s="67">
        <f>IF(OR('📝 Four-tier กรอก'!AB23="",'📝 Four-tier กรอก'!AD23=""),"—",IF(AND('📝 Four-tier กรอก'!AB23='📝 Four-tier กรอก'!AB6,'📝 Four-tier กรอก'!AC23="Y",'📝 Four-tier กรอก'!AD23='📝 Four-tier กรอก'!AD6,'📝 Four-tier กรอก'!AE23="Y"),"✅ Sound",IF(AND('📝 Four-tier กรอก'!AB23='📝 Four-tier กรอก'!AB6,'📝 Four-tier กรอก'!AC23="Y",'📝 Four-tier กรอก'!AD23&lt;&gt;'📝 Four-tier กรอก'!AD6,'📝 Four-tier กรอก'!AE23="Y"),"🎲 Guess",IF(AND('📝 Four-tier กรอก'!AB23&lt;&gt;'📝 Four-tier กรอก'!AB6,'📝 Four-tier กรอก'!AC23="Y",'📝 Four-tier กรอก'!AD23&lt;&gt;'📝 Four-tier กรอก'!AD6,'📝 Four-tier กรอก'!AE23="Y"),"❌ Misc.",IF(AND('📝 Four-tier กรอก'!AB23&lt;&gt;'📝 Four-tier กรอก'!AB6,'📝 Four-tier กรอก'!AC23="N",'📝 Four-tier กรอก'!AD23&lt;&gt;'📝 Four-tier กรอก'!AD6,'📝 Four-tier กรอก'!AE23="N"),"❓ NoK","🤔 Partial")))))</f>
        <v/>
      </c>
      <c r="K21" s="67">
        <f>IF(OR('📝 Four-tier กรอก'!AF23="",'📝 Four-tier กรอก'!AH23=""),"—",IF(AND('📝 Four-tier กรอก'!AF23='📝 Four-tier กรอก'!AF6,'📝 Four-tier กรอก'!AG23="Y",'📝 Four-tier กรอก'!AH23='📝 Four-tier กรอก'!AH6,'📝 Four-tier กรอก'!AI23="Y"),"✅ Sound",IF(AND('📝 Four-tier กรอก'!AF23='📝 Four-tier กรอก'!AF6,'📝 Four-tier กรอก'!AG23="Y",'📝 Four-tier กรอก'!AH23&lt;&gt;'📝 Four-tier กรอก'!AH6,'📝 Four-tier กรอก'!AI23="Y"),"🎲 Guess",IF(AND('📝 Four-tier กรอก'!AF23&lt;&gt;'📝 Four-tier กรอก'!AF6,'📝 Four-tier กรอก'!AG23="Y",'📝 Four-tier กรอก'!AH23&lt;&gt;'📝 Four-tier กรอก'!AH6,'📝 Four-tier กรอก'!AI23="Y"),"❌ Misc.",IF(AND('📝 Four-tier กรอก'!AF23&lt;&gt;'📝 Four-tier กรอก'!AF6,'📝 Four-tier กรอก'!AG23="N",'📝 Four-tier กรอก'!AH23&lt;&gt;'📝 Four-tier กรอก'!AH6,'📝 Four-tier กรอก'!AI23="N"),"❓ NoK","🤔 Partial")))))</f>
        <v/>
      </c>
      <c r="L21" s="67">
        <f>IF(OR('📝 Four-tier กรอก'!AJ23="",'📝 Four-tier กรอก'!AL23=""),"—",IF(AND('📝 Four-tier กรอก'!AJ23='📝 Four-tier กรอก'!AJ6,'📝 Four-tier กรอก'!AK23="Y",'📝 Four-tier กรอก'!AL23='📝 Four-tier กรอก'!AL6,'📝 Four-tier กรอก'!AM23="Y"),"✅ Sound",IF(AND('📝 Four-tier กรอก'!AJ23='📝 Four-tier กรอก'!AJ6,'📝 Four-tier กรอก'!AK23="Y",'📝 Four-tier กรอก'!AL23&lt;&gt;'📝 Four-tier กรอก'!AL6,'📝 Four-tier กรอก'!AM23="Y"),"🎲 Guess",IF(AND('📝 Four-tier กรอก'!AJ23&lt;&gt;'📝 Four-tier กรอก'!AJ6,'📝 Four-tier กรอก'!AK23="Y",'📝 Four-tier กรอก'!AL23&lt;&gt;'📝 Four-tier กรอก'!AL6,'📝 Four-tier กรอก'!AM23="Y"),"❌ Misc.",IF(AND('📝 Four-tier กรอก'!AJ23&lt;&gt;'📝 Four-tier กรอก'!AJ6,'📝 Four-tier กรอก'!AK23="N",'📝 Four-tier กรอก'!AL23&lt;&gt;'📝 Four-tier กรอก'!AL6,'📝 Four-tier กรอก'!AM23="N"),"❓ NoK","🤔 Partial")))))</f>
        <v/>
      </c>
      <c r="M21" s="67">
        <f>IF(OR('📝 Four-tier กรอก'!AN23="",'📝 Four-tier กรอก'!AP23=""),"—",IF(AND('📝 Four-tier กรอก'!AN23='📝 Four-tier กรอก'!AN6,'📝 Four-tier กรอก'!AO23="Y",'📝 Four-tier กรอก'!AP23='📝 Four-tier กรอก'!AP6,'📝 Four-tier กรอก'!AQ23="Y"),"✅ Sound",IF(AND('📝 Four-tier กรอก'!AN23='📝 Four-tier กรอก'!AN6,'📝 Four-tier กรอก'!AO23="Y",'📝 Four-tier กรอก'!AP23&lt;&gt;'📝 Four-tier กรอก'!AP6,'📝 Four-tier กรอก'!AQ23="Y"),"🎲 Guess",IF(AND('📝 Four-tier กรอก'!AN23&lt;&gt;'📝 Four-tier กรอก'!AN6,'📝 Four-tier กรอก'!AO23="Y",'📝 Four-tier กรอก'!AP23&lt;&gt;'📝 Four-tier กรอก'!AP6,'📝 Four-tier กรอก'!AQ23="Y"),"❌ Misc.",IF(AND('📝 Four-tier กรอก'!AN23&lt;&gt;'📝 Four-tier กรอก'!AN6,'📝 Four-tier กรอก'!AO23="N",'📝 Four-tier กรอก'!AP23&lt;&gt;'📝 Four-tier กรอก'!AP6,'📝 Four-tier กรอก'!AQ23="N"),"❓ NoK","🤔 Partial")))))</f>
        <v/>
      </c>
      <c r="N21" s="67">
        <f>IF(OR('📝 Four-tier กรอก'!AR23="",'📝 Four-tier กรอก'!AT23=""),"—",IF(AND('📝 Four-tier กรอก'!AR23='📝 Four-tier กรอก'!AR6,'📝 Four-tier กรอก'!AS23="Y",'📝 Four-tier กรอก'!AT23='📝 Four-tier กรอก'!AT6,'📝 Four-tier กรอก'!AU23="Y"),"✅ Sound",IF(AND('📝 Four-tier กรอก'!AR23='📝 Four-tier กรอก'!AR6,'📝 Four-tier กรอก'!AS23="Y",'📝 Four-tier กรอก'!AT23&lt;&gt;'📝 Four-tier กรอก'!AT6,'📝 Four-tier กรอก'!AU23="Y"),"🎲 Guess",IF(AND('📝 Four-tier กรอก'!AR23&lt;&gt;'📝 Four-tier กรอก'!AR6,'📝 Four-tier กรอก'!AS23="Y",'📝 Four-tier กรอก'!AT23&lt;&gt;'📝 Four-tier กรอก'!AT6,'📝 Four-tier กรอก'!AU23="Y"),"❌ Misc.",IF(AND('📝 Four-tier กรอก'!AR23&lt;&gt;'📝 Four-tier กรอก'!AR6,'📝 Four-tier กรอก'!AS23="N",'📝 Four-tier กรอก'!AT23&lt;&gt;'📝 Four-tier กรอก'!AT6,'📝 Four-tier กรอก'!AU23="N"),"❓ NoK","🤔 Partial")))))</f>
        <v/>
      </c>
      <c r="O21" s="67">
        <f>IF(OR('📝 Four-tier กรอก'!AV23="",'📝 Four-tier กรอก'!AX23=""),"—",IF(AND('📝 Four-tier กรอก'!AV23='📝 Four-tier กรอก'!AV6,'📝 Four-tier กรอก'!AW23="Y",'📝 Four-tier กรอก'!AX23='📝 Four-tier กรอก'!AX6,'📝 Four-tier กรอก'!AY23="Y"),"✅ Sound",IF(AND('📝 Four-tier กรอก'!AV23='📝 Four-tier กรอก'!AV6,'📝 Four-tier กรอก'!AW23="Y",'📝 Four-tier กรอก'!AX23&lt;&gt;'📝 Four-tier กรอก'!AX6,'📝 Four-tier กรอก'!AY23="Y"),"🎲 Guess",IF(AND('📝 Four-tier กรอก'!AV23&lt;&gt;'📝 Four-tier กรอก'!AV6,'📝 Four-tier กรอก'!AW23="Y",'📝 Four-tier กรอก'!AX23&lt;&gt;'📝 Four-tier กรอก'!AX6,'📝 Four-tier กรอก'!AY23="Y"),"❌ Misc.",IF(AND('📝 Four-tier กรอก'!AV23&lt;&gt;'📝 Four-tier กรอก'!AV6,'📝 Four-tier กรอก'!AW23="N",'📝 Four-tier กรอก'!AX23&lt;&gt;'📝 Four-tier กรอก'!AX6,'📝 Four-tier กรอก'!AY23="N"),"❓ NoK","🤔 Partial")))))</f>
        <v/>
      </c>
      <c r="P21" s="67">
        <f>IF(OR('📝 Four-tier กรอก'!AZ23="",'📝 Four-tier กรอก'!BB23=""),"—",IF(AND('📝 Four-tier กรอก'!AZ23='📝 Four-tier กรอก'!AZ6,'📝 Four-tier กรอก'!BA23="Y",'📝 Four-tier กรอก'!BB23='📝 Four-tier กรอก'!BB6,'📝 Four-tier กรอก'!BC23="Y"),"✅ Sound",IF(AND('📝 Four-tier กรอก'!AZ23='📝 Four-tier กรอก'!AZ6,'📝 Four-tier กรอก'!BA23="Y",'📝 Four-tier กรอก'!BB23&lt;&gt;'📝 Four-tier กรอก'!BB6,'📝 Four-tier กรอก'!BC23="Y"),"🎲 Guess",IF(AND('📝 Four-tier กรอก'!AZ23&lt;&gt;'📝 Four-tier กรอก'!AZ6,'📝 Four-tier กรอก'!BA23="Y",'📝 Four-tier กรอก'!BB23&lt;&gt;'📝 Four-tier กรอก'!BB6,'📝 Four-tier กรอก'!BC23="Y"),"❌ Misc.",IF(AND('📝 Four-tier กรอก'!AZ23&lt;&gt;'📝 Four-tier กรอก'!AZ6,'📝 Four-tier กรอก'!BA23="N",'📝 Four-tier กรอก'!BB23&lt;&gt;'📝 Four-tier กรอก'!BB6,'📝 Four-tier กรอก'!BC23="N"),"❓ NoK","🤔 Partial")))))</f>
        <v/>
      </c>
      <c r="Q21" s="67">
        <f>IF(OR('📝 Four-tier กรอก'!BD23="",'📝 Four-tier กรอก'!BF23=""),"—",IF(AND('📝 Four-tier กรอก'!BD23='📝 Four-tier กรอก'!BD6,'📝 Four-tier กรอก'!BE23="Y",'📝 Four-tier กรอก'!BF23='📝 Four-tier กรอก'!BF6,'📝 Four-tier กรอก'!BG23="Y"),"✅ Sound",IF(AND('📝 Four-tier กรอก'!BD23='📝 Four-tier กรอก'!BD6,'📝 Four-tier กรอก'!BE23="Y",'📝 Four-tier กรอก'!BF23&lt;&gt;'📝 Four-tier กรอก'!BF6,'📝 Four-tier กรอก'!BG23="Y"),"🎲 Guess",IF(AND('📝 Four-tier กรอก'!BD23&lt;&gt;'📝 Four-tier กรอก'!BD6,'📝 Four-tier กรอก'!BE23="Y",'📝 Four-tier กรอก'!BF23&lt;&gt;'📝 Four-tier กรอก'!BF6,'📝 Four-tier กรอก'!BG23="Y"),"❌ Misc.",IF(AND('📝 Four-tier กรอก'!BD23&lt;&gt;'📝 Four-tier กรอก'!BD6,'📝 Four-tier กรอก'!BE23="N",'📝 Four-tier กรอก'!BF23&lt;&gt;'📝 Four-tier กรอก'!BF6,'📝 Four-tier กรอก'!BG23="N"),"❓ NoK","🤔 Partial")))))</f>
        <v/>
      </c>
      <c r="R21" s="67">
        <f>IF(OR('📝 Four-tier กรอก'!BH23="",'📝 Four-tier กรอก'!BJ23=""),"—",IF(AND('📝 Four-tier กรอก'!BH23='📝 Four-tier กรอก'!BH6,'📝 Four-tier กรอก'!BI23="Y",'📝 Four-tier กรอก'!BJ23='📝 Four-tier กรอก'!BJ6,'📝 Four-tier กรอก'!BK23="Y"),"✅ Sound",IF(AND('📝 Four-tier กรอก'!BH23='📝 Four-tier กรอก'!BH6,'📝 Four-tier กรอก'!BI23="Y",'📝 Four-tier กรอก'!BJ23&lt;&gt;'📝 Four-tier กรอก'!BJ6,'📝 Four-tier กรอก'!BK23="Y"),"🎲 Guess",IF(AND('📝 Four-tier กรอก'!BH23&lt;&gt;'📝 Four-tier กรอก'!BH6,'📝 Four-tier กรอก'!BI23="Y",'📝 Four-tier กรอก'!BJ23&lt;&gt;'📝 Four-tier กรอก'!BJ6,'📝 Four-tier กรอก'!BK23="Y"),"❌ Misc.",IF(AND('📝 Four-tier กรอก'!BH23&lt;&gt;'📝 Four-tier กรอก'!BH6,'📝 Four-tier กรอก'!BI23="N",'📝 Four-tier กรอก'!BJ23&lt;&gt;'📝 Four-tier กรอก'!BJ6,'📝 Four-tier กรอก'!BK23="N"),"❓ NoK","🤔 Partial")))))</f>
        <v/>
      </c>
      <c r="S21" s="67">
        <f>IF(OR('📝 Four-tier กรอก'!BL23="",'📝 Four-tier กรอก'!BN23=""),"—",IF(AND('📝 Four-tier กรอก'!BL23='📝 Four-tier กรอก'!BL6,'📝 Four-tier กรอก'!BM23="Y",'📝 Four-tier กรอก'!BN23='📝 Four-tier กรอก'!BN6,'📝 Four-tier กรอก'!BO23="Y"),"✅ Sound",IF(AND('📝 Four-tier กรอก'!BL23='📝 Four-tier กรอก'!BL6,'📝 Four-tier กรอก'!BM23="Y",'📝 Four-tier กรอก'!BN23&lt;&gt;'📝 Four-tier กรอก'!BN6,'📝 Four-tier กรอก'!BO23="Y"),"🎲 Guess",IF(AND('📝 Four-tier กรอก'!BL23&lt;&gt;'📝 Four-tier กรอก'!BL6,'📝 Four-tier กรอก'!BM23="Y",'📝 Four-tier กรอก'!BN23&lt;&gt;'📝 Four-tier กรอก'!BN6,'📝 Four-tier กรอก'!BO23="Y"),"❌ Misc.",IF(AND('📝 Four-tier กรอก'!BL23&lt;&gt;'📝 Four-tier กรอก'!BL6,'📝 Four-tier กรอก'!BM23="N",'📝 Four-tier กรอก'!BN23&lt;&gt;'📝 Four-tier กรอก'!BN6,'📝 Four-tier กรอก'!BO23="N"),"❓ NoK","🤔 Partial")))))</f>
        <v/>
      </c>
      <c r="T21" s="67">
        <f>IF(OR('📝 Four-tier กรอก'!BP23="",'📝 Four-tier กรอก'!BR23=""),"—",IF(AND('📝 Four-tier กรอก'!BP23='📝 Four-tier กรอก'!BP6,'📝 Four-tier กรอก'!BQ23="Y",'📝 Four-tier กรอก'!BR23='📝 Four-tier กรอก'!BR6,'📝 Four-tier กรอก'!BS23="Y"),"✅ Sound",IF(AND('📝 Four-tier กรอก'!BP23='📝 Four-tier กรอก'!BP6,'📝 Four-tier กรอก'!BQ23="Y",'📝 Four-tier กรอก'!BR23&lt;&gt;'📝 Four-tier กรอก'!BR6,'📝 Four-tier กรอก'!BS23="Y"),"🎲 Guess",IF(AND('📝 Four-tier กรอก'!BP23&lt;&gt;'📝 Four-tier กรอก'!BP6,'📝 Four-tier กรอก'!BQ23="Y",'📝 Four-tier กรอก'!BR23&lt;&gt;'📝 Four-tier กรอก'!BR6,'📝 Four-tier กรอก'!BS23="Y"),"❌ Misc.",IF(AND('📝 Four-tier กรอก'!BP23&lt;&gt;'📝 Four-tier กรอก'!BP6,'📝 Four-tier กรอก'!BQ23="N",'📝 Four-tier กรอก'!BR23&lt;&gt;'📝 Four-tier กรอก'!BR6,'📝 Four-tier กรอก'!BS23="N"),"❓ NoK","🤔 Partial")))))</f>
        <v/>
      </c>
      <c r="U21" s="67">
        <f>IF(OR('📝 Four-tier กรอก'!BT23="",'📝 Four-tier กรอก'!BV23=""),"—",IF(AND('📝 Four-tier กรอก'!BT23='📝 Four-tier กรอก'!BT6,'📝 Four-tier กรอก'!BU23="Y",'📝 Four-tier กรอก'!BV23='📝 Four-tier กรอก'!BV6,'📝 Four-tier กรอก'!BW23="Y"),"✅ Sound",IF(AND('📝 Four-tier กรอก'!BT23='📝 Four-tier กรอก'!BT6,'📝 Four-tier กรอก'!BU23="Y",'📝 Four-tier กรอก'!BV23&lt;&gt;'📝 Four-tier กรอก'!BV6,'📝 Four-tier กรอก'!BW23="Y"),"🎲 Guess",IF(AND('📝 Four-tier กรอก'!BT23&lt;&gt;'📝 Four-tier กรอก'!BT6,'📝 Four-tier กรอก'!BU23="Y",'📝 Four-tier กรอก'!BV23&lt;&gt;'📝 Four-tier กรอก'!BV6,'📝 Four-tier กรอก'!BW23="Y"),"❌ Misc.",IF(AND('📝 Four-tier กรอก'!BT23&lt;&gt;'📝 Four-tier กรอก'!BT6,'📝 Four-tier กรอก'!BU23="N",'📝 Four-tier กรอก'!BV23&lt;&gt;'📝 Four-tier กรอก'!BV6,'📝 Four-tier กรอก'!BW23="N"),"❓ NoK","🤔 Partial")))))</f>
        <v/>
      </c>
      <c r="V21" s="67">
        <f>IF(OR('📝 Four-tier กรอก'!BX23="",'📝 Four-tier กรอก'!BZ23=""),"—",IF(AND('📝 Four-tier กรอก'!BX23='📝 Four-tier กรอก'!BX6,'📝 Four-tier กรอก'!BY23="Y",'📝 Four-tier กรอก'!BZ23='📝 Four-tier กรอก'!BZ6,'📝 Four-tier กรอก'!CA23="Y"),"✅ Sound",IF(AND('📝 Four-tier กรอก'!BX23='📝 Four-tier กรอก'!BX6,'📝 Four-tier กรอก'!BY23="Y",'📝 Four-tier กรอก'!BZ23&lt;&gt;'📝 Four-tier กรอก'!BZ6,'📝 Four-tier กรอก'!CA23="Y"),"🎲 Guess",IF(AND('📝 Four-tier กรอก'!BX23&lt;&gt;'📝 Four-tier กรอก'!BX6,'📝 Four-tier กรอก'!BY23="Y",'📝 Four-tier กรอก'!BZ23&lt;&gt;'📝 Four-tier กรอก'!BZ6,'📝 Four-tier กรอก'!CA23="Y"),"❌ Misc.",IF(AND('📝 Four-tier กรอก'!BX23&lt;&gt;'📝 Four-tier กรอก'!BX6,'📝 Four-tier กรอก'!BY23="N",'📝 Four-tier กรอก'!BZ23&lt;&gt;'📝 Four-tier กรอก'!BZ6,'📝 Four-tier กรอก'!CA23="N"),"❓ NoK","🤔 Partial")))))</f>
        <v/>
      </c>
      <c r="W21" s="67">
        <f>IF(OR('📝 Four-tier กรอก'!CB23="",'📝 Four-tier กรอก'!CD23=""),"—",IF(AND('📝 Four-tier กรอก'!CB23='📝 Four-tier กรอก'!CB6,'📝 Four-tier กรอก'!CC23="Y",'📝 Four-tier กรอก'!CD23='📝 Four-tier กรอก'!CD6,'📝 Four-tier กรอก'!CE23="Y"),"✅ Sound",IF(AND('📝 Four-tier กรอก'!CB23='📝 Four-tier กรอก'!CB6,'📝 Four-tier กรอก'!CC23="Y",'📝 Four-tier กรอก'!CD23&lt;&gt;'📝 Four-tier กรอก'!CD6,'📝 Four-tier กรอก'!CE23="Y"),"🎲 Guess",IF(AND('📝 Four-tier กรอก'!CB23&lt;&gt;'📝 Four-tier กรอก'!CB6,'📝 Four-tier กรอก'!CC23="Y",'📝 Four-tier กรอก'!CD23&lt;&gt;'📝 Four-tier กรอก'!CD6,'📝 Four-tier กรอก'!CE23="Y"),"❌ Misc.",IF(AND('📝 Four-tier กรอก'!CB23&lt;&gt;'📝 Four-tier กรอก'!CB6,'📝 Four-tier กรอก'!CC23="N",'📝 Four-tier กรอก'!CD23&lt;&gt;'📝 Four-tier กรอก'!CD6,'📝 Four-tier กรอก'!CE23="N"),"❓ NoK","🤔 Partial")))))</f>
        <v/>
      </c>
      <c r="X21" s="37">
        <f>COUNTIF(D21:W21,"✅ Sound")</f>
        <v/>
      </c>
      <c r="Y21" s="37">
        <f>COUNTIF(D21:W21,"❌ Misc.")</f>
        <v/>
      </c>
      <c r="Z21" s="37">
        <f>COUNTIF(D21:W21,"🎲 Guess")</f>
        <v/>
      </c>
      <c r="AA21" s="37">
        <f>COUNTIF(D21:W21,"❓ NoK")</f>
        <v/>
      </c>
    </row>
    <row r="22" ht="18" customHeight="1">
      <c r="B22" s="46">
        <f>'📝 Four-tier กรอก'!B24</f>
        <v/>
      </c>
      <c r="C22" s="51">
        <f>'📝 Four-tier กรอก'!C24</f>
        <v/>
      </c>
      <c r="D22" s="68">
        <f>IF(OR('📝 Four-tier กรอก'!D24="",'📝 Four-tier กรอก'!F24=""),"—",IF(AND('📝 Four-tier กรอก'!D24='📝 Four-tier กรอก'!D6,'📝 Four-tier กรอก'!E24="Y",'📝 Four-tier กรอก'!F24='📝 Four-tier กรอก'!F6,'📝 Four-tier กรอก'!G24="Y"),"✅ Sound",IF(AND('📝 Four-tier กรอก'!D24='📝 Four-tier กรอก'!D6,'📝 Four-tier กรอก'!E24="Y",'📝 Four-tier กรอก'!F24&lt;&gt;'📝 Four-tier กรอก'!F6,'📝 Four-tier กรอก'!G24="Y"),"🎲 Guess",IF(AND('📝 Four-tier กรอก'!D24&lt;&gt;'📝 Four-tier กรอก'!D6,'📝 Four-tier กรอก'!E24="Y",'📝 Four-tier กรอก'!F24&lt;&gt;'📝 Four-tier กรอก'!F6,'📝 Four-tier กรอก'!G24="Y"),"❌ Misc.",IF(AND('📝 Four-tier กรอก'!D24&lt;&gt;'📝 Four-tier กรอก'!D6,'📝 Four-tier กรอก'!E24="N",'📝 Four-tier กรอก'!F24&lt;&gt;'📝 Four-tier กรอก'!F6,'📝 Four-tier กรอก'!G24="N"),"❓ NoK","🤔 Partial")))))</f>
        <v/>
      </c>
      <c r="E22" s="68">
        <f>IF(OR('📝 Four-tier กรอก'!H24="",'📝 Four-tier กรอก'!J24=""),"—",IF(AND('📝 Four-tier กรอก'!H24='📝 Four-tier กรอก'!H6,'📝 Four-tier กรอก'!I24="Y",'📝 Four-tier กรอก'!J24='📝 Four-tier กรอก'!J6,'📝 Four-tier กรอก'!K24="Y"),"✅ Sound",IF(AND('📝 Four-tier กรอก'!H24='📝 Four-tier กรอก'!H6,'📝 Four-tier กรอก'!I24="Y",'📝 Four-tier กรอก'!J24&lt;&gt;'📝 Four-tier กรอก'!J6,'📝 Four-tier กรอก'!K24="Y"),"🎲 Guess",IF(AND('📝 Four-tier กรอก'!H24&lt;&gt;'📝 Four-tier กรอก'!H6,'📝 Four-tier กรอก'!I24="Y",'📝 Four-tier กรอก'!J24&lt;&gt;'📝 Four-tier กรอก'!J6,'📝 Four-tier กรอก'!K24="Y"),"❌ Misc.",IF(AND('📝 Four-tier กรอก'!H24&lt;&gt;'📝 Four-tier กรอก'!H6,'📝 Four-tier กรอก'!I24="N",'📝 Four-tier กรอก'!J24&lt;&gt;'📝 Four-tier กรอก'!J6,'📝 Four-tier กรอก'!K24="N"),"❓ NoK","🤔 Partial")))))</f>
        <v/>
      </c>
      <c r="F22" s="68">
        <f>IF(OR('📝 Four-tier กรอก'!L24="",'📝 Four-tier กรอก'!N24=""),"—",IF(AND('📝 Four-tier กรอก'!L24='📝 Four-tier กรอก'!L6,'📝 Four-tier กรอก'!M24="Y",'📝 Four-tier กรอก'!N24='📝 Four-tier กรอก'!N6,'📝 Four-tier กรอก'!O24="Y"),"✅ Sound",IF(AND('📝 Four-tier กรอก'!L24='📝 Four-tier กรอก'!L6,'📝 Four-tier กรอก'!M24="Y",'📝 Four-tier กรอก'!N24&lt;&gt;'📝 Four-tier กรอก'!N6,'📝 Four-tier กรอก'!O24="Y"),"🎲 Guess",IF(AND('📝 Four-tier กรอก'!L24&lt;&gt;'📝 Four-tier กรอก'!L6,'📝 Four-tier กรอก'!M24="Y",'📝 Four-tier กรอก'!N24&lt;&gt;'📝 Four-tier กรอก'!N6,'📝 Four-tier กรอก'!O24="Y"),"❌ Misc.",IF(AND('📝 Four-tier กรอก'!L24&lt;&gt;'📝 Four-tier กรอก'!L6,'📝 Four-tier กรอก'!M24="N",'📝 Four-tier กรอก'!N24&lt;&gt;'📝 Four-tier กรอก'!N6,'📝 Four-tier กรอก'!O24="N"),"❓ NoK","🤔 Partial")))))</f>
        <v/>
      </c>
      <c r="G22" s="68">
        <f>IF(OR('📝 Four-tier กรอก'!P24="",'📝 Four-tier กรอก'!R24=""),"—",IF(AND('📝 Four-tier กรอก'!P24='📝 Four-tier กรอก'!P6,'📝 Four-tier กรอก'!Q24="Y",'📝 Four-tier กรอก'!R24='📝 Four-tier กรอก'!R6,'📝 Four-tier กรอก'!S24="Y"),"✅ Sound",IF(AND('📝 Four-tier กรอก'!P24='📝 Four-tier กรอก'!P6,'📝 Four-tier กรอก'!Q24="Y",'📝 Four-tier กรอก'!R24&lt;&gt;'📝 Four-tier กรอก'!R6,'📝 Four-tier กรอก'!S24="Y"),"🎲 Guess",IF(AND('📝 Four-tier กรอก'!P24&lt;&gt;'📝 Four-tier กรอก'!P6,'📝 Four-tier กรอก'!Q24="Y",'📝 Four-tier กรอก'!R24&lt;&gt;'📝 Four-tier กรอก'!R6,'📝 Four-tier กรอก'!S24="Y"),"❌ Misc.",IF(AND('📝 Four-tier กรอก'!P24&lt;&gt;'📝 Four-tier กรอก'!P6,'📝 Four-tier กรอก'!Q24="N",'📝 Four-tier กรอก'!R24&lt;&gt;'📝 Four-tier กรอก'!R6,'📝 Four-tier กรอก'!S24="N"),"❓ NoK","🤔 Partial")))))</f>
        <v/>
      </c>
      <c r="H22" s="68">
        <f>IF(OR('📝 Four-tier กรอก'!T24="",'📝 Four-tier กรอก'!V24=""),"—",IF(AND('📝 Four-tier กรอก'!T24='📝 Four-tier กรอก'!T6,'📝 Four-tier กรอก'!U24="Y",'📝 Four-tier กรอก'!V24='📝 Four-tier กรอก'!V6,'📝 Four-tier กรอก'!W24="Y"),"✅ Sound",IF(AND('📝 Four-tier กรอก'!T24='📝 Four-tier กรอก'!T6,'📝 Four-tier กรอก'!U24="Y",'📝 Four-tier กรอก'!V24&lt;&gt;'📝 Four-tier กรอก'!V6,'📝 Four-tier กรอก'!W24="Y"),"🎲 Guess",IF(AND('📝 Four-tier กรอก'!T24&lt;&gt;'📝 Four-tier กรอก'!T6,'📝 Four-tier กรอก'!U24="Y",'📝 Four-tier กรอก'!V24&lt;&gt;'📝 Four-tier กรอก'!V6,'📝 Four-tier กรอก'!W24="Y"),"❌ Misc.",IF(AND('📝 Four-tier กรอก'!T24&lt;&gt;'📝 Four-tier กรอก'!T6,'📝 Four-tier กรอก'!U24="N",'📝 Four-tier กรอก'!V24&lt;&gt;'📝 Four-tier กรอก'!V6,'📝 Four-tier กรอก'!W24="N"),"❓ NoK","🤔 Partial")))))</f>
        <v/>
      </c>
      <c r="I22" s="68">
        <f>IF(OR('📝 Four-tier กรอก'!X24="",'📝 Four-tier กรอก'!Z24=""),"—",IF(AND('📝 Four-tier กรอก'!X24='📝 Four-tier กรอก'!X6,'📝 Four-tier กรอก'!Y24="Y",'📝 Four-tier กรอก'!Z24='📝 Four-tier กรอก'!Z6,'📝 Four-tier กรอก'!AA24="Y"),"✅ Sound",IF(AND('📝 Four-tier กรอก'!X24='📝 Four-tier กรอก'!X6,'📝 Four-tier กรอก'!Y24="Y",'📝 Four-tier กรอก'!Z24&lt;&gt;'📝 Four-tier กรอก'!Z6,'📝 Four-tier กรอก'!AA24="Y"),"🎲 Guess",IF(AND('📝 Four-tier กรอก'!X24&lt;&gt;'📝 Four-tier กรอก'!X6,'📝 Four-tier กรอก'!Y24="Y",'📝 Four-tier กรอก'!Z24&lt;&gt;'📝 Four-tier กรอก'!Z6,'📝 Four-tier กรอก'!AA24="Y"),"❌ Misc.",IF(AND('📝 Four-tier กรอก'!X24&lt;&gt;'📝 Four-tier กรอก'!X6,'📝 Four-tier กรอก'!Y24="N",'📝 Four-tier กรอก'!Z24&lt;&gt;'📝 Four-tier กรอก'!Z6,'📝 Four-tier กรอก'!AA24="N"),"❓ NoK","🤔 Partial")))))</f>
        <v/>
      </c>
      <c r="J22" s="68">
        <f>IF(OR('📝 Four-tier กรอก'!AB24="",'📝 Four-tier กรอก'!AD24=""),"—",IF(AND('📝 Four-tier กรอก'!AB24='📝 Four-tier กรอก'!AB6,'📝 Four-tier กรอก'!AC24="Y",'📝 Four-tier กรอก'!AD24='📝 Four-tier กรอก'!AD6,'📝 Four-tier กรอก'!AE24="Y"),"✅ Sound",IF(AND('📝 Four-tier กรอก'!AB24='📝 Four-tier กรอก'!AB6,'📝 Four-tier กรอก'!AC24="Y",'📝 Four-tier กรอก'!AD24&lt;&gt;'📝 Four-tier กรอก'!AD6,'📝 Four-tier กรอก'!AE24="Y"),"🎲 Guess",IF(AND('📝 Four-tier กรอก'!AB24&lt;&gt;'📝 Four-tier กรอก'!AB6,'📝 Four-tier กรอก'!AC24="Y",'📝 Four-tier กรอก'!AD24&lt;&gt;'📝 Four-tier กรอก'!AD6,'📝 Four-tier กรอก'!AE24="Y"),"❌ Misc.",IF(AND('📝 Four-tier กรอก'!AB24&lt;&gt;'📝 Four-tier กรอก'!AB6,'📝 Four-tier กรอก'!AC24="N",'📝 Four-tier กรอก'!AD24&lt;&gt;'📝 Four-tier กรอก'!AD6,'📝 Four-tier กรอก'!AE24="N"),"❓ NoK","🤔 Partial")))))</f>
        <v/>
      </c>
      <c r="K22" s="68">
        <f>IF(OR('📝 Four-tier กรอก'!AF24="",'📝 Four-tier กรอก'!AH24=""),"—",IF(AND('📝 Four-tier กรอก'!AF24='📝 Four-tier กรอก'!AF6,'📝 Four-tier กรอก'!AG24="Y",'📝 Four-tier กรอก'!AH24='📝 Four-tier กรอก'!AH6,'📝 Four-tier กรอก'!AI24="Y"),"✅ Sound",IF(AND('📝 Four-tier กรอก'!AF24='📝 Four-tier กรอก'!AF6,'📝 Four-tier กรอก'!AG24="Y",'📝 Four-tier กรอก'!AH24&lt;&gt;'📝 Four-tier กรอก'!AH6,'📝 Four-tier กรอก'!AI24="Y"),"🎲 Guess",IF(AND('📝 Four-tier กรอก'!AF24&lt;&gt;'📝 Four-tier กรอก'!AF6,'📝 Four-tier กรอก'!AG24="Y",'📝 Four-tier กรอก'!AH24&lt;&gt;'📝 Four-tier กรอก'!AH6,'📝 Four-tier กรอก'!AI24="Y"),"❌ Misc.",IF(AND('📝 Four-tier กรอก'!AF24&lt;&gt;'📝 Four-tier กรอก'!AF6,'📝 Four-tier กรอก'!AG24="N",'📝 Four-tier กรอก'!AH24&lt;&gt;'📝 Four-tier กรอก'!AH6,'📝 Four-tier กรอก'!AI24="N"),"❓ NoK","🤔 Partial")))))</f>
        <v/>
      </c>
      <c r="L22" s="68">
        <f>IF(OR('📝 Four-tier กรอก'!AJ24="",'📝 Four-tier กรอก'!AL24=""),"—",IF(AND('📝 Four-tier กรอก'!AJ24='📝 Four-tier กรอก'!AJ6,'📝 Four-tier กรอก'!AK24="Y",'📝 Four-tier กรอก'!AL24='📝 Four-tier กรอก'!AL6,'📝 Four-tier กรอก'!AM24="Y"),"✅ Sound",IF(AND('📝 Four-tier กรอก'!AJ24='📝 Four-tier กรอก'!AJ6,'📝 Four-tier กรอก'!AK24="Y",'📝 Four-tier กรอก'!AL24&lt;&gt;'📝 Four-tier กรอก'!AL6,'📝 Four-tier กรอก'!AM24="Y"),"🎲 Guess",IF(AND('📝 Four-tier กรอก'!AJ24&lt;&gt;'📝 Four-tier กรอก'!AJ6,'📝 Four-tier กรอก'!AK24="Y",'📝 Four-tier กรอก'!AL24&lt;&gt;'📝 Four-tier กรอก'!AL6,'📝 Four-tier กรอก'!AM24="Y"),"❌ Misc.",IF(AND('📝 Four-tier กรอก'!AJ24&lt;&gt;'📝 Four-tier กรอก'!AJ6,'📝 Four-tier กรอก'!AK24="N",'📝 Four-tier กรอก'!AL24&lt;&gt;'📝 Four-tier กรอก'!AL6,'📝 Four-tier กรอก'!AM24="N"),"❓ NoK","🤔 Partial")))))</f>
        <v/>
      </c>
      <c r="M22" s="68">
        <f>IF(OR('📝 Four-tier กรอก'!AN24="",'📝 Four-tier กรอก'!AP24=""),"—",IF(AND('📝 Four-tier กรอก'!AN24='📝 Four-tier กรอก'!AN6,'📝 Four-tier กรอก'!AO24="Y",'📝 Four-tier กรอก'!AP24='📝 Four-tier กรอก'!AP6,'📝 Four-tier กรอก'!AQ24="Y"),"✅ Sound",IF(AND('📝 Four-tier กรอก'!AN24='📝 Four-tier กรอก'!AN6,'📝 Four-tier กรอก'!AO24="Y",'📝 Four-tier กรอก'!AP24&lt;&gt;'📝 Four-tier กรอก'!AP6,'📝 Four-tier กรอก'!AQ24="Y"),"🎲 Guess",IF(AND('📝 Four-tier กรอก'!AN24&lt;&gt;'📝 Four-tier กรอก'!AN6,'📝 Four-tier กรอก'!AO24="Y",'📝 Four-tier กรอก'!AP24&lt;&gt;'📝 Four-tier กรอก'!AP6,'📝 Four-tier กรอก'!AQ24="Y"),"❌ Misc.",IF(AND('📝 Four-tier กรอก'!AN24&lt;&gt;'📝 Four-tier กรอก'!AN6,'📝 Four-tier กรอก'!AO24="N",'📝 Four-tier กรอก'!AP24&lt;&gt;'📝 Four-tier กรอก'!AP6,'📝 Four-tier กรอก'!AQ24="N"),"❓ NoK","🤔 Partial")))))</f>
        <v/>
      </c>
      <c r="N22" s="68">
        <f>IF(OR('📝 Four-tier กรอก'!AR24="",'📝 Four-tier กรอก'!AT24=""),"—",IF(AND('📝 Four-tier กรอก'!AR24='📝 Four-tier กรอก'!AR6,'📝 Four-tier กรอก'!AS24="Y",'📝 Four-tier กรอก'!AT24='📝 Four-tier กรอก'!AT6,'📝 Four-tier กรอก'!AU24="Y"),"✅ Sound",IF(AND('📝 Four-tier กรอก'!AR24='📝 Four-tier กรอก'!AR6,'📝 Four-tier กรอก'!AS24="Y",'📝 Four-tier กรอก'!AT24&lt;&gt;'📝 Four-tier กรอก'!AT6,'📝 Four-tier กรอก'!AU24="Y"),"🎲 Guess",IF(AND('📝 Four-tier กรอก'!AR24&lt;&gt;'📝 Four-tier กรอก'!AR6,'📝 Four-tier กรอก'!AS24="Y",'📝 Four-tier กรอก'!AT24&lt;&gt;'📝 Four-tier กรอก'!AT6,'📝 Four-tier กรอก'!AU24="Y"),"❌ Misc.",IF(AND('📝 Four-tier กรอก'!AR24&lt;&gt;'📝 Four-tier กรอก'!AR6,'📝 Four-tier กรอก'!AS24="N",'📝 Four-tier กรอก'!AT24&lt;&gt;'📝 Four-tier กรอก'!AT6,'📝 Four-tier กรอก'!AU24="N"),"❓ NoK","🤔 Partial")))))</f>
        <v/>
      </c>
      <c r="O22" s="68">
        <f>IF(OR('📝 Four-tier กรอก'!AV24="",'📝 Four-tier กรอก'!AX24=""),"—",IF(AND('📝 Four-tier กรอก'!AV24='📝 Four-tier กรอก'!AV6,'📝 Four-tier กรอก'!AW24="Y",'📝 Four-tier กรอก'!AX24='📝 Four-tier กรอก'!AX6,'📝 Four-tier กรอก'!AY24="Y"),"✅ Sound",IF(AND('📝 Four-tier กรอก'!AV24='📝 Four-tier กรอก'!AV6,'📝 Four-tier กรอก'!AW24="Y",'📝 Four-tier กรอก'!AX24&lt;&gt;'📝 Four-tier กรอก'!AX6,'📝 Four-tier กรอก'!AY24="Y"),"🎲 Guess",IF(AND('📝 Four-tier กรอก'!AV24&lt;&gt;'📝 Four-tier กรอก'!AV6,'📝 Four-tier กรอก'!AW24="Y",'📝 Four-tier กรอก'!AX24&lt;&gt;'📝 Four-tier กรอก'!AX6,'📝 Four-tier กรอก'!AY24="Y"),"❌ Misc.",IF(AND('📝 Four-tier กรอก'!AV24&lt;&gt;'📝 Four-tier กรอก'!AV6,'📝 Four-tier กรอก'!AW24="N",'📝 Four-tier กรอก'!AX24&lt;&gt;'📝 Four-tier กรอก'!AX6,'📝 Four-tier กรอก'!AY24="N"),"❓ NoK","🤔 Partial")))))</f>
        <v/>
      </c>
      <c r="P22" s="68">
        <f>IF(OR('📝 Four-tier กรอก'!AZ24="",'📝 Four-tier กรอก'!BB24=""),"—",IF(AND('📝 Four-tier กรอก'!AZ24='📝 Four-tier กรอก'!AZ6,'📝 Four-tier กรอก'!BA24="Y",'📝 Four-tier กรอก'!BB24='📝 Four-tier กรอก'!BB6,'📝 Four-tier กรอก'!BC24="Y"),"✅ Sound",IF(AND('📝 Four-tier กรอก'!AZ24='📝 Four-tier กรอก'!AZ6,'📝 Four-tier กรอก'!BA24="Y",'📝 Four-tier กรอก'!BB24&lt;&gt;'📝 Four-tier กรอก'!BB6,'📝 Four-tier กรอก'!BC24="Y"),"🎲 Guess",IF(AND('📝 Four-tier กรอก'!AZ24&lt;&gt;'📝 Four-tier กรอก'!AZ6,'📝 Four-tier กรอก'!BA24="Y",'📝 Four-tier กรอก'!BB24&lt;&gt;'📝 Four-tier กรอก'!BB6,'📝 Four-tier กรอก'!BC24="Y"),"❌ Misc.",IF(AND('📝 Four-tier กรอก'!AZ24&lt;&gt;'📝 Four-tier กรอก'!AZ6,'📝 Four-tier กรอก'!BA24="N",'📝 Four-tier กรอก'!BB24&lt;&gt;'📝 Four-tier กรอก'!BB6,'📝 Four-tier กรอก'!BC24="N"),"❓ NoK","🤔 Partial")))))</f>
        <v/>
      </c>
      <c r="Q22" s="68">
        <f>IF(OR('📝 Four-tier กรอก'!BD24="",'📝 Four-tier กรอก'!BF24=""),"—",IF(AND('📝 Four-tier กรอก'!BD24='📝 Four-tier กรอก'!BD6,'📝 Four-tier กรอก'!BE24="Y",'📝 Four-tier กรอก'!BF24='📝 Four-tier กรอก'!BF6,'📝 Four-tier กรอก'!BG24="Y"),"✅ Sound",IF(AND('📝 Four-tier กรอก'!BD24='📝 Four-tier กรอก'!BD6,'📝 Four-tier กรอก'!BE24="Y",'📝 Four-tier กรอก'!BF24&lt;&gt;'📝 Four-tier กรอก'!BF6,'📝 Four-tier กรอก'!BG24="Y"),"🎲 Guess",IF(AND('📝 Four-tier กรอก'!BD24&lt;&gt;'📝 Four-tier กรอก'!BD6,'📝 Four-tier กรอก'!BE24="Y",'📝 Four-tier กรอก'!BF24&lt;&gt;'📝 Four-tier กรอก'!BF6,'📝 Four-tier กรอก'!BG24="Y"),"❌ Misc.",IF(AND('📝 Four-tier กรอก'!BD24&lt;&gt;'📝 Four-tier กรอก'!BD6,'📝 Four-tier กรอก'!BE24="N",'📝 Four-tier กรอก'!BF24&lt;&gt;'📝 Four-tier กรอก'!BF6,'📝 Four-tier กรอก'!BG24="N"),"❓ NoK","🤔 Partial")))))</f>
        <v/>
      </c>
      <c r="R22" s="68">
        <f>IF(OR('📝 Four-tier กรอก'!BH24="",'📝 Four-tier กรอก'!BJ24=""),"—",IF(AND('📝 Four-tier กรอก'!BH24='📝 Four-tier กรอก'!BH6,'📝 Four-tier กรอก'!BI24="Y",'📝 Four-tier กรอก'!BJ24='📝 Four-tier กรอก'!BJ6,'📝 Four-tier กรอก'!BK24="Y"),"✅ Sound",IF(AND('📝 Four-tier กรอก'!BH24='📝 Four-tier กรอก'!BH6,'📝 Four-tier กรอก'!BI24="Y",'📝 Four-tier กรอก'!BJ24&lt;&gt;'📝 Four-tier กรอก'!BJ6,'📝 Four-tier กรอก'!BK24="Y"),"🎲 Guess",IF(AND('📝 Four-tier กรอก'!BH24&lt;&gt;'📝 Four-tier กรอก'!BH6,'📝 Four-tier กรอก'!BI24="Y",'📝 Four-tier กรอก'!BJ24&lt;&gt;'📝 Four-tier กรอก'!BJ6,'📝 Four-tier กรอก'!BK24="Y"),"❌ Misc.",IF(AND('📝 Four-tier กรอก'!BH24&lt;&gt;'📝 Four-tier กรอก'!BH6,'📝 Four-tier กรอก'!BI24="N",'📝 Four-tier กรอก'!BJ24&lt;&gt;'📝 Four-tier กรอก'!BJ6,'📝 Four-tier กรอก'!BK24="N"),"❓ NoK","🤔 Partial")))))</f>
        <v/>
      </c>
      <c r="S22" s="68">
        <f>IF(OR('📝 Four-tier กรอก'!BL24="",'📝 Four-tier กรอก'!BN24=""),"—",IF(AND('📝 Four-tier กรอก'!BL24='📝 Four-tier กรอก'!BL6,'📝 Four-tier กรอก'!BM24="Y",'📝 Four-tier กรอก'!BN24='📝 Four-tier กรอก'!BN6,'📝 Four-tier กรอก'!BO24="Y"),"✅ Sound",IF(AND('📝 Four-tier กรอก'!BL24='📝 Four-tier กรอก'!BL6,'📝 Four-tier กรอก'!BM24="Y",'📝 Four-tier กรอก'!BN24&lt;&gt;'📝 Four-tier กรอก'!BN6,'📝 Four-tier กรอก'!BO24="Y"),"🎲 Guess",IF(AND('📝 Four-tier กรอก'!BL24&lt;&gt;'📝 Four-tier กรอก'!BL6,'📝 Four-tier กรอก'!BM24="Y",'📝 Four-tier กรอก'!BN24&lt;&gt;'📝 Four-tier กรอก'!BN6,'📝 Four-tier กรอก'!BO24="Y"),"❌ Misc.",IF(AND('📝 Four-tier กรอก'!BL24&lt;&gt;'📝 Four-tier กรอก'!BL6,'📝 Four-tier กรอก'!BM24="N",'📝 Four-tier กรอก'!BN24&lt;&gt;'📝 Four-tier กรอก'!BN6,'📝 Four-tier กรอก'!BO24="N"),"❓ NoK","🤔 Partial")))))</f>
        <v/>
      </c>
      <c r="T22" s="68">
        <f>IF(OR('📝 Four-tier กรอก'!BP24="",'📝 Four-tier กรอก'!BR24=""),"—",IF(AND('📝 Four-tier กรอก'!BP24='📝 Four-tier กรอก'!BP6,'📝 Four-tier กรอก'!BQ24="Y",'📝 Four-tier กรอก'!BR24='📝 Four-tier กรอก'!BR6,'📝 Four-tier กรอก'!BS24="Y"),"✅ Sound",IF(AND('📝 Four-tier กรอก'!BP24='📝 Four-tier กรอก'!BP6,'📝 Four-tier กรอก'!BQ24="Y",'📝 Four-tier กรอก'!BR24&lt;&gt;'📝 Four-tier กรอก'!BR6,'📝 Four-tier กรอก'!BS24="Y"),"🎲 Guess",IF(AND('📝 Four-tier กรอก'!BP24&lt;&gt;'📝 Four-tier กรอก'!BP6,'📝 Four-tier กรอก'!BQ24="Y",'📝 Four-tier กรอก'!BR24&lt;&gt;'📝 Four-tier กรอก'!BR6,'📝 Four-tier กรอก'!BS24="Y"),"❌ Misc.",IF(AND('📝 Four-tier กรอก'!BP24&lt;&gt;'📝 Four-tier กรอก'!BP6,'📝 Four-tier กรอก'!BQ24="N",'📝 Four-tier กรอก'!BR24&lt;&gt;'📝 Four-tier กรอก'!BR6,'📝 Four-tier กรอก'!BS24="N"),"❓ NoK","🤔 Partial")))))</f>
        <v/>
      </c>
      <c r="U22" s="68">
        <f>IF(OR('📝 Four-tier กรอก'!BT24="",'📝 Four-tier กรอก'!BV24=""),"—",IF(AND('📝 Four-tier กรอก'!BT24='📝 Four-tier กรอก'!BT6,'📝 Four-tier กรอก'!BU24="Y",'📝 Four-tier กรอก'!BV24='📝 Four-tier กรอก'!BV6,'📝 Four-tier กรอก'!BW24="Y"),"✅ Sound",IF(AND('📝 Four-tier กรอก'!BT24='📝 Four-tier กรอก'!BT6,'📝 Four-tier กรอก'!BU24="Y",'📝 Four-tier กรอก'!BV24&lt;&gt;'📝 Four-tier กรอก'!BV6,'📝 Four-tier กรอก'!BW24="Y"),"🎲 Guess",IF(AND('📝 Four-tier กรอก'!BT24&lt;&gt;'📝 Four-tier กรอก'!BT6,'📝 Four-tier กรอก'!BU24="Y",'📝 Four-tier กรอก'!BV24&lt;&gt;'📝 Four-tier กรอก'!BV6,'📝 Four-tier กรอก'!BW24="Y"),"❌ Misc.",IF(AND('📝 Four-tier กรอก'!BT24&lt;&gt;'📝 Four-tier กรอก'!BT6,'📝 Four-tier กรอก'!BU24="N",'📝 Four-tier กรอก'!BV24&lt;&gt;'📝 Four-tier กรอก'!BV6,'📝 Four-tier กรอก'!BW24="N"),"❓ NoK","🤔 Partial")))))</f>
        <v/>
      </c>
      <c r="V22" s="68">
        <f>IF(OR('📝 Four-tier กรอก'!BX24="",'📝 Four-tier กรอก'!BZ24=""),"—",IF(AND('📝 Four-tier กรอก'!BX24='📝 Four-tier กรอก'!BX6,'📝 Four-tier กรอก'!BY24="Y",'📝 Four-tier กรอก'!BZ24='📝 Four-tier กรอก'!BZ6,'📝 Four-tier กรอก'!CA24="Y"),"✅ Sound",IF(AND('📝 Four-tier กรอก'!BX24='📝 Four-tier กรอก'!BX6,'📝 Four-tier กรอก'!BY24="Y",'📝 Four-tier กรอก'!BZ24&lt;&gt;'📝 Four-tier กรอก'!BZ6,'📝 Four-tier กรอก'!CA24="Y"),"🎲 Guess",IF(AND('📝 Four-tier กรอก'!BX24&lt;&gt;'📝 Four-tier กรอก'!BX6,'📝 Four-tier กรอก'!BY24="Y",'📝 Four-tier กรอก'!BZ24&lt;&gt;'📝 Four-tier กรอก'!BZ6,'📝 Four-tier กรอก'!CA24="Y"),"❌ Misc.",IF(AND('📝 Four-tier กรอก'!BX24&lt;&gt;'📝 Four-tier กรอก'!BX6,'📝 Four-tier กรอก'!BY24="N",'📝 Four-tier กรอก'!BZ24&lt;&gt;'📝 Four-tier กรอก'!BZ6,'📝 Four-tier กรอก'!CA24="N"),"❓ NoK","🤔 Partial")))))</f>
        <v/>
      </c>
      <c r="W22" s="68">
        <f>IF(OR('📝 Four-tier กรอก'!CB24="",'📝 Four-tier กรอก'!CD24=""),"—",IF(AND('📝 Four-tier กรอก'!CB24='📝 Four-tier กรอก'!CB6,'📝 Four-tier กรอก'!CC24="Y",'📝 Four-tier กรอก'!CD24='📝 Four-tier กรอก'!CD6,'📝 Four-tier กรอก'!CE24="Y"),"✅ Sound",IF(AND('📝 Four-tier กรอก'!CB24='📝 Four-tier กรอก'!CB6,'📝 Four-tier กรอก'!CC24="Y",'📝 Four-tier กรอก'!CD24&lt;&gt;'📝 Four-tier กรอก'!CD6,'📝 Four-tier กรอก'!CE24="Y"),"🎲 Guess",IF(AND('📝 Four-tier กรอก'!CB24&lt;&gt;'📝 Four-tier กรอก'!CB6,'📝 Four-tier กรอก'!CC24="Y",'📝 Four-tier กรอก'!CD24&lt;&gt;'📝 Four-tier กรอก'!CD6,'📝 Four-tier กรอก'!CE24="Y"),"❌ Misc.",IF(AND('📝 Four-tier กรอก'!CB24&lt;&gt;'📝 Four-tier กรอก'!CB6,'📝 Four-tier กรอก'!CC24="N",'📝 Four-tier กรอก'!CD24&lt;&gt;'📝 Four-tier กรอก'!CD6,'📝 Four-tier กรอก'!CE24="N"),"❓ NoK","🤔 Partial")))))</f>
        <v/>
      </c>
      <c r="X22" s="37">
        <f>COUNTIF(D22:W22,"✅ Sound")</f>
        <v/>
      </c>
      <c r="Y22" s="37">
        <f>COUNTIF(D22:W22,"❌ Misc.")</f>
        <v/>
      </c>
      <c r="Z22" s="37">
        <f>COUNTIF(D22:W22,"🎲 Guess")</f>
        <v/>
      </c>
      <c r="AA22" s="37">
        <f>COUNTIF(D22:W22,"❓ NoK")</f>
        <v/>
      </c>
    </row>
    <row r="23" ht="18" customHeight="1">
      <c r="B23" s="46">
        <f>'📝 Four-tier กรอก'!B25</f>
        <v/>
      </c>
      <c r="C23" s="47">
        <f>'📝 Four-tier กรอก'!C25</f>
        <v/>
      </c>
      <c r="D23" s="67">
        <f>IF(OR('📝 Four-tier กรอก'!D25="",'📝 Four-tier กรอก'!F25=""),"—",IF(AND('📝 Four-tier กรอก'!D25='📝 Four-tier กรอก'!D6,'📝 Four-tier กรอก'!E25="Y",'📝 Four-tier กรอก'!F25='📝 Four-tier กรอก'!F6,'📝 Four-tier กรอก'!G25="Y"),"✅ Sound",IF(AND('📝 Four-tier กรอก'!D25='📝 Four-tier กรอก'!D6,'📝 Four-tier กรอก'!E25="Y",'📝 Four-tier กรอก'!F25&lt;&gt;'📝 Four-tier กรอก'!F6,'📝 Four-tier กรอก'!G25="Y"),"🎲 Guess",IF(AND('📝 Four-tier กรอก'!D25&lt;&gt;'📝 Four-tier กรอก'!D6,'📝 Four-tier กรอก'!E25="Y",'📝 Four-tier กรอก'!F25&lt;&gt;'📝 Four-tier กรอก'!F6,'📝 Four-tier กรอก'!G25="Y"),"❌ Misc.",IF(AND('📝 Four-tier กรอก'!D25&lt;&gt;'📝 Four-tier กรอก'!D6,'📝 Four-tier กรอก'!E25="N",'📝 Four-tier กรอก'!F25&lt;&gt;'📝 Four-tier กรอก'!F6,'📝 Four-tier กรอก'!G25="N"),"❓ NoK","🤔 Partial")))))</f>
        <v/>
      </c>
      <c r="E23" s="67">
        <f>IF(OR('📝 Four-tier กรอก'!H25="",'📝 Four-tier กรอก'!J25=""),"—",IF(AND('📝 Four-tier กรอก'!H25='📝 Four-tier กรอก'!H6,'📝 Four-tier กรอก'!I25="Y",'📝 Four-tier กรอก'!J25='📝 Four-tier กรอก'!J6,'📝 Four-tier กรอก'!K25="Y"),"✅ Sound",IF(AND('📝 Four-tier กรอก'!H25='📝 Four-tier กรอก'!H6,'📝 Four-tier กรอก'!I25="Y",'📝 Four-tier กรอก'!J25&lt;&gt;'📝 Four-tier กรอก'!J6,'📝 Four-tier กรอก'!K25="Y"),"🎲 Guess",IF(AND('📝 Four-tier กรอก'!H25&lt;&gt;'📝 Four-tier กรอก'!H6,'📝 Four-tier กรอก'!I25="Y",'📝 Four-tier กรอก'!J25&lt;&gt;'📝 Four-tier กรอก'!J6,'📝 Four-tier กรอก'!K25="Y"),"❌ Misc.",IF(AND('📝 Four-tier กรอก'!H25&lt;&gt;'📝 Four-tier กรอก'!H6,'📝 Four-tier กรอก'!I25="N",'📝 Four-tier กรอก'!J25&lt;&gt;'📝 Four-tier กรอก'!J6,'📝 Four-tier กรอก'!K25="N"),"❓ NoK","🤔 Partial")))))</f>
        <v/>
      </c>
      <c r="F23" s="67">
        <f>IF(OR('📝 Four-tier กรอก'!L25="",'📝 Four-tier กรอก'!N25=""),"—",IF(AND('📝 Four-tier กรอก'!L25='📝 Four-tier กรอก'!L6,'📝 Four-tier กรอก'!M25="Y",'📝 Four-tier กรอก'!N25='📝 Four-tier กรอก'!N6,'📝 Four-tier กรอก'!O25="Y"),"✅ Sound",IF(AND('📝 Four-tier กรอก'!L25='📝 Four-tier กรอก'!L6,'📝 Four-tier กรอก'!M25="Y",'📝 Four-tier กรอก'!N25&lt;&gt;'📝 Four-tier กรอก'!N6,'📝 Four-tier กรอก'!O25="Y"),"🎲 Guess",IF(AND('📝 Four-tier กรอก'!L25&lt;&gt;'📝 Four-tier กรอก'!L6,'📝 Four-tier กรอก'!M25="Y",'📝 Four-tier กรอก'!N25&lt;&gt;'📝 Four-tier กรอก'!N6,'📝 Four-tier กรอก'!O25="Y"),"❌ Misc.",IF(AND('📝 Four-tier กรอก'!L25&lt;&gt;'📝 Four-tier กรอก'!L6,'📝 Four-tier กรอก'!M25="N",'📝 Four-tier กรอก'!N25&lt;&gt;'📝 Four-tier กรอก'!N6,'📝 Four-tier กรอก'!O25="N"),"❓ NoK","🤔 Partial")))))</f>
        <v/>
      </c>
      <c r="G23" s="67">
        <f>IF(OR('📝 Four-tier กรอก'!P25="",'📝 Four-tier กรอก'!R25=""),"—",IF(AND('📝 Four-tier กรอก'!P25='📝 Four-tier กรอก'!P6,'📝 Four-tier กรอก'!Q25="Y",'📝 Four-tier กรอก'!R25='📝 Four-tier กรอก'!R6,'📝 Four-tier กรอก'!S25="Y"),"✅ Sound",IF(AND('📝 Four-tier กรอก'!P25='📝 Four-tier กรอก'!P6,'📝 Four-tier กรอก'!Q25="Y",'📝 Four-tier กรอก'!R25&lt;&gt;'📝 Four-tier กรอก'!R6,'📝 Four-tier กรอก'!S25="Y"),"🎲 Guess",IF(AND('📝 Four-tier กรอก'!P25&lt;&gt;'📝 Four-tier กรอก'!P6,'📝 Four-tier กรอก'!Q25="Y",'📝 Four-tier กรอก'!R25&lt;&gt;'📝 Four-tier กรอก'!R6,'📝 Four-tier กรอก'!S25="Y"),"❌ Misc.",IF(AND('📝 Four-tier กรอก'!P25&lt;&gt;'📝 Four-tier กรอก'!P6,'📝 Four-tier กรอก'!Q25="N",'📝 Four-tier กรอก'!R25&lt;&gt;'📝 Four-tier กรอก'!R6,'📝 Four-tier กรอก'!S25="N"),"❓ NoK","🤔 Partial")))))</f>
        <v/>
      </c>
      <c r="H23" s="67">
        <f>IF(OR('📝 Four-tier กรอก'!T25="",'📝 Four-tier กรอก'!V25=""),"—",IF(AND('📝 Four-tier กรอก'!T25='📝 Four-tier กรอก'!T6,'📝 Four-tier กรอก'!U25="Y",'📝 Four-tier กรอก'!V25='📝 Four-tier กรอก'!V6,'📝 Four-tier กรอก'!W25="Y"),"✅ Sound",IF(AND('📝 Four-tier กรอก'!T25='📝 Four-tier กรอก'!T6,'📝 Four-tier กรอก'!U25="Y",'📝 Four-tier กรอก'!V25&lt;&gt;'📝 Four-tier กรอก'!V6,'📝 Four-tier กรอก'!W25="Y"),"🎲 Guess",IF(AND('📝 Four-tier กรอก'!T25&lt;&gt;'📝 Four-tier กรอก'!T6,'📝 Four-tier กรอก'!U25="Y",'📝 Four-tier กรอก'!V25&lt;&gt;'📝 Four-tier กรอก'!V6,'📝 Four-tier กรอก'!W25="Y"),"❌ Misc.",IF(AND('📝 Four-tier กรอก'!T25&lt;&gt;'📝 Four-tier กรอก'!T6,'📝 Four-tier กรอก'!U25="N",'📝 Four-tier กรอก'!V25&lt;&gt;'📝 Four-tier กรอก'!V6,'📝 Four-tier กรอก'!W25="N"),"❓ NoK","🤔 Partial")))))</f>
        <v/>
      </c>
      <c r="I23" s="67">
        <f>IF(OR('📝 Four-tier กรอก'!X25="",'📝 Four-tier กรอก'!Z25=""),"—",IF(AND('📝 Four-tier กรอก'!X25='📝 Four-tier กรอก'!X6,'📝 Four-tier กรอก'!Y25="Y",'📝 Four-tier กรอก'!Z25='📝 Four-tier กรอก'!Z6,'📝 Four-tier กรอก'!AA25="Y"),"✅ Sound",IF(AND('📝 Four-tier กรอก'!X25='📝 Four-tier กรอก'!X6,'📝 Four-tier กรอก'!Y25="Y",'📝 Four-tier กรอก'!Z25&lt;&gt;'📝 Four-tier กรอก'!Z6,'📝 Four-tier กรอก'!AA25="Y"),"🎲 Guess",IF(AND('📝 Four-tier กรอก'!X25&lt;&gt;'📝 Four-tier กรอก'!X6,'📝 Four-tier กรอก'!Y25="Y",'📝 Four-tier กรอก'!Z25&lt;&gt;'📝 Four-tier กรอก'!Z6,'📝 Four-tier กรอก'!AA25="Y"),"❌ Misc.",IF(AND('📝 Four-tier กรอก'!X25&lt;&gt;'📝 Four-tier กรอก'!X6,'📝 Four-tier กรอก'!Y25="N",'📝 Four-tier กรอก'!Z25&lt;&gt;'📝 Four-tier กรอก'!Z6,'📝 Four-tier กรอก'!AA25="N"),"❓ NoK","🤔 Partial")))))</f>
        <v/>
      </c>
      <c r="J23" s="67">
        <f>IF(OR('📝 Four-tier กรอก'!AB25="",'📝 Four-tier กรอก'!AD25=""),"—",IF(AND('📝 Four-tier กรอก'!AB25='📝 Four-tier กรอก'!AB6,'📝 Four-tier กรอก'!AC25="Y",'📝 Four-tier กรอก'!AD25='📝 Four-tier กรอก'!AD6,'📝 Four-tier กรอก'!AE25="Y"),"✅ Sound",IF(AND('📝 Four-tier กรอก'!AB25='📝 Four-tier กรอก'!AB6,'📝 Four-tier กรอก'!AC25="Y",'📝 Four-tier กรอก'!AD25&lt;&gt;'📝 Four-tier กรอก'!AD6,'📝 Four-tier กรอก'!AE25="Y"),"🎲 Guess",IF(AND('📝 Four-tier กรอก'!AB25&lt;&gt;'📝 Four-tier กรอก'!AB6,'📝 Four-tier กรอก'!AC25="Y",'📝 Four-tier กรอก'!AD25&lt;&gt;'📝 Four-tier กรอก'!AD6,'📝 Four-tier กรอก'!AE25="Y"),"❌ Misc.",IF(AND('📝 Four-tier กรอก'!AB25&lt;&gt;'📝 Four-tier กรอก'!AB6,'📝 Four-tier กรอก'!AC25="N",'📝 Four-tier กรอก'!AD25&lt;&gt;'📝 Four-tier กรอก'!AD6,'📝 Four-tier กรอก'!AE25="N"),"❓ NoK","🤔 Partial")))))</f>
        <v/>
      </c>
      <c r="K23" s="67">
        <f>IF(OR('📝 Four-tier กรอก'!AF25="",'📝 Four-tier กรอก'!AH25=""),"—",IF(AND('📝 Four-tier กรอก'!AF25='📝 Four-tier กรอก'!AF6,'📝 Four-tier กรอก'!AG25="Y",'📝 Four-tier กรอก'!AH25='📝 Four-tier กรอก'!AH6,'📝 Four-tier กรอก'!AI25="Y"),"✅ Sound",IF(AND('📝 Four-tier กรอก'!AF25='📝 Four-tier กรอก'!AF6,'📝 Four-tier กรอก'!AG25="Y",'📝 Four-tier กรอก'!AH25&lt;&gt;'📝 Four-tier กรอก'!AH6,'📝 Four-tier กรอก'!AI25="Y"),"🎲 Guess",IF(AND('📝 Four-tier กรอก'!AF25&lt;&gt;'📝 Four-tier กรอก'!AF6,'📝 Four-tier กรอก'!AG25="Y",'📝 Four-tier กรอก'!AH25&lt;&gt;'📝 Four-tier กรอก'!AH6,'📝 Four-tier กรอก'!AI25="Y"),"❌ Misc.",IF(AND('📝 Four-tier กรอก'!AF25&lt;&gt;'📝 Four-tier กรอก'!AF6,'📝 Four-tier กรอก'!AG25="N",'📝 Four-tier กรอก'!AH25&lt;&gt;'📝 Four-tier กรอก'!AH6,'📝 Four-tier กรอก'!AI25="N"),"❓ NoK","🤔 Partial")))))</f>
        <v/>
      </c>
      <c r="L23" s="67">
        <f>IF(OR('📝 Four-tier กรอก'!AJ25="",'📝 Four-tier กรอก'!AL25=""),"—",IF(AND('📝 Four-tier กรอก'!AJ25='📝 Four-tier กรอก'!AJ6,'📝 Four-tier กรอก'!AK25="Y",'📝 Four-tier กรอก'!AL25='📝 Four-tier กรอก'!AL6,'📝 Four-tier กรอก'!AM25="Y"),"✅ Sound",IF(AND('📝 Four-tier กรอก'!AJ25='📝 Four-tier กรอก'!AJ6,'📝 Four-tier กรอก'!AK25="Y",'📝 Four-tier กรอก'!AL25&lt;&gt;'📝 Four-tier กรอก'!AL6,'📝 Four-tier กรอก'!AM25="Y"),"🎲 Guess",IF(AND('📝 Four-tier กรอก'!AJ25&lt;&gt;'📝 Four-tier กรอก'!AJ6,'📝 Four-tier กรอก'!AK25="Y",'📝 Four-tier กรอก'!AL25&lt;&gt;'📝 Four-tier กรอก'!AL6,'📝 Four-tier กรอก'!AM25="Y"),"❌ Misc.",IF(AND('📝 Four-tier กรอก'!AJ25&lt;&gt;'📝 Four-tier กรอก'!AJ6,'📝 Four-tier กรอก'!AK25="N",'📝 Four-tier กรอก'!AL25&lt;&gt;'📝 Four-tier กรอก'!AL6,'📝 Four-tier กรอก'!AM25="N"),"❓ NoK","🤔 Partial")))))</f>
        <v/>
      </c>
      <c r="M23" s="67">
        <f>IF(OR('📝 Four-tier กรอก'!AN25="",'📝 Four-tier กรอก'!AP25=""),"—",IF(AND('📝 Four-tier กรอก'!AN25='📝 Four-tier กรอก'!AN6,'📝 Four-tier กรอก'!AO25="Y",'📝 Four-tier กรอก'!AP25='📝 Four-tier กรอก'!AP6,'📝 Four-tier กรอก'!AQ25="Y"),"✅ Sound",IF(AND('📝 Four-tier กรอก'!AN25='📝 Four-tier กรอก'!AN6,'📝 Four-tier กรอก'!AO25="Y",'📝 Four-tier กรอก'!AP25&lt;&gt;'📝 Four-tier กรอก'!AP6,'📝 Four-tier กรอก'!AQ25="Y"),"🎲 Guess",IF(AND('📝 Four-tier กรอก'!AN25&lt;&gt;'📝 Four-tier กรอก'!AN6,'📝 Four-tier กรอก'!AO25="Y",'📝 Four-tier กรอก'!AP25&lt;&gt;'📝 Four-tier กรอก'!AP6,'📝 Four-tier กรอก'!AQ25="Y"),"❌ Misc.",IF(AND('📝 Four-tier กรอก'!AN25&lt;&gt;'📝 Four-tier กรอก'!AN6,'📝 Four-tier กรอก'!AO25="N",'📝 Four-tier กรอก'!AP25&lt;&gt;'📝 Four-tier กรอก'!AP6,'📝 Four-tier กรอก'!AQ25="N"),"❓ NoK","🤔 Partial")))))</f>
        <v/>
      </c>
      <c r="N23" s="67">
        <f>IF(OR('📝 Four-tier กรอก'!AR25="",'📝 Four-tier กรอก'!AT25=""),"—",IF(AND('📝 Four-tier กรอก'!AR25='📝 Four-tier กรอก'!AR6,'📝 Four-tier กรอก'!AS25="Y",'📝 Four-tier กรอก'!AT25='📝 Four-tier กรอก'!AT6,'📝 Four-tier กรอก'!AU25="Y"),"✅ Sound",IF(AND('📝 Four-tier กรอก'!AR25='📝 Four-tier กรอก'!AR6,'📝 Four-tier กรอก'!AS25="Y",'📝 Four-tier กรอก'!AT25&lt;&gt;'📝 Four-tier กรอก'!AT6,'📝 Four-tier กรอก'!AU25="Y"),"🎲 Guess",IF(AND('📝 Four-tier กรอก'!AR25&lt;&gt;'📝 Four-tier กรอก'!AR6,'📝 Four-tier กรอก'!AS25="Y",'📝 Four-tier กรอก'!AT25&lt;&gt;'📝 Four-tier กรอก'!AT6,'📝 Four-tier กรอก'!AU25="Y"),"❌ Misc.",IF(AND('📝 Four-tier กรอก'!AR25&lt;&gt;'📝 Four-tier กรอก'!AR6,'📝 Four-tier กรอก'!AS25="N",'📝 Four-tier กรอก'!AT25&lt;&gt;'📝 Four-tier กรอก'!AT6,'📝 Four-tier กรอก'!AU25="N"),"❓ NoK","🤔 Partial")))))</f>
        <v/>
      </c>
      <c r="O23" s="67">
        <f>IF(OR('📝 Four-tier กรอก'!AV25="",'📝 Four-tier กรอก'!AX25=""),"—",IF(AND('📝 Four-tier กรอก'!AV25='📝 Four-tier กรอก'!AV6,'📝 Four-tier กรอก'!AW25="Y",'📝 Four-tier กรอก'!AX25='📝 Four-tier กรอก'!AX6,'📝 Four-tier กรอก'!AY25="Y"),"✅ Sound",IF(AND('📝 Four-tier กรอก'!AV25='📝 Four-tier กรอก'!AV6,'📝 Four-tier กรอก'!AW25="Y",'📝 Four-tier กรอก'!AX25&lt;&gt;'📝 Four-tier กรอก'!AX6,'📝 Four-tier กรอก'!AY25="Y"),"🎲 Guess",IF(AND('📝 Four-tier กรอก'!AV25&lt;&gt;'📝 Four-tier กรอก'!AV6,'📝 Four-tier กรอก'!AW25="Y",'📝 Four-tier กรอก'!AX25&lt;&gt;'📝 Four-tier กรอก'!AX6,'📝 Four-tier กรอก'!AY25="Y"),"❌ Misc.",IF(AND('📝 Four-tier กรอก'!AV25&lt;&gt;'📝 Four-tier กรอก'!AV6,'📝 Four-tier กรอก'!AW25="N",'📝 Four-tier กรอก'!AX25&lt;&gt;'📝 Four-tier กรอก'!AX6,'📝 Four-tier กรอก'!AY25="N"),"❓ NoK","🤔 Partial")))))</f>
        <v/>
      </c>
      <c r="P23" s="67">
        <f>IF(OR('📝 Four-tier กรอก'!AZ25="",'📝 Four-tier กรอก'!BB25=""),"—",IF(AND('📝 Four-tier กรอก'!AZ25='📝 Four-tier กรอก'!AZ6,'📝 Four-tier กรอก'!BA25="Y",'📝 Four-tier กรอก'!BB25='📝 Four-tier กรอก'!BB6,'📝 Four-tier กรอก'!BC25="Y"),"✅ Sound",IF(AND('📝 Four-tier กรอก'!AZ25='📝 Four-tier กรอก'!AZ6,'📝 Four-tier กรอก'!BA25="Y",'📝 Four-tier กรอก'!BB25&lt;&gt;'📝 Four-tier กรอก'!BB6,'📝 Four-tier กรอก'!BC25="Y"),"🎲 Guess",IF(AND('📝 Four-tier กรอก'!AZ25&lt;&gt;'📝 Four-tier กรอก'!AZ6,'📝 Four-tier กรอก'!BA25="Y",'📝 Four-tier กรอก'!BB25&lt;&gt;'📝 Four-tier กรอก'!BB6,'📝 Four-tier กรอก'!BC25="Y"),"❌ Misc.",IF(AND('📝 Four-tier กรอก'!AZ25&lt;&gt;'📝 Four-tier กรอก'!AZ6,'📝 Four-tier กรอก'!BA25="N",'📝 Four-tier กรอก'!BB25&lt;&gt;'📝 Four-tier กรอก'!BB6,'📝 Four-tier กรอก'!BC25="N"),"❓ NoK","🤔 Partial")))))</f>
        <v/>
      </c>
      <c r="Q23" s="67">
        <f>IF(OR('📝 Four-tier กรอก'!BD25="",'📝 Four-tier กรอก'!BF25=""),"—",IF(AND('📝 Four-tier กรอก'!BD25='📝 Four-tier กรอก'!BD6,'📝 Four-tier กรอก'!BE25="Y",'📝 Four-tier กรอก'!BF25='📝 Four-tier กรอก'!BF6,'📝 Four-tier กรอก'!BG25="Y"),"✅ Sound",IF(AND('📝 Four-tier กรอก'!BD25='📝 Four-tier กรอก'!BD6,'📝 Four-tier กรอก'!BE25="Y",'📝 Four-tier กรอก'!BF25&lt;&gt;'📝 Four-tier กรอก'!BF6,'📝 Four-tier กรอก'!BG25="Y"),"🎲 Guess",IF(AND('📝 Four-tier กรอก'!BD25&lt;&gt;'📝 Four-tier กรอก'!BD6,'📝 Four-tier กรอก'!BE25="Y",'📝 Four-tier กรอก'!BF25&lt;&gt;'📝 Four-tier กรอก'!BF6,'📝 Four-tier กรอก'!BG25="Y"),"❌ Misc.",IF(AND('📝 Four-tier กรอก'!BD25&lt;&gt;'📝 Four-tier กรอก'!BD6,'📝 Four-tier กรอก'!BE25="N",'📝 Four-tier กรอก'!BF25&lt;&gt;'📝 Four-tier กรอก'!BF6,'📝 Four-tier กรอก'!BG25="N"),"❓ NoK","🤔 Partial")))))</f>
        <v/>
      </c>
      <c r="R23" s="67">
        <f>IF(OR('📝 Four-tier กรอก'!BH25="",'📝 Four-tier กรอก'!BJ25=""),"—",IF(AND('📝 Four-tier กรอก'!BH25='📝 Four-tier กรอก'!BH6,'📝 Four-tier กรอก'!BI25="Y",'📝 Four-tier กรอก'!BJ25='📝 Four-tier กรอก'!BJ6,'📝 Four-tier กรอก'!BK25="Y"),"✅ Sound",IF(AND('📝 Four-tier กรอก'!BH25='📝 Four-tier กรอก'!BH6,'📝 Four-tier กรอก'!BI25="Y",'📝 Four-tier กรอก'!BJ25&lt;&gt;'📝 Four-tier กรอก'!BJ6,'📝 Four-tier กรอก'!BK25="Y"),"🎲 Guess",IF(AND('📝 Four-tier กรอก'!BH25&lt;&gt;'📝 Four-tier กรอก'!BH6,'📝 Four-tier กรอก'!BI25="Y",'📝 Four-tier กรอก'!BJ25&lt;&gt;'📝 Four-tier กรอก'!BJ6,'📝 Four-tier กรอก'!BK25="Y"),"❌ Misc.",IF(AND('📝 Four-tier กรอก'!BH25&lt;&gt;'📝 Four-tier กรอก'!BH6,'📝 Four-tier กรอก'!BI25="N",'📝 Four-tier กรอก'!BJ25&lt;&gt;'📝 Four-tier กรอก'!BJ6,'📝 Four-tier กรอก'!BK25="N"),"❓ NoK","🤔 Partial")))))</f>
        <v/>
      </c>
      <c r="S23" s="67">
        <f>IF(OR('📝 Four-tier กรอก'!BL25="",'📝 Four-tier กรอก'!BN25=""),"—",IF(AND('📝 Four-tier กรอก'!BL25='📝 Four-tier กรอก'!BL6,'📝 Four-tier กรอก'!BM25="Y",'📝 Four-tier กรอก'!BN25='📝 Four-tier กรอก'!BN6,'📝 Four-tier กรอก'!BO25="Y"),"✅ Sound",IF(AND('📝 Four-tier กรอก'!BL25='📝 Four-tier กรอก'!BL6,'📝 Four-tier กรอก'!BM25="Y",'📝 Four-tier กรอก'!BN25&lt;&gt;'📝 Four-tier กรอก'!BN6,'📝 Four-tier กรอก'!BO25="Y"),"🎲 Guess",IF(AND('📝 Four-tier กรอก'!BL25&lt;&gt;'📝 Four-tier กรอก'!BL6,'📝 Four-tier กรอก'!BM25="Y",'📝 Four-tier กรอก'!BN25&lt;&gt;'📝 Four-tier กรอก'!BN6,'📝 Four-tier กรอก'!BO25="Y"),"❌ Misc.",IF(AND('📝 Four-tier กรอก'!BL25&lt;&gt;'📝 Four-tier กรอก'!BL6,'📝 Four-tier กรอก'!BM25="N",'📝 Four-tier กรอก'!BN25&lt;&gt;'📝 Four-tier กรอก'!BN6,'📝 Four-tier กรอก'!BO25="N"),"❓ NoK","🤔 Partial")))))</f>
        <v/>
      </c>
      <c r="T23" s="67">
        <f>IF(OR('📝 Four-tier กรอก'!BP25="",'📝 Four-tier กรอก'!BR25=""),"—",IF(AND('📝 Four-tier กรอก'!BP25='📝 Four-tier กรอก'!BP6,'📝 Four-tier กรอก'!BQ25="Y",'📝 Four-tier กรอก'!BR25='📝 Four-tier กรอก'!BR6,'📝 Four-tier กรอก'!BS25="Y"),"✅ Sound",IF(AND('📝 Four-tier กรอก'!BP25='📝 Four-tier กรอก'!BP6,'📝 Four-tier กรอก'!BQ25="Y",'📝 Four-tier กรอก'!BR25&lt;&gt;'📝 Four-tier กรอก'!BR6,'📝 Four-tier กรอก'!BS25="Y"),"🎲 Guess",IF(AND('📝 Four-tier กรอก'!BP25&lt;&gt;'📝 Four-tier กรอก'!BP6,'📝 Four-tier กรอก'!BQ25="Y",'📝 Four-tier กรอก'!BR25&lt;&gt;'📝 Four-tier กรอก'!BR6,'📝 Four-tier กรอก'!BS25="Y"),"❌ Misc.",IF(AND('📝 Four-tier กรอก'!BP25&lt;&gt;'📝 Four-tier กรอก'!BP6,'📝 Four-tier กรอก'!BQ25="N",'📝 Four-tier กรอก'!BR25&lt;&gt;'📝 Four-tier กรอก'!BR6,'📝 Four-tier กรอก'!BS25="N"),"❓ NoK","🤔 Partial")))))</f>
        <v/>
      </c>
      <c r="U23" s="67">
        <f>IF(OR('📝 Four-tier กรอก'!BT25="",'📝 Four-tier กรอก'!BV25=""),"—",IF(AND('📝 Four-tier กรอก'!BT25='📝 Four-tier กรอก'!BT6,'📝 Four-tier กรอก'!BU25="Y",'📝 Four-tier กรอก'!BV25='📝 Four-tier กรอก'!BV6,'📝 Four-tier กรอก'!BW25="Y"),"✅ Sound",IF(AND('📝 Four-tier กรอก'!BT25='📝 Four-tier กรอก'!BT6,'📝 Four-tier กรอก'!BU25="Y",'📝 Four-tier กรอก'!BV25&lt;&gt;'📝 Four-tier กรอก'!BV6,'📝 Four-tier กรอก'!BW25="Y"),"🎲 Guess",IF(AND('📝 Four-tier กรอก'!BT25&lt;&gt;'📝 Four-tier กรอก'!BT6,'📝 Four-tier กรอก'!BU25="Y",'📝 Four-tier กรอก'!BV25&lt;&gt;'📝 Four-tier กรอก'!BV6,'📝 Four-tier กรอก'!BW25="Y"),"❌ Misc.",IF(AND('📝 Four-tier กรอก'!BT25&lt;&gt;'📝 Four-tier กรอก'!BT6,'📝 Four-tier กรอก'!BU25="N",'📝 Four-tier กรอก'!BV25&lt;&gt;'📝 Four-tier กรอก'!BV6,'📝 Four-tier กรอก'!BW25="N"),"❓ NoK","🤔 Partial")))))</f>
        <v/>
      </c>
      <c r="V23" s="67">
        <f>IF(OR('📝 Four-tier กรอก'!BX25="",'📝 Four-tier กรอก'!BZ25=""),"—",IF(AND('📝 Four-tier กรอก'!BX25='📝 Four-tier กรอก'!BX6,'📝 Four-tier กรอก'!BY25="Y",'📝 Four-tier กรอก'!BZ25='📝 Four-tier กรอก'!BZ6,'📝 Four-tier กรอก'!CA25="Y"),"✅ Sound",IF(AND('📝 Four-tier กรอก'!BX25='📝 Four-tier กรอก'!BX6,'📝 Four-tier กรอก'!BY25="Y",'📝 Four-tier กรอก'!BZ25&lt;&gt;'📝 Four-tier กรอก'!BZ6,'📝 Four-tier กรอก'!CA25="Y"),"🎲 Guess",IF(AND('📝 Four-tier กรอก'!BX25&lt;&gt;'📝 Four-tier กรอก'!BX6,'📝 Four-tier กรอก'!BY25="Y",'📝 Four-tier กรอก'!BZ25&lt;&gt;'📝 Four-tier กรอก'!BZ6,'📝 Four-tier กรอก'!CA25="Y"),"❌ Misc.",IF(AND('📝 Four-tier กรอก'!BX25&lt;&gt;'📝 Four-tier กรอก'!BX6,'📝 Four-tier กรอก'!BY25="N",'📝 Four-tier กรอก'!BZ25&lt;&gt;'📝 Four-tier กรอก'!BZ6,'📝 Four-tier กรอก'!CA25="N"),"❓ NoK","🤔 Partial")))))</f>
        <v/>
      </c>
      <c r="W23" s="67">
        <f>IF(OR('📝 Four-tier กรอก'!CB25="",'📝 Four-tier กรอก'!CD25=""),"—",IF(AND('📝 Four-tier กรอก'!CB25='📝 Four-tier กรอก'!CB6,'📝 Four-tier กรอก'!CC25="Y",'📝 Four-tier กรอก'!CD25='📝 Four-tier กรอก'!CD6,'📝 Four-tier กรอก'!CE25="Y"),"✅ Sound",IF(AND('📝 Four-tier กรอก'!CB25='📝 Four-tier กรอก'!CB6,'📝 Four-tier กรอก'!CC25="Y",'📝 Four-tier กรอก'!CD25&lt;&gt;'📝 Four-tier กรอก'!CD6,'📝 Four-tier กรอก'!CE25="Y"),"🎲 Guess",IF(AND('📝 Four-tier กรอก'!CB25&lt;&gt;'📝 Four-tier กรอก'!CB6,'📝 Four-tier กรอก'!CC25="Y",'📝 Four-tier กรอก'!CD25&lt;&gt;'📝 Four-tier กรอก'!CD6,'📝 Four-tier กรอก'!CE25="Y"),"❌ Misc.",IF(AND('📝 Four-tier กรอก'!CB25&lt;&gt;'📝 Four-tier กรอก'!CB6,'📝 Four-tier กรอก'!CC25="N",'📝 Four-tier กรอก'!CD25&lt;&gt;'📝 Four-tier กรอก'!CD6,'📝 Four-tier กรอก'!CE25="N"),"❓ NoK","🤔 Partial")))))</f>
        <v/>
      </c>
      <c r="X23" s="37">
        <f>COUNTIF(D23:W23,"✅ Sound")</f>
        <v/>
      </c>
      <c r="Y23" s="37">
        <f>COUNTIF(D23:W23,"❌ Misc.")</f>
        <v/>
      </c>
      <c r="Z23" s="37">
        <f>COUNTIF(D23:W23,"🎲 Guess")</f>
        <v/>
      </c>
      <c r="AA23" s="37">
        <f>COUNTIF(D23:W23,"❓ NoK")</f>
        <v/>
      </c>
    </row>
    <row r="24" ht="18" customHeight="1">
      <c r="B24" s="46">
        <f>'📝 Four-tier กรอก'!B26</f>
        <v/>
      </c>
      <c r="C24" s="51">
        <f>'📝 Four-tier กรอก'!C26</f>
        <v/>
      </c>
      <c r="D24" s="68">
        <f>IF(OR('📝 Four-tier กรอก'!D26="",'📝 Four-tier กรอก'!F26=""),"—",IF(AND('📝 Four-tier กรอก'!D26='📝 Four-tier กรอก'!D6,'📝 Four-tier กรอก'!E26="Y",'📝 Four-tier กรอก'!F26='📝 Four-tier กรอก'!F6,'📝 Four-tier กรอก'!G26="Y"),"✅ Sound",IF(AND('📝 Four-tier กรอก'!D26='📝 Four-tier กรอก'!D6,'📝 Four-tier กรอก'!E26="Y",'📝 Four-tier กรอก'!F26&lt;&gt;'📝 Four-tier กรอก'!F6,'📝 Four-tier กรอก'!G26="Y"),"🎲 Guess",IF(AND('📝 Four-tier กรอก'!D26&lt;&gt;'📝 Four-tier กรอก'!D6,'📝 Four-tier กรอก'!E26="Y",'📝 Four-tier กรอก'!F26&lt;&gt;'📝 Four-tier กรอก'!F6,'📝 Four-tier กรอก'!G26="Y"),"❌ Misc.",IF(AND('📝 Four-tier กรอก'!D26&lt;&gt;'📝 Four-tier กรอก'!D6,'📝 Four-tier กรอก'!E26="N",'📝 Four-tier กรอก'!F26&lt;&gt;'📝 Four-tier กรอก'!F6,'📝 Four-tier กรอก'!G26="N"),"❓ NoK","🤔 Partial")))))</f>
        <v/>
      </c>
      <c r="E24" s="68">
        <f>IF(OR('📝 Four-tier กรอก'!H26="",'📝 Four-tier กรอก'!J26=""),"—",IF(AND('📝 Four-tier กรอก'!H26='📝 Four-tier กรอก'!H6,'📝 Four-tier กรอก'!I26="Y",'📝 Four-tier กรอก'!J26='📝 Four-tier กรอก'!J6,'📝 Four-tier กรอก'!K26="Y"),"✅ Sound",IF(AND('📝 Four-tier กรอก'!H26='📝 Four-tier กรอก'!H6,'📝 Four-tier กรอก'!I26="Y",'📝 Four-tier กรอก'!J26&lt;&gt;'📝 Four-tier กรอก'!J6,'📝 Four-tier กรอก'!K26="Y"),"🎲 Guess",IF(AND('📝 Four-tier กรอก'!H26&lt;&gt;'📝 Four-tier กรอก'!H6,'📝 Four-tier กรอก'!I26="Y",'📝 Four-tier กรอก'!J26&lt;&gt;'📝 Four-tier กรอก'!J6,'📝 Four-tier กรอก'!K26="Y"),"❌ Misc.",IF(AND('📝 Four-tier กรอก'!H26&lt;&gt;'📝 Four-tier กรอก'!H6,'📝 Four-tier กรอก'!I26="N",'📝 Four-tier กรอก'!J26&lt;&gt;'📝 Four-tier กรอก'!J6,'📝 Four-tier กรอก'!K26="N"),"❓ NoK","🤔 Partial")))))</f>
        <v/>
      </c>
      <c r="F24" s="68">
        <f>IF(OR('📝 Four-tier กรอก'!L26="",'📝 Four-tier กรอก'!N26=""),"—",IF(AND('📝 Four-tier กรอก'!L26='📝 Four-tier กรอก'!L6,'📝 Four-tier กรอก'!M26="Y",'📝 Four-tier กรอก'!N26='📝 Four-tier กรอก'!N6,'📝 Four-tier กรอก'!O26="Y"),"✅ Sound",IF(AND('📝 Four-tier กรอก'!L26='📝 Four-tier กรอก'!L6,'📝 Four-tier กรอก'!M26="Y",'📝 Four-tier กรอก'!N26&lt;&gt;'📝 Four-tier กรอก'!N6,'📝 Four-tier กรอก'!O26="Y"),"🎲 Guess",IF(AND('📝 Four-tier กรอก'!L26&lt;&gt;'📝 Four-tier กรอก'!L6,'📝 Four-tier กรอก'!M26="Y",'📝 Four-tier กรอก'!N26&lt;&gt;'📝 Four-tier กรอก'!N6,'📝 Four-tier กรอก'!O26="Y"),"❌ Misc.",IF(AND('📝 Four-tier กรอก'!L26&lt;&gt;'📝 Four-tier กรอก'!L6,'📝 Four-tier กรอก'!M26="N",'📝 Four-tier กรอก'!N26&lt;&gt;'📝 Four-tier กรอก'!N6,'📝 Four-tier กรอก'!O26="N"),"❓ NoK","🤔 Partial")))))</f>
        <v/>
      </c>
      <c r="G24" s="68">
        <f>IF(OR('📝 Four-tier กรอก'!P26="",'📝 Four-tier กรอก'!R26=""),"—",IF(AND('📝 Four-tier กรอก'!P26='📝 Four-tier กรอก'!P6,'📝 Four-tier กรอก'!Q26="Y",'📝 Four-tier กรอก'!R26='📝 Four-tier กรอก'!R6,'📝 Four-tier กรอก'!S26="Y"),"✅ Sound",IF(AND('📝 Four-tier กรอก'!P26='📝 Four-tier กรอก'!P6,'📝 Four-tier กรอก'!Q26="Y",'📝 Four-tier กรอก'!R26&lt;&gt;'📝 Four-tier กรอก'!R6,'📝 Four-tier กรอก'!S26="Y"),"🎲 Guess",IF(AND('📝 Four-tier กรอก'!P26&lt;&gt;'📝 Four-tier กรอก'!P6,'📝 Four-tier กรอก'!Q26="Y",'📝 Four-tier กรอก'!R26&lt;&gt;'📝 Four-tier กรอก'!R6,'📝 Four-tier กรอก'!S26="Y"),"❌ Misc.",IF(AND('📝 Four-tier กรอก'!P26&lt;&gt;'📝 Four-tier กรอก'!P6,'📝 Four-tier กรอก'!Q26="N",'📝 Four-tier กรอก'!R26&lt;&gt;'📝 Four-tier กรอก'!R6,'📝 Four-tier กรอก'!S26="N"),"❓ NoK","🤔 Partial")))))</f>
        <v/>
      </c>
      <c r="H24" s="68">
        <f>IF(OR('📝 Four-tier กรอก'!T26="",'📝 Four-tier กรอก'!V26=""),"—",IF(AND('📝 Four-tier กรอก'!T26='📝 Four-tier กรอก'!T6,'📝 Four-tier กรอก'!U26="Y",'📝 Four-tier กรอก'!V26='📝 Four-tier กรอก'!V6,'📝 Four-tier กรอก'!W26="Y"),"✅ Sound",IF(AND('📝 Four-tier กรอก'!T26='📝 Four-tier กรอก'!T6,'📝 Four-tier กรอก'!U26="Y",'📝 Four-tier กรอก'!V26&lt;&gt;'📝 Four-tier กรอก'!V6,'📝 Four-tier กรอก'!W26="Y"),"🎲 Guess",IF(AND('📝 Four-tier กรอก'!T26&lt;&gt;'📝 Four-tier กรอก'!T6,'📝 Four-tier กรอก'!U26="Y",'📝 Four-tier กรอก'!V26&lt;&gt;'📝 Four-tier กรอก'!V6,'📝 Four-tier กรอก'!W26="Y"),"❌ Misc.",IF(AND('📝 Four-tier กรอก'!T26&lt;&gt;'📝 Four-tier กรอก'!T6,'📝 Four-tier กรอก'!U26="N",'📝 Four-tier กรอก'!V26&lt;&gt;'📝 Four-tier กรอก'!V6,'📝 Four-tier กรอก'!W26="N"),"❓ NoK","🤔 Partial")))))</f>
        <v/>
      </c>
      <c r="I24" s="68">
        <f>IF(OR('📝 Four-tier กรอก'!X26="",'📝 Four-tier กรอก'!Z26=""),"—",IF(AND('📝 Four-tier กรอก'!X26='📝 Four-tier กรอก'!X6,'📝 Four-tier กรอก'!Y26="Y",'📝 Four-tier กรอก'!Z26='📝 Four-tier กรอก'!Z6,'📝 Four-tier กรอก'!AA26="Y"),"✅ Sound",IF(AND('📝 Four-tier กรอก'!X26='📝 Four-tier กรอก'!X6,'📝 Four-tier กรอก'!Y26="Y",'📝 Four-tier กรอก'!Z26&lt;&gt;'📝 Four-tier กรอก'!Z6,'📝 Four-tier กรอก'!AA26="Y"),"🎲 Guess",IF(AND('📝 Four-tier กรอก'!X26&lt;&gt;'📝 Four-tier กรอก'!X6,'📝 Four-tier กรอก'!Y26="Y",'📝 Four-tier กรอก'!Z26&lt;&gt;'📝 Four-tier กรอก'!Z6,'📝 Four-tier กรอก'!AA26="Y"),"❌ Misc.",IF(AND('📝 Four-tier กรอก'!X26&lt;&gt;'📝 Four-tier กรอก'!X6,'📝 Four-tier กรอก'!Y26="N",'📝 Four-tier กรอก'!Z26&lt;&gt;'📝 Four-tier กรอก'!Z6,'📝 Four-tier กรอก'!AA26="N"),"❓ NoK","🤔 Partial")))))</f>
        <v/>
      </c>
      <c r="J24" s="68">
        <f>IF(OR('📝 Four-tier กรอก'!AB26="",'📝 Four-tier กรอก'!AD26=""),"—",IF(AND('📝 Four-tier กรอก'!AB26='📝 Four-tier กรอก'!AB6,'📝 Four-tier กรอก'!AC26="Y",'📝 Four-tier กรอก'!AD26='📝 Four-tier กรอก'!AD6,'📝 Four-tier กรอก'!AE26="Y"),"✅ Sound",IF(AND('📝 Four-tier กรอก'!AB26='📝 Four-tier กรอก'!AB6,'📝 Four-tier กรอก'!AC26="Y",'📝 Four-tier กรอก'!AD26&lt;&gt;'📝 Four-tier กรอก'!AD6,'📝 Four-tier กรอก'!AE26="Y"),"🎲 Guess",IF(AND('📝 Four-tier กรอก'!AB26&lt;&gt;'📝 Four-tier กรอก'!AB6,'📝 Four-tier กรอก'!AC26="Y",'📝 Four-tier กรอก'!AD26&lt;&gt;'📝 Four-tier กรอก'!AD6,'📝 Four-tier กรอก'!AE26="Y"),"❌ Misc.",IF(AND('📝 Four-tier กรอก'!AB26&lt;&gt;'📝 Four-tier กรอก'!AB6,'📝 Four-tier กรอก'!AC26="N",'📝 Four-tier กรอก'!AD26&lt;&gt;'📝 Four-tier กรอก'!AD6,'📝 Four-tier กรอก'!AE26="N"),"❓ NoK","🤔 Partial")))))</f>
        <v/>
      </c>
      <c r="K24" s="68">
        <f>IF(OR('📝 Four-tier กรอก'!AF26="",'📝 Four-tier กรอก'!AH26=""),"—",IF(AND('📝 Four-tier กรอก'!AF26='📝 Four-tier กรอก'!AF6,'📝 Four-tier กรอก'!AG26="Y",'📝 Four-tier กรอก'!AH26='📝 Four-tier กรอก'!AH6,'📝 Four-tier กรอก'!AI26="Y"),"✅ Sound",IF(AND('📝 Four-tier กรอก'!AF26='📝 Four-tier กรอก'!AF6,'📝 Four-tier กรอก'!AG26="Y",'📝 Four-tier กรอก'!AH26&lt;&gt;'📝 Four-tier กรอก'!AH6,'📝 Four-tier กรอก'!AI26="Y"),"🎲 Guess",IF(AND('📝 Four-tier กรอก'!AF26&lt;&gt;'📝 Four-tier กรอก'!AF6,'📝 Four-tier กรอก'!AG26="Y",'📝 Four-tier กรอก'!AH26&lt;&gt;'📝 Four-tier กรอก'!AH6,'📝 Four-tier กรอก'!AI26="Y"),"❌ Misc.",IF(AND('📝 Four-tier กรอก'!AF26&lt;&gt;'📝 Four-tier กรอก'!AF6,'📝 Four-tier กรอก'!AG26="N",'📝 Four-tier กรอก'!AH26&lt;&gt;'📝 Four-tier กรอก'!AH6,'📝 Four-tier กรอก'!AI26="N"),"❓ NoK","🤔 Partial")))))</f>
        <v/>
      </c>
      <c r="L24" s="68">
        <f>IF(OR('📝 Four-tier กรอก'!AJ26="",'📝 Four-tier กรอก'!AL26=""),"—",IF(AND('📝 Four-tier กรอก'!AJ26='📝 Four-tier กรอก'!AJ6,'📝 Four-tier กรอก'!AK26="Y",'📝 Four-tier กรอก'!AL26='📝 Four-tier กรอก'!AL6,'📝 Four-tier กรอก'!AM26="Y"),"✅ Sound",IF(AND('📝 Four-tier กรอก'!AJ26='📝 Four-tier กรอก'!AJ6,'📝 Four-tier กรอก'!AK26="Y",'📝 Four-tier กรอก'!AL26&lt;&gt;'📝 Four-tier กรอก'!AL6,'📝 Four-tier กรอก'!AM26="Y"),"🎲 Guess",IF(AND('📝 Four-tier กรอก'!AJ26&lt;&gt;'📝 Four-tier กรอก'!AJ6,'📝 Four-tier กรอก'!AK26="Y",'📝 Four-tier กรอก'!AL26&lt;&gt;'📝 Four-tier กรอก'!AL6,'📝 Four-tier กรอก'!AM26="Y"),"❌ Misc.",IF(AND('📝 Four-tier กรอก'!AJ26&lt;&gt;'📝 Four-tier กรอก'!AJ6,'📝 Four-tier กรอก'!AK26="N",'📝 Four-tier กรอก'!AL26&lt;&gt;'📝 Four-tier กรอก'!AL6,'📝 Four-tier กรอก'!AM26="N"),"❓ NoK","🤔 Partial")))))</f>
        <v/>
      </c>
      <c r="M24" s="68">
        <f>IF(OR('📝 Four-tier กรอก'!AN26="",'📝 Four-tier กรอก'!AP26=""),"—",IF(AND('📝 Four-tier กรอก'!AN26='📝 Four-tier กรอก'!AN6,'📝 Four-tier กรอก'!AO26="Y",'📝 Four-tier กรอก'!AP26='📝 Four-tier กรอก'!AP6,'📝 Four-tier กรอก'!AQ26="Y"),"✅ Sound",IF(AND('📝 Four-tier กรอก'!AN26='📝 Four-tier กรอก'!AN6,'📝 Four-tier กรอก'!AO26="Y",'📝 Four-tier กรอก'!AP26&lt;&gt;'📝 Four-tier กรอก'!AP6,'📝 Four-tier กรอก'!AQ26="Y"),"🎲 Guess",IF(AND('📝 Four-tier กรอก'!AN26&lt;&gt;'📝 Four-tier กรอก'!AN6,'📝 Four-tier กรอก'!AO26="Y",'📝 Four-tier กรอก'!AP26&lt;&gt;'📝 Four-tier กรอก'!AP6,'📝 Four-tier กรอก'!AQ26="Y"),"❌ Misc.",IF(AND('📝 Four-tier กรอก'!AN26&lt;&gt;'📝 Four-tier กรอก'!AN6,'📝 Four-tier กรอก'!AO26="N",'📝 Four-tier กรอก'!AP26&lt;&gt;'📝 Four-tier กรอก'!AP6,'📝 Four-tier กรอก'!AQ26="N"),"❓ NoK","🤔 Partial")))))</f>
        <v/>
      </c>
      <c r="N24" s="68">
        <f>IF(OR('📝 Four-tier กรอก'!AR26="",'📝 Four-tier กรอก'!AT26=""),"—",IF(AND('📝 Four-tier กรอก'!AR26='📝 Four-tier กรอก'!AR6,'📝 Four-tier กรอก'!AS26="Y",'📝 Four-tier กรอก'!AT26='📝 Four-tier กรอก'!AT6,'📝 Four-tier กรอก'!AU26="Y"),"✅ Sound",IF(AND('📝 Four-tier กรอก'!AR26='📝 Four-tier กรอก'!AR6,'📝 Four-tier กรอก'!AS26="Y",'📝 Four-tier กรอก'!AT26&lt;&gt;'📝 Four-tier กรอก'!AT6,'📝 Four-tier กรอก'!AU26="Y"),"🎲 Guess",IF(AND('📝 Four-tier กรอก'!AR26&lt;&gt;'📝 Four-tier กรอก'!AR6,'📝 Four-tier กรอก'!AS26="Y",'📝 Four-tier กรอก'!AT26&lt;&gt;'📝 Four-tier กรอก'!AT6,'📝 Four-tier กรอก'!AU26="Y"),"❌ Misc.",IF(AND('📝 Four-tier กรอก'!AR26&lt;&gt;'📝 Four-tier กรอก'!AR6,'📝 Four-tier กรอก'!AS26="N",'📝 Four-tier กรอก'!AT26&lt;&gt;'📝 Four-tier กรอก'!AT6,'📝 Four-tier กรอก'!AU26="N"),"❓ NoK","🤔 Partial")))))</f>
        <v/>
      </c>
      <c r="O24" s="68">
        <f>IF(OR('📝 Four-tier กรอก'!AV26="",'📝 Four-tier กรอก'!AX26=""),"—",IF(AND('📝 Four-tier กรอก'!AV26='📝 Four-tier กรอก'!AV6,'📝 Four-tier กรอก'!AW26="Y",'📝 Four-tier กรอก'!AX26='📝 Four-tier กรอก'!AX6,'📝 Four-tier กรอก'!AY26="Y"),"✅ Sound",IF(AND('📝 Four-tier กรอก'!AV26='📝 Four-tier กรอก'!AV6,'📝 Four-tier กรอก'!AW26="Y",'📝 Four-tier กรอก'!AX26&lt;&gt;'📝 Four-tier กรอก'!AX6,'📝 Four-tier กรอก'!AY26="Y"),"🎲 Guess",IF(AND('📝 Four-tier กรอก'!AV26&lt;&gt;'📝 Four-tier กรอก'!AV6,'📝 Four-tier กรอก'!AW26="Y",'📝 Four-tier กรอก'!AX26&lt;&gt;'📝 Four-tier กรอก'!AX6,'📝 Four-tier กรอก'!AY26="Y"),"❌ Misc.",IF(AND('📝 Four-tier กรอก'!AV26&lt;&gt;'📝 Four-tier กรอก'!AV6,'📝 Four-tier กรอก'!AW26="N",'📝 Four-tier กรอก'!AX26&lt;&gt;'📝 Four-tier กรอก'!AX6,'📝 Four-tier กรอก'!AY26="N"),"❓ NoK","🤔 Partial")))))</f>
        <v/>
      </c>
      <c r="P24" s="68">
        <f>IF(OR('📝 Four-tier กรอก'!AZ26="",'📝 Four-tier กรอก'!BB26=""),"—",IF(AND('📝 Four-tier กรอก'!AZ26='📝 Four-tier กรอก'!AZ6,'📝 Four-tier กรอก'!BA26="Y",'📝 Four-tier กรอก'!BB26='📝 Four-tier กรอก'!BB6,'📝 Four-tier กรอก'!BC26="Y"),"✅ Sound",IF(AND('📝 Four-tier กรอก'!AZ26='📝 Four-tier กรอก'!AZ6,'📝 Four-tier กรอก'!BA26="Y",'📝 Four-tier กรอก'!BB26&lt;&gt;'📝 Four-tier กรอก'!BB6,'📝 Four-tier กรอก'!BC26="Y"),"🎲 Guess",IF(AND('📝 Four-tier กรอก'!AZ26&lt;&gt;'📝 Four-tier กรอก'!AZ6,'📝 Four-tier กรอก'!BA26="Y",'📝 Four-tier กรอก'!BB26&lt;&gt;'📝 Four-tier กรอก'!BB6,'📝 Four-tier กรอก'!BC26="Y"),"❌ Misc.",IF(AND('📝 Four-tier กรอก'!AZ26&lt;&gt;'📝 Four-tier กรอก'!AZ6,'📝 Four-tier กรอก'!BA26="N",'📝 Four-tier กรอก'!BB26&lt;&gt;'📝 Four-tier กรอก'!BB6,'📝 Four-tier กรอก'!BC26="N"),"❓ NoK","🤔 Partial")))))</f>
        <v/>
      </c>
      <c r="Q24" s="68">
        <f>IF(OR('📝 Four-tier กรอก'!BD26="",'📝 Four-tier กรอก'!BF26=""),"—",IF(AND('📝 Four-tier กรอก'!BD26='📝 Four-tier กรอก'!BD6,'📝 Four-tier กรอก'!BE26="Y",'📝 Four-tier กรอก'!BF26='📝 Four-tier กรอก'!BF6,'📝 Four-tier กรอก'!BG26="Y"),"✅ Sound",IF(AND('📝 Four-tier กรอก'!BD26='📝 Four-tier กรอก'!BD6,'📝 Four-tier กรอก'!BE26="Y",'📝 Four-tier กรอก'!BF26&lt;&gt;'📝 Four-tier กรอก'!BF6,'📝 Four-tier กรอก'!BG26="Y"),"🎲 Guess",IF(AND('📝 Four-tier กรอก'!BD26&lt;&gt;'📝 Four-tier กรอก'!BD6,'📝 Four-tier กรอก'!BE26="Y",'📝 Four-tier กรอก'!BF26&lt;&gt;'📝 Four-tier กรอก'!BF6,'📝 Four-tier กรอก'!BG26="Y"),"❌ Misc.",IF(AND('📝 Four-tier กรอก'!BD26&lt;&gt;'📝 Four-tier กรอก'!BD6,'📝 Four-tier กรอก'!BE26="N",'📝 Four-tier กรอก'!BF26&lt;&gt;'📝 Four-tier กรอก'!BF6,'📝 Four-tier กรอก'!BG26="N"),"❓ NoK","🤔 Partial")))))</f>
        <v/>
      </c>
      <c r="R24" s="68">
        <f>IF(OR('📝 Four-tier กรอก'!BH26="",'📝 Four-tier กรอก'!BJ26=""),"—",IF(AND('📝 Four-tier กรอก'!BH26='📝 Four-tier กรอก'!BH6,'📝 Four-tier กรอก'!BI26="Y",'📝 Four-tier กรอก'!BJ26='📝 Four-tier กรอก'!BJ6,'📝 Four-tier กรอก'!BK26="Y"),"✅ Sound",IF(AND('📝 Four-tier กรอก'!BH26='📝 Four-tier กรอก'!BH6,'📝 Four-tier กรอก'!BI26="Y",'📝 Four-tier กรอก'!BJ26&lt;&gt;'📝 Four-tier กรอก'!BJ6,'📝 Four-tier กรอก'!BK26="Y"),"🎲 Guess",IF(AND('📝 Four-tier กรอก'!BH26&lt;&gt;'📝 Four-tier กรอก'!BH6,'📝 Four-tier กรอก'!BI26="Y",'📝 Four-tier กรอก'!BJ26&lt;&gt;'📝 Four-tier กรอก'!BJ6,'📝 Four-tier กรอก'!BK26="Y"),"❌ Misc.",IF(AND('📝 Four-tier กรอก'!BH26&lt;&gt;'📝 Four-tier กรอก'!BH6,'📝 Four-tier กรอก'!BI26="N",'📝 Four-tier กรอก'!BJ26&lt;&gt;'📝 Four-tier กรอก'!BJ6,'📝 Four-tier กรอก'!BK26="N"),"❓ NoK","🤔 Partial")))))</f>
        <v/>
      </c>
      <c r="S24" s="68">
        <f>IF(OR('📝 Four-tier กรอก'!BL26="",'📝 Four-tier กรอก'!BN26=""),"—",IF(AND('📝 Four-tier กรอก'!BL26='📝 Four-tier กรอก'!BL6,'📝 Four-tier กรอก'!BM26="Y",'📝 Four-tier กรอก'!BN26='📝 Four-tier กรอก'!BN6,'📝 Four-tier กรอก'!BO26="Y"),"✅ Sound",IF(AND('📝 Four-tier กรอก'!BL26='📝 Four-tier กรอก'!BL6,'📝 Four-tier กรอก'!BM26="Y",'📝 Four-tier กรอก'!BN26&lt;&gt;'📝 Four-tier กรอก'!BN6,'📝 Four-tier กรอก'!BO26="Y"),"🎲 Guess",IF(AND('📝 Four-tier กรอก'!BL26&lt;&gt;'📝 Four-tier กรอก'!BL6,'📝 Four-tier กรอก'!BM26="Y",'📝 Four-tier กรอก'!BN26&lt;&gt;'📝 Four-tier กรอก'!BN6,'📝 Four-tier กรอก'!BO26="Y"),"❌ Misc.",IF(AND('📝 Four-tier กรอก'!BL26&lt;&gt;'📝 Four-tier กรอก'!BL6,'📝 Four-tier กรอก'!BM26="N",'📝 Four-tier กรอก'!BN26&lt;&gt;'📝 Four-tier กรอก'!BN6,'📝 Four-tier กรอก'!BO26="N"),"❓ NoK","🤔 Partial")))))</f>
        <v/>
      </c>
      <c r="T24" s="68">
        <f>IF(OR('📝 Four-tier กรอก'!BP26="",'📝 Four-tier กรอก'!BR26=""),"—",IF(AND('📝 Four-tier กรอก'!BP26='📝 Four-tier กรอก'!BP6,'📝 Four-tier กรอก'!BQ26="Y",'📝 Four-tier กรอก'!BR26='📝 Four-tier กรอก'!BR6,'📝 Four-tier กรอก'!BS26="Y"),"✅ Sound",IF(AND('📝 Four-tier กรอก'!BP26='📝 Four-tier กรอก'!BP6,'📝 Four-tier กรอก'!BQ26="Y",'📝 Four-tier กรอก'!BR26&lt;&gt;'📝 Four-tier กรอก'!BR6,'📝 Four-tier กรอก'!BS26="Y"),"🎲 Guess",IF(AND('📝 Four-tier กรอก'!BP26&lt;&gt;'📝 Four-tier กรอก'!BP6,'📝 Four-tier กรอก'!BQ26="Y",'📝 Four-tier กรอก'!BR26&lt;&gt;'📝 Four-tier กรอก'!BR6,'📝 Four-tier กรอก'!BS26="Y"),"❌ Misc.",IF(AND('📝 Four-tier กรอก'!BP26&lt;&gt;'📝 Four-tier กรอก'!BP6,'📝 Four-tier กรอก'!BQ26="N",'📝 Four-tier กรอก'!BR26&lt;&gt;'📝 Four-tier กรอก'!BR6,'📝 Four-tier กรอก'!BS26="N"),"❓ NoK","🤔 Partial")))))</f>
        <v/>
      </c>
      <c r="U24" s="68">
        <f>IF(OR('📝 Four-tier กรอก'!BT26="",'📝 Four-tier กรอก'!BV26=""),"—",IF(AND('📝 Four-tier กรอก'!BT26='📝 Four-tier กรอก'!BT6,'📝 Four-tier กรอก'!BU26="Y",'📝 Four-tier กรอก'!BV26='📝 Four-tier กรอก'!BV6,'📝 Four-tier กรอก'!BW26="Y"),"✅ Sound",IF(AND('📝 Four-tier กรอก'!BT26='📝 Four-tier กรอก'!BT6,'📝 Four-tier กรอก'!BU26="Y",'📝 Four-tier กรอก'!BV26&lt;&gt;'📝 Four-tier กรอก'!BV6,'📝 Four-tier กรอก'!BW26="Y"),"🎲 Guess",IF(AND('📝 Four-tier กรอก'!BT26&lt;&gt;'📝 Four-tier กรอก'!BT6,'📝 Four-tier กรอก'!BU26="Y",'📝 Four-tier กรอก'!BV26&lt;&gt;'📝 Four-tier กรอก'!BV6,'📝 Four-tier กรอก'!BW26="Y"),"❌ Misc.",IF(AND('📝 Four-tier กรอก'!BT26&lt;&gt;'📝 Four-tier กรอก'!BT6,'📝 Four-tier กรอก'!BU26="N",'📝 Four-tier กรอก'!BV26&lt;&gt;'📝 Four-tier กรอก'!BV6,'📝 Four-tier กรอก'!BW26="N"),"❓ NoK","🤔 Partial")))))</f>
        <v/>
      </c>
      <c r="V24" s="68">
        <f>IF(OR('📝 Four-tier กรอก'!BX26="",'📝 Four-tier กรอก'!BZ26=""),"—",IF(AND('📝 Four-tier กรอก'!BX26='📝 Four-tier กรอก'!BX6,'📝 Four-tier กรอก'!BY26="Y",'📝 Four-tier กรอก'!BZ26='📝 Four-tier กรอก'!BZ6,'📝 Four-tier กรอก'!CA26="Y"),"✅ Sound",IF(AND('📝 Four-tier กรอก'!BX26='📝 Four-tier กรอก'!BX6,'📝 Four-tier กรอก'!BY26="Y",'📝 Four-tier กรอก'!BZ26&lt;&gt;'📝 Four-tier กรอก'!BZ6,'📝 Four-tier กรอก'!CA26="Y"),"🎲 Guess",IF(AND('📝 Four-tier กรอก'!BX26&lt;&gt;'📝 Four-tier กรอก'!BX6,'📝 Four-tier กรอก'!BY26="Y",'📝 Four-tier กรอก'!BZ26&lt;&gt;'📝 Four-tier กรอก'!BZ6,'📝 Four-tier กรอก'!CA26="Y"),"❌ Misc.",IF(AND('📝 Four-tier กรอก'!BX26&lt;&gt;'📝 Four-tier กรอก'!BX6,'📝 Four-tier กรอก'!BY26="N",'📝 Four-tier กรอก'!BZ26&lt;&gt;'📝 Four-tier กรอก'!BZ6,'📝 Four-tier กรอก'!CA26="N"),"❓ NoK","🤔 Partial")))))</f>
        <v/>
      </c>
      <c r="W24" s="68">
        <f>IF(OR('📝 Four-tier กรอก'!CB26="",'📝 Four-tier กรอก'!CD26=""),"—",IF(AND('📝 Four-tier กรอก'!CB26='📝 Four-tier กรอก'!CB6,'📝 Four-tier กรอก'!CC26="Y",'📝 Four-tier กรอก'!CD26='📝 Four-tier กรอก'!CD6,'📝 Four-tier กรอก'!CE26="Y"),"✅ Sound",IF(AND('📝 Four-tier กรอก'!CB26='📝 Four-tier กรอก'!CB6,'📝 Four-tier กรอก'!CC26="Y",'📝 Four-tier กรอก'!CD26&lt;&gt;'📝 Four-tier กรอก'!CD6,'📝 Four-tier กรอก'!CE26="Y"),"🎲 Guess",IF(AND('📝 Four-tier กรอก'!CB26&lt;&gt;'📝 Four-tier กรอก'!CB6,'📝 Four-tier กรอก'!CC26="Y",'📝 Four-tier กรอก'!CD26&lt;&gt;'📝 Four-tier กรอก'!CD6,'📝 Four-tier กรอก'!CE26="Y"),"❌ Misc.",IF(AND('📝 Four-tier กรอก'!CB26&lt;&gt;'📝 Four-tier กรอก'!CB6,'📝 Four-tier กรอก'!CC26="N",'📝 Four-tier กรอก'!CD26&lt;&gt;'📝 Four-tier กรอก'!CD6,'📝 Four-tier กรอก'!CE26="N"),"❓ NoK","🤔 Partial")))))</f>
        <v/>
      </c>
      <c r="X24" s="37">
        <f>COUNTIF(D24:W24,"✅ Sound")</f>
        <v/>
      </c>
      <c r="Y24" s="37">
        <f>COUNTIF(D24:W24,"❌ Misc.")</f>
        <v/>
      </c>
      <c r="Z24" s="37">
        <f>COUNTIF(D24:W24,"🎲 Guess")</f>
        <v/>
      </c>
      <c r="AA24" s="37">
        <f>COUNTIF(D24:W24,"❓ NoK")</f>
        <v/>
      </c>
    </row>
    <row r="25" ht="18" customHeight="1">
      <c r="B25" s="46">
        <f>'📝 Four-tier กรอก'!B27</f>
        <v/>
      </c>
      <c r="C25" s="47">
        <f>'📝 Four-tier กรอก'!C27</f>
        <v/>
      </c>
      <c r="D25" s="67">
        <f>IF(OR('📝 Four-tier กรอก'!D27="",'📝 Four-tier กรอก'!F27=""),"—",IF(AND('📝 Four-tier กรอก'!D27='📝 Four-tier กรอก'!D6,'📝 Four-tier กรอก'!E27="Y",'📝 Four-tier กรอก'!F27='📝 Four-tier กรอก'!F6,'📝 Four-tier กรอก'!G27="Y"),"✅ Sound",IF(AND('📝 Four-tier กรอก'!D27='📝 Four-tier กรอก'!D6,'📝 Four-tier กรอก'!E27="Y",'📝 Four-tier กรอก'!F27&lt;&gt;'📝 Four-tier กรอก'!F6,'📝 Four-tier กรอก'!G27="Y"),"🎲 Guess",IF(AND('📝 Four-tier กรอก'!D27&lt;&gt;'📝 Four-tier กรอก'!D6,'📝 Four-tier กรอก'!E27="Y",'📝 Four-tier กรอก'!F27&lt;&gt;'📝 Four-tier กรอก'!F6,'📝 Four-tier กรอก'!G27="Y"),"❌ Misc.",IF(AND('📝 Four-tier กรอก'!D27&lt;&gt;'📝 Four-tier กรอก'!D6,'📝 Four-tier กรอก'!E27="N",'📝 Four-tier กรอก'!F27&lt;&gt;'📝 Four-tier กรอก'!F6,'📝 Four-tier กรอก'!G27="N"),"❓ NoK","🤔 Partial")))))</f>
        <v/>
      </c>
      <c r="E25" s="67">
        <f>IF(OR('📝 Four-tier กรอก'!H27="",'📝 Four-tier กรอก'!J27=""),"—",IF(AND('📝 Four-tier กรอก'!H27='📝 Four-tier กรอก'!H6,'📝 Four-tier กรอก'!I27="Y",'📝 Four-tier กรอก'!J27='📝 Four-tier กรอก'!J6,'📝 Four-tier กรอก'!K27="Y"),"✅ Sound",IF(AND('📝 Four-tier กรอก'!H27='📝 Four-tier กรอก'!H6,'📝 Four-tier กรอก'!I27="Y",'📝 Four-tier กรอก'!J27&lt;&gt;'📝 Four-tier กรอก'!J6,'📝 Four-tier กรอก'!K27="Y"),"🎲 Guess",IF(AND('📝 Four-tier กรอก'!H27&lt;&gt;'📝 Four-tier กรอก'!H6,'📝 Four-tier กรอก'!I27="Y",'📝 Four-tier กรอก'!J27&lt;&gt;'📝 Four-tier กรอก'!J6,'📝 Four-tier กรอก'!K27="Y"),"❌ Misc.",IF(AND('📝 Four-tier กรอก'!H27&lt;&gt;'📝 Four-tier กรอก'!H6,'📝 Four-tier กรอก'!I27="N",'📝 Four-tier กรอก'!J27&lt;&gt;'📝 Four-tier กรอก'!J6,'📝 Four-tier กรอก'!K27="N"),"❓ NoK","🤔 Partial")))))</f>
        <v/>
      </c>
      <c r="F25" s="67">
        <f>IF(OR('📝 Four-tier กรอก'!L27="",'📝 Four-tier กรอก'!N27=""),"—",IF(AND('📝 Four-tier กรอก'!L27='📝 Four-tier กรอก'!L6,'📝 Four-tier กรอก'!M27="Y",'📝 Four-tier กรอก'!N27='📝 Four-tier กรอก'!N6,'📝 Four-tier กรอก'!O27="Y"),"✅ Sound",IF(AND('📝 Four-tier กรอก'!L27='📝 Four-tier กรอก'!L6,'📝 Four-tier กรอก'!M27="Y",'📝 Four-tier กรอก'!N27&lt;&gt;'📝 Four-tier กรอก'!N6,'📝 Four-tier กรอก'!O27="Y"),"🎲 Guess",IF(AND('📝 Four-tier กรอก'!L27&lt;&gt;'📝 Four-tier กรอก'!L6,'📝 Four-tier กรอก'!M27="Y",'📝 Four-tier กรอก'!N27&lt;&gt;'📝 Four-tier กรอก'!N6,'📝 Four-tier กรอก'!O27="Y"),"❌ Misc.",IF(AND('📝 Four-tier กรอก'!L27&lt;&gt;'📝 Four-tier กรอก'!L6,'📝 Four-tier กรอก'!M27="N",'📝 Four-tier กรอก'!N27&lt;&gt;'📝 Four-tier กรอก'!N6,'📝 Four-tier กรอก'!O27="N"),"❓ NoK","🤔 Partial")))))</f>
        <v/>
      </c>
      <c r="G25" s="67">
        <f>IF(OR('📝 Four-tier กรอก'!P27="",'📝 Four-tier กรอก'!R27=""),"—",IF(AND('📝 Four-tier กรอก'!P27='📝 Four-tier กรอก'!P6,'📝 Four-tier กรอก'!Q27="Y",'📝 Four-tier กรอก'!R27='📝 Four-tier กรอก'!R6,'📝 Four-tier กรอก'!S27="Y"),"✅ Sound",IF(AND('📝 Four-tier กรอก'!P27='📝 Four-tier กรอก'!P6,'📝 Four-tier กรอก'!Q27="Y",'📝 Four-tier กรอก'!R27&lt;&gt;'📝 Four-tier กรอก'!R6,'📝 Four-tier กรอก'!S27="Y"),"🎲 Guess",IF(AND('📝 Four-tier กรอก'!P27&lt;&gt;'📝 Four-tier กรอก'!P6,'📝 Four-tier กรอก'!Q27="Y",'📝 Four-tier กรอก'!R27&lt;&gt;'📝 Four-tier กรอก'!R6,'📝 Four-tier กรอก'!S27="Y"),"❌ Misc.",IF(AND('📝 Four-tier กรอก'!P27&lt;&gt;'📝 Four-tier กรอก'!P6,'📝 Four-tier กรอก'!Q27="N",'📝 Four-tier กรอก'!R27&lt;&gt;'📝 Four-tier กรอก'!R6,'📝 Four-tier กรอก'!S27="N"),"❓ NoK","🤔 Partial")))))</f>
        <v/>
      </c>
      <c r="H25" s="67">
        <f>IF(OR('📝 Four-tier กรอก'!T27="",'📝 Four-tier กรอก'!V27=""),"—",IF(AND('📝 Four-tier กรอก'!T27='📝 Four-tier กรอก'!T6,'📝 Four-tier กรอก'!U27="Y",'📝 Four-tier กรอก'!V27='📝 Four-tier กรอก'!V6,'📝 Four-tier กรอก'!W27="Y"),"✅ Sound",IF(AND('📝 Four-tier กรอก'!T27='📝 Four-tier กรอก'!T6,'📝 Four-tier กรอก'!U27="Y",'📝 Four-tier กรอก'!V27&lt;&gt;'📝 Four-tier กรอก'!V6,'📝 Four-tier กรอก'!W27="Y"),"🎲 Guess",IF(AND('📝 Four-tier กรอก'!T27&lt;&gt;'📝 Four-tier กรอก'!T6,'📝 Four-tier กรอก'!U27="Y",'📝 Four-tier กรอก'!V27&lt;&gt;'📝 Four-tier กรอก'!V6,'📝 Four-tier กรอก'!W27="Y"),"❌ Misc.",IF(AND('📝 Four-tier กรอก'!T27&lt;&gt;'📝 Four-tier กรอก'!T6,'📝 Four-tier กรอก'!U27="N",'📝 Four-tier กรอก'!V27&lt;&gt;'📝 Four-tier กรอก'!V6,'📝 Four-tier กรอก'!W27="N"),"❓ NoK","🤔 Partial")))))</f>
        <v/>
      </c>
      <c r="I25" s="67">
        <f>IF(OR('📝 Four-tier กรอก'!X27="",'📝 Four-tier กรอก'!Z27=""),"—",IF(AND('📝 Four-tier กรอก'!X27='📝 Four-tier กรอก'!X6,'📝 Four-tier กรอก'!Y27="Y",'📝 Four-tier กรอก'!Z27='📝 Four-tier กรอก'!Z6,'📝 Four-tier กรอก'!AA27="Y"),"✅ Sound",IF(AND('📝 Four-tier กรอก'!X27='📝 Four-tier กรอก'!X6,'📝 Four-tier กรอก'!Y27="Y",'📝 Four-tier กรอก'!Z27&lt;&gt;'📝 Four-tier กรอก'!Z6,'📝 Four-tier กรอก'!AA27="Y"),"🎲 Guess",IF(AND('📝 Four-tier กรอก'!X27&lt;&gt;'📝 Four-tier กรอก'!X6,'📝 Four-tier กรอก'!Y27="Y",'📝 Four-tier กรอก'!Z27&lt;&gt;'📝 Four-tier กรอก'!Z6,'📝 Four-tier กรอก'!AA27="Y"),"❌ Misc.",IF(AND('📝 Four-tier กรอก'!X27&lt;&gt;'📝 Four-tier กรอก'!X6,'📝 Four-tier กรอก'!Y27="N",'📝 Four-tier กรอก'!Z27&lt;&gt;'📝 Four-tier กรอก'!Z6,'📝 Four-tier กรอก'!AA27="N"),"❓ NoK","🤔 Partial")))))</f>
        <v/>
      </c>
      <c r="J25" s="67">
        <f>IF(OR('📝 Four-tier กรอก'!AB27="",'📝 Four-tier กรอก'!AD27=""),"—",IF(AND('📝 Four-tier กรอก'!AB27='📝 Four-tier กรอก'!AB6,'📝 Four-tier กรอก'!AC27="Y",'📝 Four-tier กรอก'!AD27='📝 Four-tier กรอก'!AD6,'📝 Four-tier กรอก'!AE27="Y"),"✅ Sound",IF(AND('📝 Four-tier กรอก'!AB27='📝 Four-tier กรอก'!AB6,'📝 Four-tier กรอก'!AC27="Y",'📝 Four-tier กรอก'!AD27&lt;&gt;'📝 Four-tier กรอก'!AD6,'📝 Four-tier กรอก'!AE27="Y"),"🎲 Guess",IF(AND('📝 Four-tier กรอก'!AB27&lt;&gt;'📝 Four-tier กรอก'!AB6,'📝 Four-tier กรอก'!AC27="Y",'📝 Four-tier กรอก'!AD27&lt;&gt;'📝 Four-tier กรอก'!AD6,'📝 Four-tier กรอก'!AE27="Y"),"❌ Misc.",IF(AND('📝 Four-tier กรอก'!AB27&lt;&gt;'📝 Four-tier กรอก'!AB6,'📝 Four-tier กรอก'!AC27="N",'📝 Four-tier กรอก'!AD27&lt;&gt;'📝 Four-tier กรอก'!AD6,'📝 Four-tier กรอก'!AE27="N"),"❓ NoK","🤔 Partial")))))</f>
        <v/>
      </c>
      <c r="K25" s="67">
        <f>IF(OR('📝 Four-tier กรอก'!AF27="",'📝 Four-tier กรอก'!AH27=""),"—",IF(AND('📝 Four-tier กรอก'!AF27='📝 Four-tier กรอก'!AF6,'📝 Four-tier กรอก'!AG27="Y",'📝 Four-tier กรอก'!AH27='📝 Four-tier กรอก'!AH6,'📝 Four-tier กรอก'!AI27="Y"),"✅ Sound",IF(AND('📝 Four-tier กรอก'!AF27='📝 Four-tier กรอก'!AF6,'📝 Four-tier กรอก'!AG27="Y",'📝 Four-tier กรอก'!AH27&lt;&gt;'📝 Four-tier กรอก'!AH6,'📝 Four-tier กรอก'!AI27="Y"),"🎲 Guess",IF(AND('📝 Four-tier กรอก'!AF27&lt;&gt;'📝 Four-tier กรอก'!AF6,'📝 Four-tier กรอก'!AG27="Y",'📝 Four-tier กรอก'!AH27&lt;&gt;'📝 Four-tier กรอก'!AH6,'📝 Four-tier กรอก'!AI27="Y"),"❌ Misc.",IF(AND('📝 Four-tier กรอก'!AF27&lt;&gt;'📝 Four-tier กรอก'!AF6,'📝 Four-tier กรอก'!AG27="N",'📝 Four-tier กรอก'!AH27&lt;&gt;'📝 Four-tier กรอก'!AH6,'📝 Four-tier กรอก'!AI27="N"),"❓ NoK","🤔 Partial")))))</f>
        <v/>
      </c>
      <c r="L25" s="67">
        <f>IF(OR('📝 Four-tier กรอก'!AJ27="",'📝 Four-tier กรอก'!AL27=""),"—",IF(AND('📝 Four-tier กรอก'!AJ27='📝 Four-tier กรอก'!AJ6,'📝 Four-tier กรอก'!AK27="Y",'📝 Four-tier กรอก'!AL27='📝 Four-tier กรอก'!AL6,'📝 Four-tier กรอก'!AM27="Y"),"✅ Sound",IF(AND('📝 Four-tier กรอก'!AJ27='📝 Four-tier กรอก'!AJ6,'📝 Four-tier กรอก'!AK27="Y",'📝 Four-tier กรอก'!AL27&lt;&gt;'📝 Four-tier กรอก'!AL6,'📝 Four-tier กรอก'!AM27="Y"),"🎲 Guess",IF(AND('📝 Four-tier กรอก'!AJ27&lt;&gt;'📝 Four-tier กรอก'!AJ6,'📝 Four-tier กรอก'!AK27="Y",'📝 Four-tier กรอก'!AL27&lt;&gt;'📝 Four-tier กรอก'!AL6,'📝 Four-tier กรอก'!AM27="Y"),"❌ Misc.",IF(AND('📝 Four-tier กรอก'!AJ27&lt;&gt;'📝 Four-tier กรอก'!AJ6,'📝 Four-tier กรอก'!AK27="N",'📝 Four-tier กรอก'!AL27&lt;&gt;'📝 Four-tier กรอก'!AL6,'📝 Four-tier กรอก'!AM27="N"),"❓ NoK","🤔 Partial")))))</f>
        <v/>
      </c>
      <c r="M25" s="67">
        <f>IF(OR('📝 Four-tier กรอก'!AN27="",'📝 Four-tier กรอก'!AP27=""),"—",IF(AND('📝 Four-tier กรอก'!AN27='📝 Four-tier กรอก'!AN6,'📝 Four-tier กรอก'!AO27="Y",'📝 Four-tier กรอก'!AP27='📝 Four-tier กรอก'!AP6,'📝 Four-tier กรอก'!AQ27="Y"),"✅ Sound",IF(AND('📝 Four-tier กรอก'!AN27='📝 Four-tier กรอก'!AN6,'📝 Four-tier กรอก'!AO27="Y",'📝 Four-tier กรอก'!AP27&lt;&gt;'📝 Four-tier กรอก'!AP6,'📝 Four-tier กรอก'!AQ27="Y"),"🎲 Guess",IF(AND('📝 Four-tier กรอก'!AN27&lt;&gt;'📝 Four-tier กรอก'!AN6,'📝 Four-tier กรอก'!AO27="Y",'📝 Four-tier กรอก'!AP27&lt;&gt;'📝 Four-tier กรอก'!AP6,'📝 Four-tier กรอก'!AQ27="Y"),"❌ Misc.",IF(AND('📝 Four-tier กรอก'!AN27&lt;&gt;'📝 Four-tier กรอก'!AN6,'📝 Four-tier กรอก'!AO27="N",'📝 Four-tier กรอก'!AP27&lt;&gt;'📝 Four-tier กรอก'!AP6,'📝 Four-tier กรอก'!AQ27="N"),"❓ NoK","🤔 Partial")))))</f>
        <v/>
      </c>
      <c r="N25" s="67">
        <f>IF(OR('📝 Four-tier กรอก'!AR27="",'📝 Four-tier กรอก'!AT27=""),"—",IF(AND('📝 Four-tier กรอก'!AR27='📝 Four-tier กรอก'!AR6,'📝 Four-tier กรอก'!AS27="Y",'📝 Four-tier กรอก'!AT27='📝 Four-tier กรอก'!AT6,'📝 Four-tier กรอก'!AU27="Y"),"✅ Sound",IF(AND('📝 Four-tier กรอก'!AR27='📝 Four-tier กรอก'!AR6,'📝 Four-tier กรอก'!AS27="Y",'📝 Four-tier กรอก'!AT27&lt;&gt;'📝 Four-tier กรอก'!AT6,'📝 Four-tier กรอก'!AU27="Y"),"🎲 Guess",IF(AND('📝 Four-tier กรอก'!AR27&lt;&gt;'📝 Four-tier กรอก'!AR6,'📝 Four-tier กรอก'!AS27="Y",'📝 Four-tier กรอก'!AT27&lt;&gt;'📝 Four-tier กรอก'!AT6,'📝 Four-tier กรอก'!AU27="Y"),"❌ Misc.",IF(AND('📝 Four-tier กรอก'!AR27&lt;&gt;'📝 Four-tier กรอก'!AR6,'📝 Four-tier กรอก'!AS27="N",'📝 Four-tier กรอก'!AT27&lt;&gt;'📝 Four-tier กรอก'!AT6,'📝 Four-tier กรอก'!AU27="N"),"❓ NoK","🤔 Partial")))))</f>
        <v/>
      </c>
      <c r="O25" s="67">
        <f>IF(OR('📝 Four-tier กรอก'!AV27="",'📝 Four-tier กรอก'!AX27=""),"—",IF(AND('📝 Four-tier กรอก'!AV27='📝 Four-tier กรอก'!AV6,'📝 Four-tier กรอก'!AW27="Y",'📝 Four-tier กรอก'!AX27='📝 Four-tier กรอก'!AX6,'📝 Four-tier กรอก'!AY27="Y"),"✅ Sound",IF(AND('📝 Four-tier กรอก'!AV27='📝 Four-tier กรอก'!AV6,'📝 Four-tier กรอก'!AW27="Y",'📝 Four-tier กรอก'!AX27&lt;&gt;'📝 Four-tier กรอก'!AX6,'📝 Four-tier กรอก'!AY27="Y"),"🎲 Guess",IF(AND('📝 Four-tier กรอก'!AV27&lt;&gt;'📝 Four-tier กรอก'!AV6,'📝 Four-tier กรอก'!AW27="Y",'📝 Four-tier กรอก'!AX27&lt;&gt;'📝 Four-tier กรอก'!AX6,'📝 Four-tier กรอก'!AY27="Y"),"❌ Misc.",IF(AND('📝 Four-tier กรอก'!AV27&lt;&gt;'📝 Four-tier กรอก'!AV6,'📝 Four-tier กรอก'!AW27="N",'📝 Four-tier กรอก'!AX27&lt;&gt;'📝 Four-tier กรอก'!AX6,'📝 Four-tier กรอก'!AY27="N"),"❓ NoK","🤔 Partial")))))</f>
        <v/>
      </c>
      <c r="P25" s="67">
        <f>IF(OR('📝 Four-tier กรอก'!AZ27="",'📝 Four-tier กรอก'!BB27=""),"—",IF(AND('📝 Four-tier กรอก'!AZ27='📝 Four-tier กรอก'!AZ6,'📝 Four-tier กรอก'!BA27="Y",'📝 Four-tier กรอก'!BB27='📝 Four-tier กรอก'!BB6,'📝 Four-tier กรอก'!BC27="Y"),"✅ Sound",IF(AND('📝 Four-tier กรอก'!AZ27='📝 Four-tier กรอก'!AZ6,'📝 Four-tier กรอก'!BA27="Y",'📝 Four-tier กรอก'!BB27&lt;&gt;'📝 Four-tier กรอก'!BB6,'📝 Four-tier กรอก'!BC27="Y"),"🎲 Guess",IF(AND('📝 Four-tier กรอก'!AZ27&lt;&gt;'📝 Four-tier กรอก'!AZ6,'📝 Four-tier กรอก'!BA27="Y",'📝 Four-tier กรอก'!BB27&lt;&gt;'📝 Four-tier กรอก'!BB6,'📝 Four-tier กรอก'!BC27="Y"),"❌ Misc.",IF(AND('📝 Four-tier กรอก'!AZ27&lt;&gt;'📝 Four-tier กรอก'!AZ6,'📝 Four-tier กรอก'!BA27="N",'📝 Four-tier กรอก'!BB27&lt;&gt;'📝 Four-tier กรอก'!BB6,'📝 Four-tier กรอก'!BC27="N"),"❓ NoK","🤔 Partial")))))</f>
        <v/>
      </c>
      <c r="Q25" s="67">
        <f>IF(OR('📝 Four-tier กรอก'!BD27="",'📝 Four-tier กรอก'!BF27=""),"—",IF(AND('📝 Four-tier กรอก'!BD27='📝 Four-tier กรอก'!BD6,'📝 Four-tier กรอก'!BE27="Y",'📝 Four-tier กรอก'!BF27='📝 Four-tier กรอก'!BF6,'📝 Four-tier กรอก'!BG27="Y"),"✅ Sound",IF(AND('📝 Four-tier กรอก'!BD27='📝 Four-tier กรอก'!BD6,'📝 Four-tier กรอก'!BE27="Y",'📝 Four-tier กรอก'!BF27&lt;&gt;'📝 Four-tier กรอก'!BF6,'📝 Four-tier กรอก'!BG27="Y"),"🎲 Guess",IF(AND('📝 Four-tier กรอก'!BD27&lt;&gt;'📝 Four-tier กรอก'!BD6,'📝 Four-tier กรอก'!BE27="Y",'📝 Four-tier กรอก'!BF27&lt;&gt;'📝 Four-tier กรอก'!BF6,'📝 Four-tier กรอก'!BG27="Y"),"❌ Misc.",IF(AND('📝 Four-tier กรอก'!BD27&lt;&gt;'📝 Four-tier กรอก'!BD6,'📝 Four-tier กรอก'!BE27="N",'📝 Four-tier กรอก'!BF27&lt;&gt;'📝 Four-tier กรอก'!BF6,'📝 Four-tier กรอก'!BG27="N"),"❓ NoK","🤔 Partial")))))</f>
        <v/>
      </c>
      <c r="R25" s="67">
        <f>IF(OR('📝 Four-tier กรอก'!BH27="",'📝 Four-tier กรอก'!BJ27=""),"—",IF(AND('📝 Four-tier กรอก'!BH27='📝 Four-tier กรอก'!BH6,'📝 Four-tier กรอก'!BI27="Y",'📝 Four-tier กรอก'!BJ27='📝 Four-tier กรอก'!BJ6,'📝 Four-tier กรอก'!BK27="Y"),"✅ Sound",IF(AND('📝 Four-tier กรอก'!BH27='📝 Four-tier กรอก'!BH6,'📝 Four-tier กรอก'!BI27="Y",'📝 Four-tier กรอก'!BJ27&lt;&gt;'📝 Four-tier กรอก'!BJ6,'📝 Four-tier กรอก'!BK27="Y"),"🎲 Guess",IF(AND('📝 Four-tier กรอก'!BH27&lt;&gt;'📝 Four-tier กรอก'!BH6,'📝 Four-tier กรอก'!BI27="Y",'📝 Four-tier กรอก'!BJ27&lt;&gt;'📝 Four-tier กรอก'!BJ6,'📝 Four-tier กรอก'!BK27="Y"),"❌ Misc.",IF(AND('📝 Four-tier กรอก'!BH27&lt;&gt;'📝 Four-tier กรอก'!BH6,'📝 Four-tier กรอก'!BI27="N",'📝 Four-tier กรอก'!BJ27&lt;&gt;'📝 Four-tier กรอก'!BJ6,'📝 Four-tier กรอก'!BK27="N"),"❓ NoK","🤔 Partial")))))</f>
        <v/>
      </c>
      <c r="S25" s="67">
        <f>IF(OR('📝 Four-tier กรอก'!BL27="",'📝 Four-tier กรอก'!BN27=""),"—",IF(AND('📝 Four-tier กรอก'!BL27='📝 Four-tier กรอก'!BL6,'📝 Four-tier กรอก'!BM27="Y",'📝 Four-tier กรอก'!BN27='📝 Four-tier กรอก'!BN6,'📝 Four-tier กรอก'!BO27="Y"),"✅ Sound",IF(AND('📝 Four-tier กรอก'!BL27='📝 Four-tier กรอก'!BL6,'📝 Four-tier กรอก'!BM27="Y",'📝 Four-tier กรอก'!BN27&lt;&gt;'📝 Four-tier กรอก'!BN6,'📝 Four-tier กรอก'!BO27="Y"),"🎲 Guess",IF(AND('📝 Four-tier กรอก'!BL27&lt;&gt;'📝 Four-tier กรอก'!BL6,'📝 Four-tier กรอก'!BM27="Y",'📝 Four-tier กรอก'!BN27&lt;&gt;'📝 Four-tier กรอก'!BN6,'📝 Four-tier กรอก'!BO27="Y"),"❌ Misc.",IF(AND('📝 Four-tier กรอก'!BL27&lt;&gt;'📝 Four-tier กรอก'!BL6,'📝 Four-tier กรอก'!BM27="N",'📝 Four-tier กรอก'!BN27&lt;&gt;'📝 Four-tier กรอก'!BN6,'📝 Four-tier กรอก'!BO27="N"),"❓ NoK","🤔 Partial")))))</f>
        <v/>
      </c>
      <c r="T25" s="67">
        <f>IF(OR('📝 Four-tier กรอก'!BP27="",'📝 Four-tier กรอก'!BR27=""),"—",IF(AND('📝 Four-tier กรอก'!BP27='📝 Four-tier กรอก'!BP6,'📝 Four-tier กรอก'!BQ27="Y",'📝 Four-tier กรอก'!BR27='📝 Four-tier กรอก'!BR6,'📝 Four-tier กรอก'!BS27="Y"),"✅ Sound",IF(AND('📝 Four-tier กรอก'!BP27='📝 Four-tier กรอก'!BP6,'📝 Four-tier กรอก'!BQ27="Y",'📝 Four-tier กรอก'!BR27&lt;&gt;'📝 Four-tier กรอก'!BR6,'📝 Four-tier กรอก'!BS27="Y"),"🎲 Guess",IF(AND('📝 Four-tier กรอก'!BP27&lt;&gt;'📝 Four-tier กรอก'!BP6,'📝 Four-tier กรอก'!BQ27="Y",'📝 Four-tier กรอก'!BR27&lt;&gt;'📝 Four-tier กรอก'!BR6,'📝 Four-tier กรอก'!BS27="Y"),"❌ Misc.",IF(AND('📝 Four-tier กรอก'!BP27&lt;&gt;'📝 Four-tier กรอก'!BP6,'📝 Four-tier กรอก'!BQ27="N",'📝 Four-tier กรอก'!BR27&lt;&gt;'📝 Four-tier กรอก'!BR6,'📝 Four-tier กรอก'!BS27="N"),"❓ NoK","🤔 Partial")))))</f>
        <v/>
      </c>
      <c r="U25" s="67">
        <f>IF(OR('📝 Four-tier กรอก'!BT27="",'📝 Four-tier กรอก'!BV27=""),"—",IF(AND('📝 Four-tier กรอก'!BT27='📝 Four-tier กรอก'!BT6,'📝 Four-tier กรอก'!BU27="Y",'📝 Four-tier กรอก'!BV27='📝 Four-tier กรอก'!BV6,'📝 Four-tier กรอก'!BW27="Y"),"✅ Sound",IF(AND('📝 Four-tier กรอก'!BT27='📝 Four-tier กรอก'!BT6,'📝 Four-tier กรอก'!BU27="Y",'📝 Four-tier กรอก'!BV27&lt;&gt;'📝 Four-tier กรอก'!BV6,'📝 Four-tier กรอก'!BW27="Y"),"🎲 Guess",IF(AND('📝 Four-tier กรอก'!BT27&lt;&gt;'📝 Four-tier กรอก'!BT6,'📝 Four-tier กรอก'!BU27="Y",'📝 Four-tier กรอก'!BV27&lt;&gt;'📝 Four-tier กรอก'!BV6,'📝 Four-tier กรอก'!BW27="Y"),"❌ Misc.",IF(AND('📝 Four-tier กรอก'!BT27&lt;&gt;'📝 Four-tier กรอก'!BT6,'📝 Four-tier กรอก'!BU27="N",'📝 Four-tier กรอก'!BV27&lt;&gt;'📝 Four-tier กรอก'!BV6,'📝 Four-tier กรอก'!BW27="N"),"❓ NoK","🤔 Partial")))))</f>
        <v/>
      </c>
      <c r="V25" s="67">
        <f>IF(OR('📝 Four-tier กรอก'!BX27="",'📝 Four-tier กรอก'!BZ27=""),"—",IF(AND('📝 Four-tier กรอก'!BX27='📝 Four-tier กรอก'!BX6,'📝 Four-tier กรอก'!BY27="Y",'📝 Four-tier กรอก'!BZ27='📝 Four-tier กรอก'!BZ6,'📝 Four-tier กรอก'!CA27="Y"),"✅ Sound",IF(AND('📝 Four-tier กรอก'!BX27='📝 Four-tier กรอก'!BX6,'📝 Four-tier กรอก'!BY27="Y",'📝 Four-tier กรอก'!BZ27&lt;&gt;'📝 Four-tier กรอก'!BZ6,'📝 Four-tier กรอก'!CA27="Y"),"🎲 Guess",IF(AND('📝 Four-tier กรอก'!BX27&lt;&gt;'📝 Four-tier กรอก'!BX6,'📝 Four-tier กรอก'!BY27="Y",'📝 Four-tier กรอก'!BZ27&lt;&gt;'📝 Four-tier กรอก'!BZ6,'📝 Four-tier กรอก'!CA27="Y"),"❌ Misc.",IF(AND('📝 Four-tier กรอก'!BX27&lt;&gt;'📝 Four-tier กรอก'!BX6,'📝 Four-tier กรอก'!BY27="N",'📝 Four-tier กรอก'!BZ27&lt;&gt;'📝 Four-tier กรอก'!BZ6,'📝 Four-tier กรอก'!CA27="N"),"❓ NoK","🤔 Partial")))))</f>
        <v/>
      </c>
      <c r="W25" s="67">
        <f>IF(OR('📝 Four-tier กรอก'!CB27="",'📝 Four-tier กรอก'!CD27=""),"—",IF(AND('📝 Four-tier กรอก'!CB27='📝 Four-tier กรอก'!CB6,'📝 Four-tier กรอก'!CC27="Y",'📝 Four-tier กรอก'!CD27='📝 Four-tier กรอก'!CD6,'📝 Four-tier กรอก'!CE27="Y"),"✅ Sound",IF(AND('📝 Four-tier กรอก'!CB27='📝 Four-tier กรอก'!CB6,'📝 Four-tier กรอก'!CC27="Y",'📝 Four-tier กรอก'!CD27&lt;&gt;'📝 Four-tier กรอก'!CD6,'📝 Four-tier กรอก'!CE27="Y"),"🎲 Guess",IF(AND('📝 Four-tier กรอก'!CB27&lt;&gt;'📝 Four-tier กรอก'!CB6,'📝 Four-tier กรอก'!CC27="Y",'📝 Four-tier กรอก'!CD27&lt;&gt;'📝 Four-tier กรอก'!CD6,'📝 Four-tier กรอก'!CE27="Y"),"❌ Misc.",IF(AND('📝 Four-tier กรอก'!CB27&lt;&gt;'📝 Four-tier กรอก'!CB6,'📝 Four-tier กรอก'!CC27="N",'📝 Four-tier กรอก'!CD27&lt;&gt;'📝 Four-tier กรอก'!CD6,'📝 Four-tier กรอก'!CE27="N"),"❓ NoK","🤔 Partial")))))</f>
        <v/>
      </c>
      <c r="X25" s="37">
        <f>COUNTIF(D25:W25,"✅ Sound")</f>
        <v/>
      </c>
      <c r="Y25" s="37">
        <f>COUNTIF(D25:W25,"❌ Misc.")</f>
        <v/>
      </c>
      <c r="Z25" s="37">
        <f>COUNTIF(D25:W25,"🎲 Guess")</f>
        <v/>
      </c>
      <c r="AA25" s="37">
        <f>COUNTIF(D25:W25,"❓ NoK")</f>
        <v/>
      </c>
    </row>
    <row r="26" ht="18" customHeight="1">
      <c r="B26" s="46">
        <f>'📝 Four-tier กรอก'!B28</f>
        <v/>
      </c>
      <c r="C26" s="51">
        <f>'📝 Four-tier กรอก'!C28</f>
        <v/>
      </c>
      <c r="D26" s="68">
        <f>IF(OR('📝 Four-tier กรอก'!D28="",'📝 Four-tier กรอก'!F28=""),"—",IF(AND('📝 Four-tier กรอก'!D28='📝 Four-tier กรอก'!D6,'📝 Four-tier กรอก'!E28="Y",'📝 Four-tier กรอก'!F28='📝 Four-tier กรอก'!F6,'📝 Four-tier กรอก'!G28="Y"),"✅ Sound",IF(AND('📝 Four-tier กรอก'!D28='📝 Four-tier กรอก'!D6,'📝 Four-tier กรอก'!E28="Y",'📝 Four-tier กรอก'!F28&lt;&gt;'📝 Four-tier กรอก'!F6,'📝 Four-tier กรอก'!G28="Y"),"🎲 Guess",IF(AND('📝 Four-tier กรอก'!D28&lt;&gt;'📝 Four-tier กรอก'!D6,'📝 Four-tier กรอก'!E28="Y",'📝 Four-tier กรอก'!F28&lt;&gt;'📝 Four-tier กรอก'!F6,'📝 Four-tier กรอก'!G28="Y"),"❌ Misc.",IF(AND('📝 Four-tier กรอก'!D28&lt;&gt;'📝 Four-tier กรอก'!D6,'📝 Four-tier กรอก'!E28="N",'📝 Four-tier กรอก'!F28&lt;&gt;'📝 Four-tier กรอก'!F6,'📝 Four-tier กรอก'!G28="N"),"❓ NoK","🤔 Partial")))))</f>
        <v/>
      </c>
      <c r="E26" s="68">
        <f>IF(OR('📝 Four-tier กรอก'!H28="",'📝 Four-tier กรอก'!J28=""),"—",IF(AND('📝 Four-tier กรอก'!H28='📝 Four-tier กรอก'!H6,'📝 Four-tier กรอก'!I28="Y",'📝 Four-tier กรอก'!J28='📝 Four-tier กรอก'!J6,'📝 Four-tier กรอก'!K28="Y"),"✅ Sound",IF(AND('📝 Four-tier กรอก'!H28='📝 Four-tier กรอก'!H6,'📝 Four-tier กรอก'!I28="Y",'📝 Four-tier กรอก'!J28&lt;&gt;'📝 Four-tier กรอก'!J6,'📝 Four-tier กรอก'!K28="Y"),"🎲 Guess",IF(AND('📝 Four-tier กรอก'!H28&lt;&gt;'📝 Four-tier กรอก'!H6,'📝 Four-tier กรอก'!I28="Y",'📝 Four-tier กรอก'!J28&lt;&gt;'📝 Four-tier กรอก'!J6,'📝 Four-tier กรอก'!K28="Y"),"❌ Misc.",IF(AND('📝 Four-tier กรอก'!H28&lt;&gt;'📝 Four-tier กรอก'!H6,'📝 Four-tier กรอก'!I28="N",'📝 Four-tier กรอก'!J28&lt;&gt;'📝 Four-tier กรอก'!J6,'📝 Four-tier กรอก'!K28="N"),"❓ NoK","🤔 Partial")))))</f>
        <v/>
      </c>
      <c r="F26" s="68">
        <f>IF(OR('📝 Four-tier กรอก'!L28="",'📝 Four-tier กรอก'!N28=""),"—",IF(AND('📝 Four-tier กรอก'!L28='📝 Four-tier กรอก'!L6,'📝 Four-tier กรอก'!M28="Y",'📝 Four-tier กรอก'!N28='📝 Four-tier กรอก'!N6,'📝 Four-tier กรอก'!O28="Y"),"✅ Sound",IF(AND('📝 Four-tier กรอก'!L28='📝 Four-tier กรอก'!L6,'📝 Four-tier กรอก'!M28="Y",'📝 Four-tier กรอก'!N28&lt;&gt;'📝 Four-tier กรอก'!N6,'📝 Four-tier กรอก'!O28="Y"),"🎲 Guess",IF(AND('📝 Four-tier กรอก'!L28&lt;&gt;'📝 Four-tier กรอก'!L6,'📝 Four-tier กรอก'!M28="Y",'📝 Four-tier กรอก'!N28&lt;&gt;'📝 Four-tier กรอก'!N6,'📝 Four-tier กรอก'!O28="Y"),"❌ Misc.",IF(AND('📝 Four-tier กรอก'!L28&lt;&gt;'📝 Four-tier กรอก'!L6,'📝 Four-tier กรอก'!M28="N",'📝 Four-tier กรอก'!N28&lt;&gt;'📝 Four-tier กรอก'!N6,'📝 Four-tier กรอก'!O28="N"),"❓ NoK","🤔 Partial")))))</f>
        <v/>
      </c>
      <c r="G26" s="68">
        <f>IF(OR('📝 Four-tier กรอก'!P28="",'📝 Four-tier กรอก'!R28=""),"—",IF(AND('📝 Four-tier กรอก'!P28='📝 Four-tier กรอก'!P6,'📝 Four-tier กรอก'!Q28="Y",'📝 Four-tier กรอก'!R28='📝 Four-tier กรอก'!R6,'📝 Four-tier กรอก'!S28="Y"),"✅ Sound",IF(AND('📝 Four-tier กรอก'!P28='📝 Four-tier กรอก'!P6,'📝 Four-tier กรอก'!Q28="Y",'📝 Four-tier กรอก'!R28&lt;&gt;'📝 Four-tier กรอก'!R6,'📝 Four-tier กรอก'!S28="Y"),"🎲 Guess",IF(AND('📝 Four-tier กรอก'!P28&lt;&gt;'📝 Four-tier กรอก'!P6,'📝 Four-tier กรอก'!Q28="Y",'📝 Four-tier กรอก'!R28&lt;&gt;'📝 Four-tier กรอก'!R6,'📝 Four-tier กรอก'!S28="Y"),"❌ Misc.",IF(AND('📝 Four-tier กรอก'!P28&lt;&gt;'📝 Four-tier กรอก'!P6,'📝 Four-tier กรอก'!Q28="N",'📝 Four-tier กรอก'!R28&lt;&gt;'📝 Four-tier กรอก'!R6,'📝 Four-tier กรอก'!S28="N"),"❓ NoK","🤔 Partial")))))</f>
        <v/>
      </c>
      <c r="H26" s="68">
        <f>IF(OR('📝 Four-tier กรอก'!T28="",'📝 Four-tier กรอก'!V28=""),"—",IF(AND('📝 Four-tier กรอก'!T28='📝 Four-tier กรอก'!T6,'📝 Four-tier กรอก'!U28="Y",'📝 Four-tier กรอก'!V28='📝 Four-tier กรอก'!V6,'📝 Four-tier กรอก'!W28="Y"),"✅ Sound",IF(AND('📝 Four-tier กรอก'!T28='📝 Four-tier กรอก'!T6,'📝 Four-tier กรอก'!U28="Y",'📝 Four-tier กรอก'!V28&lt;&gt;'📝 Four-tier กรอก'!V6,'📝 Four-tier กรอก'!W28="Y"),"🎲 Guess",IF(AND('📝 Four-tier กรอก'!T28&lt;&gt;'📝 Four-tier กรอก'!T6,'📝 Four-tier กรอก'!U28="Y",'📝 Four-tier กรอก'!V28&lt;&gt;'📝 Four-tier กรอก'!V6,'📝 Four-tier กรอก'!W28="Y"),"❌ Misc.",IF(AND('📝 Four-tier กรอก'!T28&lt;&gt;'📝 Four-tier กรอก'!T6,'📝 Four-tier กรอก'!U28="N",'📝 Four-tier กรอก'!V28&lt;&gt;'📝 Four-tier กรอก'!V6,'📝 Four-tier กรอก'!W28="N"),"❓ NoK","🤔 Partial")))))</f>
        <v/>
      </c>
      <c r="I26" s="68">
        <f>IF(OR('📝 Four-tier กรอก'!X28="",'📝 Four-tier กรอก'!Z28=""),"—",IF(AND('📝 Four-tier กรอก'!X28='📝 Four-tier กรอก'!X6,'📝 Four-tier กรอก'!Y28="Y",'📝 Four-tier กรอก'!Z28='📝 Four-tier กรอก'!Z6,'📝 Four-tier กรอก'!AA28="Y"),"✅ Sound",IF(AND('📝 Four-tier กรอก'!X28='📝 Four-tier กรอก'!X6,'📝 Four-tier กรอก'!Y28="Y",'📝 Four-tier กรอก'!Z28&lt;&gt;'📝 Four-tier กรอก'!Z6,'📝 Four-tier กรอก'!AA28="Y"),"🎲 Guess",IF(AND('📝 Four-tier กรอก'!X28&lt;&gt;'📝 Four-tier กรอก'!X6,'📝 Four-tier กรอก'!Y28="Y",'📝 Four-tier กรอก'!Z28&lt;&gt;'📝 Four-tier กรอก'!Z6,'📝 Four-tier กรอก'!AA28="Y"),"❌ Misc.",IF(AND('📝 Four-tier กรอก'!X28&lt;&gt;'📝 Four-tier กรอก'!X6,'📝 Four-tier กรอก'!Y28="N",'📝 Four-tier กรอก'!Z28&lt;&gt;'📝 Four-tier กรอก'!Z6,'📝 Four-tier กรอก'!AA28="N"),"❓ NoK","🤔 Partial")))))</f>
        <v/>
      </c>
      <c r="J26" s="68">
        <f>IF(OR('📝 Four-tier กรอก'!AB28="",'📝 Four-tier กรอก'!AD28=""),"—",IF(AND('📝 Four-tier กรอก'!AB28='📝 Four-tier กรอก'!AB6,'📝 Four-tier กรอก'!AC28="Y",'📝 Four-tier กรอก'!AD28='📝 Four-tier กรอก'!AD6,'📝 Four-tier กรอก'!AE28="Y"),"✅ Sound",IF(AND('📝 Four-tier กรอก'!AB28='📝 Four-tier กรอก'!AB6,'📝 Four-tier กรอก'!AC28="Y",'📝 Four-tier กรอก'!AD28&lt;&gt;'📝 Four-tier กรอก'!AD6,'📝 Four-tier กรอก'!AE28="Y"),"🎲 Guess",IF(AND('📝 Four-tier กรอก'!AB28&lt;&gt;'📝 Four-tier กรอก'!AB6,'📝 Four-tier กรอก'!AC28="Y",'📝 Four-tier กรอก'!AD28&lt;&gt;'📝 Four-tier กรอก'!AD6,'📝 Four-tier กรอก'!AE28="Y"),"❌ Misc.",IF(AND('📝 Four-tier กรอก'!AB28&lt;&gt;'📝 Four-tier กรอก'!AB6,'📝 Four-tier กรอก'!AC28="N",'📝 Four-tier กรอก'!AD28&lt;&gt;'📝 Four-tier กรอก'!AD6,'📝 Four-tier กรอก'!AE28="N"),"❓ NoK","🤔 Partial")))))</f>
        <v/>
      </c>
      <c r="K26" s="68">
        <f>IF(OR('📝 Four-tier กรอก'!AF28="",'📝 Four-tier กรอก'!AH28=""),"—",IF(AND('📝 Four-tier กรอก'!AF28='📝 Four-tier กรอก'!AF6,'📝 Four-tier กรอก'!AG28="Y",'📝 Four-tier กรอก'!AH28='📝 Four-tier กรอก'!AH6,'📝 Four-tier กรอก'!AI28="Y"),"✅ Sound",IF(AND('📝 Four-tier กรอก'!AF28='📝 Four-tier กรอก'!AF6,'📝 Four-tier กรอก'!AG28="Y",'📝 Four-tier กรอก'!AH28&lt;&gt;'📝 Four-tier กรอก'!AH6,'📝 Four-tier กรอก'!AI28="Y"),"🎲 Guess",IF(AND('📝 Four-tier กรอก'!AF28&lt;&gt;'📝 Four-tier กรอก'!AF6,'📝 Four-tier กรอก'!AG28="Y",'📝 Four-tier กรอก'!AH28&lt;&gt;'📝 Four-tier กรอก'!AH6,'📝 Four-tier กรอก'!AI28="Y"),"❌ Misc.",IF(AND('📝 Four-tier กรอก'!AF28&lt;&gt;'📝 Four-tier กรอก'!AF6,'📝 Four-tier กรอก'!AG28="N",'📝 Four-tier กรอก'!AH28&lt;&gt;'📝 Four-tier กรอก'!AH6,'📝 Four-tier กรอก'!AI28="N"),"❓ NoK","🤔 Partial")))))</f>
        <v/>
      </c>
      <c r="L26" s="68">
        <f>IF(OR('📝 Four-tier กรอก'!AJ28="",'📝 Four-tier กรอก'!AL28=""),"—",IF(AND('📝 Four-tier กรอก'!AJ28='📝 Four-tier กรอก'!AJ6,'📝 Four-tier กรอก'!AK28="Y",'📝 Four-tier กรอก'!AL28='📝 Four-tier กรอก'!AL6,'📝 Four-tier กรอก'!AM28="Y"),"✅ Sound",IF(AND('📝 Four-tier กรอก'!AJ28='📝 Four-tier กรอก'!AJ6,'📝 Four-tier กรอก'!AK28="Y",'📝 Four-tier กรอก'!AL28&lt;&gt;'📝 Four-tier กรอก'!AL6,'📝 Four-tier กรอก'!AM28="Y"),"🎲 Guess",IF(AND('📝 Four-tier กรอก'!AJ28&lt;&gt;'📝 Four-tier กรอก'!AJ6,'📝 Four-tier กรอก'!AK28="Y",'📝 Four-tier กรอก'!AL28&lt;&gt;'📝 Four-tier กรอก'!AL6,'📝 Four-tier กรอก'!AM28="Y"),"❌ Misc.",IF(AND('📝 Four-tier กรอก'!AJ28&lt;&gt;'📝 Four-tier กรอก'!AJ6,'📝 Four-tier กรอก'!AK28="N",'📝 Four-tier กรอก'!AL28&lt;&gt;'📝 Four-tier กรอก'!AL6,'📝 Four-tier กรอก'!AM28="N"),"❓ NoK","🤔 Partial")))))</f>
        <v/>
      </c>
      <c r="M26" s="68">
        <f>IF(OR('📝 Four-tier กรอก'!AN28="",'📝 Four-tier กรอก'!AP28=""),"—",IF(AND('📝 Four-tier กรอก'!AN28='📝 Four-tier กรอก'!AN6,'📝 Four-tier กรอก'!AO28="Y",'📝 Four-tier กรอก'!AP28='📝 Four-tier กรอก'!AP6,'📝 Four-tier กรอก'!AQ28="Y"),"✅ Sound",IF(AND('📝 Four-tier กรอก'!AN28='📝 Four-tier กรอก'!AN6,'📝 Four-tier กรอก'!AO28="Y",'📝 Four-tier กรอก'!AP28&lt;&gt;'📝 Four-tier กรอก'!AP6,'📝 Four-tier กรอก'!AQ28="Y"),"🎲 Guess",IF(AND('📝 Four-tier กรอก'!AN28&lt;&gt;'📝 Four-tier กรอก'!AN6,'📝 Four-tier กรอก'!AO28="Y",'📝 Four-tier กรอก'!AP28&lt;&gt;'📝 Four-tier กรอก'!AP6,'📝 Four-tier กรอก'!AQ28="Y"),"❌ Misc.",IF(AND('📝 Four-tier กรอก'!AN28&lt;&gt;'📝 Four-tier กรอก'!AN6,'📝 Four-tier กรอก'!AO28="N",'📝 Four-tier กรอก'!AP28&lt;&gt;'📝 Four-tier กรอก'!AP6,'📝 Four-tier กรอก'!AQ28="N"),"❓ NoK","🤔 Partial")))))</f>
        <v/>
      </c>
      <c r="N26" s="68">
        <f>IF(OR('📝 Four-tier กรอก'!AR28="",'📝 Four-tier กรอก'!AT28=""),"—",IF(AND('📝 Four-tier กรอก'!AR28='📝 Four-tier กรอก'!AR6,'📝 Four-tier กรอก'!AS28="Y",'📝 Four-tier กรอก'!AT28='📝 Four-tier กรอก'!AT6,'📝 Four-tier กรอก'!AU28="Y"),"✅ Sound",IF(AND('📝 Four-tier กรอก'!AR28='📝 Four-tier กรอก'!AR6,'📝 Four-tier กรอก'!AS28="Y",'📝 Four-tier กรอก'!AT28&lt;&gt;'📝 Four-tier กรอก'!AT6,'📝 Four-tier กรอก'!AU28="Y"),"🎲 Guess",IF(AND('📝 Four-tier กรอก'!AR28&lt;&gt;'📝 Four-tier กรอก'!AR6,'📝 Four-tier กรอก'!AS28="Y",'📝 Four-tier กรอก'!AT28&lt;&gt;'📝 Four-tier กรอก'!AT6,'📝 Four-tier กรอก'!AU28="Y"),"❌ Misc.",IF(AND('📝 Four-tier กรอก'!AR28&lt;&gt;'📝 Four-tier กรอก'!AR6,'📝 Four-tier กรอก'!AS28="N",'📝 Four-tier กรอก'!AT28&lt;&gt;'📝 Four-tier กรอก'!AT6,'📝 Four-tier กรอก'!AU28="N"),"❓ NoK","🤔 Partial")))))</f>
        <v/>
      </c>
      <c r="O26" s="68">
        <f>IF(OR('📝 Four-tier กรอก'!AV28="",'📝 Four-tier กรอก'!AX28=""),"—",IF(AND('📝 Four-tier กรอก'!AV28='📝 Four-tier กรอก'!AV6,'📝 Four-tier กรอก'!AW28="Y",'📝 Four-tier กรอก'!AX28='📝 Four-tier กรอก'!AX6,'📝 Four-tier กรอก'!AY28="Y"),"✅ Sound",IF(AND('📝 Four-tier กรอก'!AV28='📝 Four-tier กรอก'!AV6,'📝 Four-tier กรอก'!AW28="Y",'📝 Four-tier กรอก'!AX28&lt;&gt;'📝 Four-tier กรอก'!AX6,'📝 Four-tier กรอก'!AY28="Y"),"🎲 Guess",IF(AND('📝 Four-tier กรอก'!AV28&lt;&gt;'📝 Four-tier กรอก'!AV6,'📝 Four-tier กรอก'!AW28="Y",'📝 Four-tier กรอก'!AX28&lt;&gt;'📝 Four-tier กรอก'!AX6,'📝 Four-tier กรอก'!AY28="Y"),"❌ Misc.",IF(AND('📝 Four-tier กรอก'!AV28&lt;&gt;'📝 Four-tier กรอก'!AV6,'📝 Four-tier กรอก'!AW28="N",'📝 Four-tier กรอก'!AX28&lt;&gt;'📝 Four-tier กรอก'!AX6,'📝 Four-tier กรอก'!AY28="N"),"❓ NoK","🤔 Partial")))))</f>
        <v/>
      </c>
      <c r="P26" s="68">
        <f>IF(OR('📝 Four-tier กรอก'!AZ28="",'📝 Four-tier กรอก'!BB28=""),"—",IF(AND('📝 Four-tier กรอก'!AZ28='📝 Four-tier กรอก'!AZ6,'📝 Four-tier กรอก'!BA28="Y",'📝 Four-tier กรอก'!BB28='📝 Four-tier กรอก'!BB6,'📝 Four-tier กรอก'!BC28="Y"),"✅ Sound",IF(AND('📝 Four-tier กรอก'!AZ28='📝 Four-tier กรอก'!AZ6,'📝 Four-tier กรอก'!BA28="Y",'📝 Four-tier กรอก'!BB28&lt;&gt;'📝 Four-tier กรอก'!BB6,'📝 Four-tier กรอก'!BC28="Y"),"🎲 Guess",IF(AND('📝 Four-tier กรอก'!AZ28&lt;&gt;'📝 Four-tier กรอก'!AZ6,'📝 Four-tier กรอก'!BA28="Y",'📝 Four-tier กรอก'!BB28&lt;&gt;'📝 Four-tier กรอก'!BB6,'📝 Four-tier กรอก'!BC28="Y"),"❌ Misc.",IF(AND('📝 Four-tier กรอก'!AZ28&lt;&gt;'📝 Four-tier กรอก'!AZ6,'📝 Four-tier กรอก'!BA28="N",'📝 Four-tier กรอก'!BB28&lt;&gt;'📝 Four-tier กรอก'!BB6,'📝 Four-tier กรอก'!BC28="N"),"❓ NoK","🤔 Partial")))))</f>
        <v/>
      </c>
      <c r="Q26" s="68">
        <f>IF(OR('📝 Four-tier กรอก'!BD28="",'📝 Four-tier กรอก'!BF28=""),"—",IF(AND('📝 Four-tier กรอก'!BD28='📝 Four-tier กรอก'!BD6,'📝 Four-tier กรอก'!BE28="Y",'📝 Four-tier กรอก'!BF28='📝 Four-tier กรอก'!BF6,'📝 Four-tier กรอก'!BG28="Y"),"✅ Sound",IF(AND('📝 Four-tier กรอก'!BD28='📝 Four-tier กรอก'!BD6,'📝 Four-tier กรอก'!BE28="Y",'📝 Four-tier กรอก'!BF28&lt;&gt;'📝 Four-tier กรอก'!BF6,'📝 Four-tier กรอก'!BG28="Y"),"🎲 Guess",IF(AND('📝 Four-tier กรอก'!BD28&lt;&gt;'📝 Four-tier กรอก'!BD6,'📝 Four-tier กรอก'!BE28="Y",'📝 Four-tier กรอก'!BF28&lt;&gt;'📝 Four-tier กรอก'!BF6,'📝 Four-tier กรอก'!BG28="Y"),"❌ Misc.",IF(AND('📝 Four-tier กรอก'!BD28&lt;&gt;'📝 Four-tier กรอก'!BD6,'📝 Four-tier กรอก'!BE28="N",'📝 Four-tier กรอก'!BF28&lt;&gt;'📝 Four-tier กรอก'!BF6,'📝 Four-tier กรอก'!BG28="N"),"❓ NoK","🤔 Partial")))))</f>
        <v/>
      </c>
      <c r="R26" s="68">
        <f>IF(OR('📝 Four-tier กรอก'!BH28="",'📝 Four-tier กรอก'!BJ28=""),"—",IF(AND('📝 Four-tier กรอก'!BH28='📝 Four-tier กรอก'!BH6,'📝 Four-tier กรอก'!BI28="Y",'📝 Four-tier กรอก'!BJ28='📝 Four-tier กรอก'!BJ6,'📝 Four-tier กรอก'!BK28="Y"),"✅ Sound",IF(AND('📝 Four-tier กรอก'!BH28='📝 Four-tier กรอก'!BH6,'📝 Four-tier กรอก'!BI28="Y",'📝 Four-tier กรอก'!BJ28&lt;&gt;'📝 Four-tier กรอก'!BJ6,'📝 Four-tier กรอก'!BK28="Y"),"🎲 Guess",IF(AND('📝 Four-tier กรอก'!BH28&lt;&gt;'📝 Four-tier กรอก'!BH6,'📝 Four-tier กรอก'!BI28="Y",'📝 Four-tier กรอก'!BJ28&lt;&gt;'📝 Four-tier กรอก'!BJ6,'📝 Four-tier กรอก'!BK28="Y"),"❌ Misc.",IF(AND('📝 Four-tier กรอก'!BH28&lt;&gt;'📝 Four-tier กรอก'!BH6,'📝 Four-tier กรอก'!BI28="N",'📝 Four-tier กรอก'!BJ28&lt;&gt;'📝 Four-tier กรอก'!BJ6,'📝 Four-tier กรอก'!BK28="N"),"❓ NoK","🤔 Partial")))))</f>
        <v/>
      </c>
      <c r="S26" s="68">
        <f>IF(OR('📝 Four-tier กรอก'!BL28="",'📝 Four-tier กรอก'!BN28=""),"—",IF(AND('📝 Four-tier กรอก'!BL28='📝 Four-tier กรอก'!BL6,'📝 Four-tier กรอก'!BM28="Y",'📝 Four-tier กรอก'!BN28='📝 Four-tier กรอก'!BN6,'📝 Four-tier กรอก'!BO28="Y"),"✅ Sound",IF(AND('📝 Four-tier กรอก'!BL28='📝 Four-tier กรอก'!BL6,'📝 Four-tier กรอก'!BM28="Y",'📝 Four-tier กรอก'!BN28&lt;&gt;'📝 Four-tier กรอก'!BN6,'📝 Four-tier กรอก'!BO28="Y"),"🎲 Guess",IF(AND('📝 Four-tier กรอก'!BL28&lt;&gt;'📝 Four-tier กรอก'!BL6,'📝 Four-tier กรอก'!BM28="Y",'📝 Four-tier กรอก'!BN28&lt;&gt;'📝 Four-tier กรอก'!BN6,'📝 Four-tier กรอก'!BO28="Y"),"❌ Misc.",IF(AND('📝 Four-tier กรอก'!BL28&lt;&gt;'📝 Four-tier กรอก'!BL6,'📝 Four-tier กรอก'!BM28="N",'📝 Four-tier กรอก'!BN28&lt;&gt;'📝 Four-tier กรอก'!BN6,'📝 Four-tier กรอก'!BO28="N"),"❓ NoK","🤔 Partial")))))</f>
        <v/>
      </c>
      <c r="T26" s="68">
        <f>IF(OR('📝 Four-tier กรอก'!BP28="",'📝 Four-tier กรอก'!BR28=""),"—",IF(AND('📝 Four-tier กรอก'!BP28='📝 Four-tier กรอก'!BP6,'📝 Four-tier กรอก'!BQ28="Y",'📝 Four-tier กรอก'!BR28='📝 Four-tier กรอก'!BR6,'📝 Four-tier กรอก'!BS28="Y"),"✅ Sound",IF(AND('📝 Four-tier กรอก'!BP28='📝 Four-tier กรอก'!BP6,'📝 Four-tier กรอก'!BQ28="Y",'📝 Four-tier กรอก'!BR28&lt;&gt;'📝 Four-tier กรอก'!BR6,'📝 Four-tier กรอก'!BS28="Y"),"🎲 Guess",IF(AND('📝 Four-tier กรอก'!BP28&lt;&gt;'📝 Four-tier กรอก'!BP6,'📝 Four-tier กรอก'!BQ28="Y",'📝 Four-tier กรอก'!BR28&lt;&gt;'📝 Four-tier กรอก'!BR6,'📝 Four-tier กรอก'!BS28="Y"),"❌ Misc.",IF(AND('📝 Four-tier กรอก'!BP28&lt;&gt;'📝 Four-tier กรอก'!BP6,'📝 Four-tier กรอก'!BQ28="N",'📝 Four-tier กรอก'!BR28&lt;&gt;'📝 Four-tier กรอก'!BR6,'📝 Four-tier กรอก'!BS28="N"),"❓ NoK","🤔 Partial")))))</f>
        <v/>
      </c>
      <c r="U26" s="68">
        <f>IF(OR('📝 Four-tier กรอก'!BT28="",'📝 Four-tier กรอก'!BV28=""),"—",IF(AND('📝 Four-tier กรอก'!BT28='📝 Four-tier กรอก'!BT6,'📝 Four-tier กรอก'!BU28="Y",'📝 Four-tier กรอก'!BV28='📝 Four-tier กรอก'!BV6,'📝 Four-tier กรอก'!BW28="Y"),"✅ Sound",IF(AND('📝 Four-tier กรอก'!BT28='📝 Four-tier กรอก'!BT6,'📝 Four-tier กรอก'!BU28="Y",'📝 Four-tier กรอก'!BV28&lt;&gt;'📝 Four-tier กรอก'!BV6,'📝 Four-tier กรอก'!BW28="Y"),"🎲 Guess",IF(AND('📝 Four-tier กรอก'!BT28&lt;&gt;'📝 Four-tier กรอก'!BT6,'📝 Four-tier กรอก'!BU28="Y",'📝 Four-tier กรอก'!BV28&lt;&gt;'📝 Four-tier กรอก'!BV6,'📝 Four-tier กรอก'!BW28="Y"),"❌ Misc.",IF(AND('📝 Four-tier กรอก'!BT28&lt;&gt;'📝 Four-tier กรอก'!BT6,'📝 Four-tier กรอก'!BU28="N",'📝 Four-tier กรอก'!BV28&lt;&gt;'📝 Four-tier กรอก'!BV6,'📝 Four-tier กรอก'!BW28="N"),"❓ NoK","🤔 Partial")))))</f>
        <v/>
      </c>
      <c r="V26" s="68">
        <f>IF(OR('📝 Four-tier กรอก'!BX28="",'📝 Four-tier กรอก'!BZ28=""),"—",IF(AND('📝 Four-tier กรอก'!BX28='📝 Four-tier กรอก'!BX6,'📝 Four-tier กรอก'!BY28="Y",'📝 Four-tier กรอก'!BZ28='📝 Four-tier กรอก'!BZ6,'📝 Four-tier กรอก'!CA28="Y"),"✅ Sound",IF(AND('📝 Four-tier กรอก'!BX28='📝 Four-tier กรอก'!BX6,'📝 Four-tier กรอก'!BY28="Y",'📝 Four-tier กรอก'!BZ28&lt;&gt;'📝 Four-tier กรอก'!BZ6,'📝 Four-tier กรอก'!CA28="Y"),"🎲 Guess",IF(AND('📝 Four-tier กรอก'!BX28&lt;&gt;'📝 Four-tier กรอก'!BX6,'📝 Four-tier กรอก'!BY28="Y",'📝 Four-tier กรอก'!BZ28&lt;&gt;'📝 Four-tier กรอก'!BZ6,'📝 Four-tier กรอก'!CA28="Y"),"❌ Misc.",IF(AND('📝 Four-tier กรอก'!BX28&lt;&gt;'📝 Four-tier กรอก'!BX6,'📝 Four-tier กรอก'!BY28="N",'📝 Four-tier กรอก'!BZ28&lt;&gt;'📝 Four-tier กรอก'!BZ6,'📝 Four-tier กรอก'!CA28="N"),"❓ NoK","🤔 Partial")))))</f>
        <v/>
      </c>
      <c r="W26" s="68">
        <f>IF(OR('📝 Four-tier กรอก'!CB28="",'📝 Four-tier กรอก'!CD28=""),"—",IF(AND('📝 Four-tier กรอก'!CB28='📝 Four-tier กรอก'!CB6,'📝 Four-tier กรอก'!CC28="Y",'📝 Four-tier กรอก'!CD28='📝 Four-tier กรอก'!CD6,'📝 Four-tier กรอก'!CE28="Y"),"✅ Sound",IF(AND('📝 Four-tier กรอก'!CB28='📝 Four-tier กรอก'!CB6,'📝 Four-tier กรอก'!CC28="Y",'📝 Four-tier กรอก'!CD28&lt;&gt;'📝 Four-tier กรอก'!CD6,'📝 Four-tier กรอก'!CE28="Y"),"🎲 Guess",IF(AND('📝 Four-tier กรอก'!CB28&lt;&gt;'📝 Four-tier กรอก'!CB6,'📝 Four-tier กรอก'!CC28="Y",'📝 Four-tier กรอก'!CD28&lt;&gt;'📝 Four-tier กรอก'!CD6,'📝 Four-tier กรอก'!CE28="Y"),"❌ Misc.",IF(AND('📝 Four-tier กรอก'!CB28&lt;&gt;'📝 Four-tier กรอก'!CB6,'📝 Four-tier กรอก'!CC28="N",'📝 Four-tier กรอก'!CD28&lt;&gt;'📝 Four-tier กรอก'!CD6,'📝 Four-tier กรอก'!CE28="N"),"❓ NoK","🤔 Partial")))))</f>
        <v/>
      </c>
      <c r="X26" s="37">
        <f>COUNTIF(D26:W26,"✅ Sound")</f>
        <v/>
      </c>
      <c r="Y26" s="37">
        <f>COUNTIF(D26:W26,"❌ Misc.")</f>
        <v/>
      </c>
      <c r="Z26" s="37">
        <f>COUNTIF(D26:W26,"🎲 Guess")</f>
        <v/>
      </c>
      <c r="AA26" s="37">
        <f>COUNTIF(D26:W26,"❓ NoK")</f>
        <v/>
      </c>
    </row>
    <row r="27" ht="18" customHeight="1">
      <c r="B27" s="46">
        <f>'📝 Four-tier กรอก'!B29</f>
        <v/>
      </c>
      <c r="C27" s="47">
        <f>'📝 Four-tier กรอก'!C29</f>
        <v/>
      </c>
      <c r="D27" s="67">
        <f>IF(OR('📝 Four-tier กรอก'!D29="",'📝 Four-tier กรอก'!F29=""),"—",IF(AND('📝 Four-tier กรอก'!D29='📝 Four-tier กรอก'!D6,'📝 Four-tier กรอก'!E29="Y",'📝 Four-tier กรอก'!F29='📝 Four-tier กรอก'!F6,'📝 Four-tier กรอก'!G29="Y"),"✅ Sound",IF(AND('📝 Four-tier กรอก'!D29='📝 Four-tier กรอก'!D6,'📝 Four-tier กรอก'!E29="Y",'📝 Four-tier กรอก'!F29&lt;&gt;'📝 Four-tier กรอก'!F6,'📝 Four-tier กรอก'!G29="Y"),"🎲 Guess",IF(AND('📝 Four-tier กรอก'!D29&lt;&gt;'📝 Four-tier กรอก'!D6,'📝 Four-tier กรอก'!E29="Y",'📝 Four-tier กรอก'!F29&lt;&gt;'📝 Four-tier กรอก'!F6,'📝 Four-tier กรอก'!G29="Y"),"❌ Misc.",IF(AND('📝 Four-tier กรอก'!D29&lt;&gt;'📝 Four-tier กรอก'!D6,'📝 Four-tier กรอก'!E29="N",'📝 Four-tier กรอก'!F29&lt;&gt;'📝 Four-tier กรอก'!F6,'📝 Four-tier กรอก'!G29="N"),"❓ NoK","🤔 Partial")))))</f>
        <v/>
      </c>
      <c r="E27" s="67">
        <f>IF(OR('📝 Four-tier กรอก'!H29="",'📝 Four-tier กรอก'!J29=""),"—",IF(AND('📝 Four-tier กรอก'!H29='📝 Four-tier กรอก'!H6,'📝 Four-tier กรอก'!I29="Y",'📝 Four-tier กรอก'!J29='📝 Four-tier กรอก'!J6,'📝 Four-tier กรอก'!K29="Y"),"✅ Sound",IF(AND('📝 Four-tier กรอก'!H29='📝 Four-tier กรอก'!H6,'📝 Four-tier กรอก'!I29="Y",'📝 Four-tier กรอก'!J29&lt;&gt;'📝 Four-tier กรอก'!J6,'📝 Four-tier กรอก'!K29="Y"),"🎲 Guess",IF(AND('📝 Four-tier กรอก'!H29&lt;&gt;'📝 Four-tier กรอก'!H6,'📝 Four-tier กรอก'!I29="Y",'📝 Four-tier กรอก'!J29&lt;&gt;'📝 Four-tier กรอก'!J6,'📝 Four-tier กรอก'!K29="Y"),"❌ Misc.",IF(AND('📝 Four-tier กรอก'!H29&lt;&gt;'📝 Four-tier กรอก'!H6,'📝 Four-tier กรอก'!I29="N",'📝 Four-tier กรอก'!J29&lt;&gt;'📝 Four-tier กรอก'!J6,'📝 Four-tier กรอก'!K29="N"),"❓ NoK","🤔 Partial")))))</f>
        <v/>
      </c>
      <c r="F27" s="67">
        <f>IF(OR('📝 Four-tier กรอก'!L29="",'📝 Four-tier กรอก'!N29=""),"—",IF(AND('📝 Four-tier กรอก'!L29='📝 Four-tier กรอก'!L6,'📝 Four-tier กรอก'!M29="Y",'📝 Four-tier กรอก'!N29='📝 Four-tier กรอก'!N6,'📝 Four-tier กรอก'!O29="Y"),"✅ Sound",IF(AND('📝 Four-tier กรอก'!L29='📝 Four-tier กรอก'!L6,'📝 Four-tier กรอก'!M29="Y",'📝 Four-tier กรอก'!N29&lt;&gt;'📝 Four-tier กรอก'!N6,'📝 Four-tier กรอก'!O29="Y"),"🎲 Guess",IF(AND('📝 Four-tier กรอก'!L29&lt;&gt;'📝 Four-tier กรอก'!L6,'📝 Four-tier กรอก'!M29="Y",'📝 Four-tier กรอก'!N29&lt;&gt;'📝 Four-tier กรอก'!N6,'📝 Four-tier กรอก'!O29="Y"),"❌ Misc.",IF(AND('📝 Four-tier กรอก'!L29&lt;&gt;'📝 Four-tier กรอก'!L6,'📝 Four-tier กรอก'!M29="N",'📝 Four-tier กรอก'!N29&lt;&gt;'📝 Four-tier กรอก'!N6,'📝 Four-tier กรอก'!O29="N"),"❓ NoK","🤔 Partial")))))</f>
        <v/>
      </c>
      <c r="G27" s="67">
        <f>IF(OR('📝 Four-tier กรอก'!P29="",'📝 Four-tier กรอก'!R29=""),"—",IF(AND('📝 Four-tier กรอก'!P29='📝 Four-tier กรอก'!P6,'📝 Four-tier กรอก'!Q29="Y",'📝 Four-tier กรอก'!R29='📝 Four-tier กรอก'!R6,'📝 Four-tier กรอก'!S29="Y"),"✅ Sound",IF(AND('📝 Four-tier กรอก'!P29='📝 Four-tier กรอก'!P6,'📝 Four-tier กรอก'!Q29="Y",'📝 Four-tier กรอก'!R29&lt;&gt;'📝 Four-tier กรอก'!R6,'📝 Four-tier กรอก'!S29="Y"),"🎲 Guess",IF(AND('📝 Four-tier กรอก'!P29&lt;&gt;'📝 Four-tier กรอก'!P6,'📝 Four-tier กรอก'!Q29="Y",'📝 Four-tier กรอก'!R29&lt;&gt;'📝 Four-tier กรอก'!R6,'📝 Four-tier กรอก'!S29="Y"),"❌ Misc.",IF(AND('📝 Four-tier กรอก'!P29&lt;&gt;'📝 Four-tier กรอก'!P6,'📝 Four-tier กรอก'!Q29="N",'📝 Four-tier กรอก'!R29&lt;&gt;'📝 Four-tier กรอก'!R6,'📝 Four-tier กรอก'!S29="N"),"❓ NoK","🤔 Partial")))))</f>
        <v/>
      </c>
      <c r="H27" s="67">
        <f>IF(OR('📝 Four-tier กรอก'!T29="",'📝 Four-tier กรอก'!V29=""),"—",IF(AND('📝 Four-tier กรอก'!T29='📝 Four-tier กรอก'!T6,'📝 Four-tier กรอก'!U29="Y",'📝 Four-tier กรอก'!V29='📝 Four-tier กรอก'!V6,'📝 Four-tier กรอก'!W29="Y"),"✅ Sound",IF(AND('📝 Four-tier กรอก'!T29='📝 Four-tier กรอก'!T6,'📝 Four-tier กรอก'!U29="Y",'📝 Four-tier กรอก'!V29&lt;&gt;'📝 Four-tier กรอก'!V6,'📝 Four-tier กรอก'!W29="Y"),"🎲 Guess",IF(AND('📝 Four-tier กรอก'!T29&lt;&gt;'📝 Four-tier กรอก'!T6,'📝 Four-tier กรอก'!U29="Y",'📝 Four-tier กรอก'!V29&lt;&gt;'📝 Four-tier กรอก'!V6,'📝 Four-tier กรอก'!W29="Y"),"❌ Misc.",IF(AND('📝 Four-tier กรอก'!T29&lt;&gt;'📝 Four-tier กรอก'!T6,'📝 Four-tier กรอก'!U29="N",'📝 Four-tier กรอก'!V29&lt;&gt;'📝 Four-tier กรอก'!V6,'📝 Four-tier กรอก'!W29="N"),"❓ NoK","🤔 Partial")))))</f>
        <v/>
      </c>
      <c r="I27" s="67">
        <f>IF(OR('📝 Four-tier กรอก'!X29="",'📝 Four-tier กรอก'!Z29=""),"—",IF(AND('📝 Four-tier กรอก'!X29='📝 Four-tier กรอก'!X6,'📝 Four-tier กรอก'!Y29="Y",'📝 Four-tier กรอก'!Z29='📝 Four-tier กรอก'!Z6,'📝 Four-tier กรอก'!AA29="Y"),"✅ Sound",IF(AND('📝 Four-tier กรอก'!X29='📝 Four-tier กรอก'!X6,'📝 Four-tier กรอก'!Y29="Y",'📝 Four-tier กรอก'!Z29&lt;&gt;'📝 Four-tier กรอก'!Z6,'📝 Four-tier กรอก'!AA29="Y"),"🎲 Guess",IF(AND('📝 Four-tier กรอก'!X29&lt;&gt;'📝 Four-tier กรอก'!X6,'📝 Four-tier กรอก'!Y29="Y",'📝 Four-tier กรอก'!Z29&lt;&gt;'📝 Four-tier กรอก'!Z6,'📝 Four-tier กรอก'!AA29="Y"),"❌ Misc.",IF(AND('📝 Four-tier กรอก'!X29&lt;&gt;'📝 Four-tier กรอก'!X6,'📝 Four-tier กรอก'!Y29="N",'📝 Four-tier กรอก'!Z29&lt;&gt;'📝 Four-tier กรอก'!Z6,'📝 Four-tier กรอก'!AA29="N"),"❓ NoK","🤔 Partial")))))</f>
        <v/>
      </c>
      <c r="J27" s="67">
        <f>IF(OR('📝 Four-tier กรอก'!AB29="",'📝 Four-tier กรอก'!AD29=""),"—",IF(AND('📝 Four-tier กรอก'!AB29='📝 Four-tier กรอก'!AB6,'📝 Four-tier กรอก'!AC29="Y",'📝 Four-tier กรอก'!AD29='📝 Four-tier กรอก'!AD6,'📝 Four-tier กรอก'!AE29="Y"),"✅ Sound",IF(AND('📝 Four-tier กรอก'!AB29='📝 Four-tier กรอก'!AB6,'📝 Four-tier กรอก'!AC29="Y",'📝 Four-tier กรอก'!AD29&lt;&gt;'📝 Four-tier กรอก'!AD6,'📝 Four-tier กรอก'!AE29="Y"),"🎲 Guess",IF(AND('📝 Four-tier กรอก'!AB29&lt;&gt;'📝 Four-tier กรอก'!AB6,'📝 Four-tier กรอก'!AC29="Y",'📝 Four-tier กรอก'!AD29&lt;&gt;'📝 Four-tier กรอก'!AD6,'📝 Four-tier กรอก'!AE29="Y"),"❌ Misc.",IF(AND('📝 Four-tier กรอก'!AB29&lt;&gt;'📝 Four-tier กรอก'!AB6,'📝 Four-tier กรอก'!AC29="N",'📝 Four-tier กรอก'!AD29&lt;&gt;'📝 Four-tier กรอก'!AD6,'📝 Four-tier กรอก'!AE29="N"),"❓ NoK","🤔 Partial")))))</f>
        <v/>
      </c>
      <c r="K27" s="67">
        <f>IF(OR('📝 Four-tier กรอก'!AF29="",'📝 Four-tier กรอก'!AH29=""),"—",IF(AND('📝 Four-tier กรอก'!AF29='📝 Four-tier กรอก'!AF6,'📝 Four-tier กรอก'!AG29="Y",'📝 Four-tier กรอก'!AH29='📝 Four-tier กรอก'!AH6,'📝 Four-tier กรอก'!AI29="Y"),"✅ Sound",IF(AND('📝 Four-tier กรอก'!AF29='📝 Four-tier กรอก'!AF6,'📝 Four-tier กรอก'!AG29="Y",'📝 Four-tier กรอก'!AH29&lt;&gt;'📝 Four-tier กรอก'!AH6,'📝 Four-tier กรอก'!AI29="Y"),"🎲 Guess",IF(AND('📝 Four-tier กรอก'!AF29&lt;&gt;'📝 Four-tier กรอก'!AF6,'📝 Four-tier กรอก'!AG29="Y",'📝 Four-tier กรอก'!AH29&lt;&gt;'📝 Four-tier กรอก'!AH6,'📝 Four-tier กรอก'!AI29="Y"),"❌ Misc.",IF(AND('📝 Four-tier กรอก'!AF29&lt;&gt;'📝 Four-tier กรอก'!AF6,'📝 Four-tier กรอก'!AG29="N",'📝 Four-tier กรอก'!AH29&lt;&gt;'📝 Four-tier กรอก'!AH6,'📝 Four-tier กรอก'!AI29="N"),"❓ NoK","🤔 Partial")))))</f>
        <v/>
      </c>
      <c r="L27" s="67">
        <f>IF(OR('📝 Four-tier กรอก'!AJ29="",'📝 Four-tier กรอก'!AL29=""),"—",IF(AND('📝 Four-tier กรอก'!AJ29='📝 Four-tier กรอก'!AJ6,'📝 Four-tier กรอก'!AK29="Y",'📝 Four-tier กรอก'!AL29='📝 Four-tier กรอก'!AL6,'📝 Four-tier กรอก'!AM29="Y"),"✅ Sound",IF(AND('📝 Four-tier กรอก'!AJ29='📝 Four-tier กรอก'!AJ6,'📝 Four-tier กรอก'!AK29="Y",'📝 Four-tier กรอก'!AL29&lt;&gt;'📝 Four-tier กรอก'!AL6,'📝 Four-tier กรอก'!AM29="Y"),"🎲 Guess",IF(AND('📝 Four-tier กรอก'!AJ29&lt;&gt;'📝 Four-tier กรอก'!AJ6,'📝 Four-tier กรอก'!AK29="Y",'📝 Four-tier กรอก'!AL29&lt;&gt;'📝 Four-tier กรอก'!AL6,'📝 Four-tier กรอก'!AM29="Y"),"❌ Misc.",IF(AND('📝 Four-tier กรอก'!AJ29&lt;&gt;'📝 Four-tier กรอก'!AJ6,'📝 Four-tier กรอก'!AK29="N",'📝 Four-tier กรอก'!AL29&lt;&gt;'📝 Four-tier กรอก'!AL6,'📝 Four-tier กรอก'!AM29="N"),"❓ NoK","🤔 Partial")))))</f>
        <v/>
      </c>
      <c r="M27" s="67">
        <f>IF(OR('📝 Four-tier กรอก'!AN29="",'📝 Four-tier กรอก'!AP29=""),"—",IF(AND('📝 Four-tier กรอก'!AN29='📝 Four-tier กรอก'!AN6,'📝 Four-tier กรอก'!AO29="Y",'📝 Four-tier กรอก'!AP29='📝 Four-tier กรอก'!AP6,'📝 Four-tier กรอก'!AQ29="Y"),"✅ Sound",IF(AND('📝 Four-tier กรอก'!AN29='📝 Four-tier กรอก'!AN6,'📝 Four-tier กรอก'!AO29="Y",'📝 Four-tier กรอก'!AP29&lt;&gt;'📝 Four-tier กรอก'!AP6,'📝 Four-tier กรอก'!AQ29="Y"),"🎲 Guess",IF(AND('📝 Four-tier กรอก'!AN29&lt;&gt;'📝 Four-tier กรอก'!AN6,'📝 Four-tier กรอก'!AO29="Y",'📝 Four-tier กรอก'!AP29&lt;&gt;'📝 Four-tier กรอก'!AP6,'📝 Four-tier กรอก'!AQ29="Y"),"❌ Misc.",IF(AND('📝 Four-tier กรอก'!AN29&lt;&gt;'📝 Four-tier กรอก'!AN6,'📝 Four-tier กรอก'!AO29="N",'📝 Four-tier กรอก'!AP29&lt;&gt;'📝 Four-tier กรอก'!AP6,'📝 Four-tier กรอก'!AQ29="N"),"❓ NoK","🤔 Partial")))))</f>
        <v/>
      </c>
      <c r="N27" s="67">
        <f>IF(OR('📝 Four-tier กรอก'!AR29="",'📝 Four-tier กรอก'!AT29=""),"—",IF(AND('📝 Four-tier กรอก'!AR29='📝 Four-tier กรอก'!AR6,'📝 Four-tier กรอก'!AS29="Y",'📝 Four-tier กรอก'!AT29='📝 Four-tier กรอก'!AT6,'📝 Four-tier กรอก'!AU29="Y"),"✅ Sound",IF(AND('📝 Four-tier กรอก'!AR29='📝 Four-tier กรอก'!AR6,'📝 Four-tier กรอก'!AS29="Y",'📝 Four-tier กรอก'!AT29&lt;&gt;'📝 Four-tier กรอก'!AT6,'📝 Four-tier กรอก'!AU29="Y"),"🎲 Guess",IF(AND('📝 Four-tier กรอก'!AR29&lt;&gt;'📝 Four-tier กรอก'!AR6,'📝 Four-tier กรอก'!AS29="Y",'📝 Four-tier กรอก'!AT29&lt;&gt;'📝 Four-tier กรอก'!AT6,'📝 Four-tier กรอก'!AU29="Y"),"❌ Misc.",IF(AND('📝 Four-tier กรอก'!AR29&lt;&gt;'📝 Four-tier กรอก'!AR6,'📝 Four-tier กรอก'!AS29="N",'📝 Four-tier กรอก'!AT29&lt;&gt;'📝 Four-tier กรอก'!AT6,'📝 Four-tier กรอก'!AU29="N"),"❓ NoK","🤔 Partial")))))</f>
        <v/>
      </c>
      <c r="O27" s="67">
        <f>IF(OR('📝 Four-tier กรอก'!AV29="",'📝 Four-tier กรอก'!AX29=""),"—",IF(AND('📝 Four-tier กรอก'!AV29='📝 Four-tier กรอก'!AV6,'📝 Four-tier กรอก'!AW29="Y",'📝 Four-tier กรอก'!AX29='📝 Four-tier กรอก'!AX6,'📝 Four-tier กรอก'!AY29="Y"),"✅ Sound",IF(AND('📝 Four-tier กรอก'!AV29='📝 Four-tier กรอก'!AV6,'📝 Four-tier กรอก'!AW29="Y",'📝 Four-tier กรอก'!AX29&lt;&gt;'📝 Four-tier กรอก'!AX6,'📝 Four-tier กรอก'!AY29="Y"),"🎲 Guess",IF(AND('📝 Four-tier กรอก'!AV29&lt;&gt;'📝 Four-tier กรอก'!AV6,'📝 Four-tier กรอก'!AW29="Y",'📝 Four-tier กรอก'!AX29&lt;&gt;'📝 Four-tier กรอก'!AX6,'📝 Four-tier กรอก'!AY29="Y"),"❌ Misc.",IF(AND('📝 Four-tier กรอก'!AV29&lt;&gt;'📝 Four-tier กรอก'!AV6,'📝 Four-tier กรอก'!AW29="N",'📝 Four-tier กรอก'!AX29&lt;&gt;'📝 Four-tier กรอก'!AX6,'📝 Four-tier กรอก'!AY29="N"),"❓ NoK","🤔 Partial")))))</f>
        <v/>
      </c>
      <c r="P27" s="67">
        <f>IF(OR('📝 Four-tier กรอก'!AZ29="",'📝 Four-tier กรอก'!BB29=""),"—",IF(AND('📝 Four-tier กรอก'!AZ29='📝 Four-tier กรอก'!AZ6,'📝 Four-tier กรอก'!BA29="Y",'📝 Four-tier กรอก'!BB29='📝 Four-tier กรอก'!BB6,'📝 Four-tier กรอก'!BC29="Y"),"✅ Sound",IF(AND('📝 Four-tier กรอก'!AZ29='📝 Four-tier กรอก'!AZ6,'📝 Four-tier กรอก'!BA29="Y",'📝 Four-tier กรอก'!BB29&lt;&gt;'📝 Four-tier กรอก'!BB6,'📝 Four-tier กรอก'!BC29="Y"),"🎲 Guess",IF(AND('📝 Four-tier กรอก'!AZ29&lt;&gt;'📝 Four-tier กรอก'!AZ6,'📝 Four-tier กรอก'!BA29="Y",'📝 Four-tier กรอก'!BB29&lt;&gt;'📝 Four-tier กรอก'!BB6,'📝 Four-tier กรอก'!BC29="Y"),"❌ Misc.",IF(AND('📝 Four-tier กรอก'!AZ29&lt;&gt;'📝 Four-tier กรอก'!AZ6,'📝 Four-tier กรอก'!BA29="N",'📝 Four-tier กรอก'!BB29&lt;&gt;'📝 Four-tier กรอก'!BB6,'📝 Four-tier กรอก'!BC29="N"),"❓ NoK","🤔 Partial")))))</f>
        <v/>
      </c>
      <c r="Q27" s="67">
        <f>IF(OR('📝 Four-tier กรอก'!BD29="",'📝 Four-tier กรอก'!BF29=""),"—",IF(AND('📝 Four-tier กรอก'!BD29='📝 Four-tier กรอก'!BD6,'📝 Four-tier กรอก'!BE29="Y",'📝 Four-tier กรอก'!BF29='📝 Four-tier กรอก'!BF6,'📝 Four-tier กรอก'!BG29="Y"),"✅ Sound",IF(AND('📝 Four-tier กรอก'!BD29='📝 Four-tier กรอก'!BD6,'📝 Four-tier กรอก'!BE29="Y",'📝 Four-tier กรอก'!BF29&lt;&gt;'📝 Four-tier กรอก'!BF6,'📝 Four-tier กรอก'!BG29="Y"),"🎲 Guess",IF(AND('📝 Four-tier กรอก'!BD29&lt;&gt;'📝 Four-tier กรอก'!BD6,'📝 Four-tier กรอก'!BE29="Y",'📝 Four-tier กรอก'!BF29&lt;&gt;'📝 Four-tier กรอก'!BF6,'📝 Four-tier กรอก'!BG29="Y"),"❌ Misc.",IF(AND('📝 Four-tier กรอก'!BD29&lt;&gt;'📝 Four-tier กรอก'!BD6,'📝 Four-tier กรอก'!BE29="N",'📝 Four-tier กรอก'!BF29&lt;&gt;'📝 Four-tier กรอก'!BF6,'📝 Four-tier กรอก'!BG29="N"),"❓ NoK","🤔 Partial")))))</f>
        <v/>
      </c>
      <c r="R27" s="67">
        <f>IF(OR('📝 Four-tier กรอก'!BH29="",'📝 Four-tier กรอก'!BJ29=""),"—",IF(AND('📝 Four-tier กรอก'!BH29='📝 Four-tier กรอก'!BH6,'📝 Four-tier กรอก'!BI29="Y",'📝 Four-tier กรอก'!BJ29='📝 Four-tier กรอก'!BJ6,'📝 Four-tier กรอก'!BK29="Y"),"✅ Sound",IF(AND('📝 Four-tier กรอก'!BH29='📝 Four-tier กรอก'!BH6,'📝 Four-tier กรอก'!BI29="Y",'📝 Four-tier กรอก'!BJ29&lt;&gt;'📝 Four-tier กรอก'!BJ6,'📝 Four-tier กรอก'!BK29="Y"),"🎲 Guess",IF(AND('📝 Four-tier กรอก'!BH29&lt;&gt;'📝 Four-tier กรอก'!BH6,'📝 Four-tier กรอก'!BI29="Y",'📝 Four-tier กรอก'!BJ29&lt;&gt;'📝 Four-tier กรอก'!BJ6,'📝 Four-tier กรอก'!BK29="Y"),"❌ Misc.",IF(AND('📝 Four-tier กรอก'!BH29&lt;&gt;'📝 Four-tier กรอก'!BH6,'📝 Four-tier กรอก'!BI29="N",'📝 Four-tier กรอก'!BJ29&lt;&gt;'📝 Four-tier กรอก'!BJ6,'📝 Four-tier กรอก'!BK29="N"),"❓ NoK","🤔 Partial")))))</f>
        <v/>
      </c>
      <c r="S27" s="67">
        <f>IF(OR('📝 Four-tier กรอก'!BL29="",'📝 Four-tier กรอก'!BN29=""),"—",IF(AND('📝 Four-tier กรอก'!BL29='📝 Four-tier กรอก'!BL6,'📝 Four-tier กรอก'!BM29="Y",'📝 Four-tier กรอก'!BN29='📝 Four-tier กรอก'!BN6,'📝 Four-tier กรอก'!BO29="Y"),"✅ Sound",IF(AND('📝 Four-tier กรอก'!BL29='📝 Four-tier กรอก'!BL6,'📝 Four-tier กรอก'!BM29="Y",'📝 Four-tier กรอก'!BN29&lt;&gt;'📝 Four-tier กรอก'!BN6,'📝 Four-tier กรอก'!BO29="Y"),"🎲 Guess",IF(AND('📝 Four-tier กรอก'!BL29&lt;&gt;'📝 Four-tier กรอก'!BL6,'📝 Four-tier กรอก'!BM29="Y",'📝 Four-tier กรอก'!BN29&lt;&gt;'📝 Four-tier กรอก'!BN6,'📝 Four-tier กรอก'!BO29="Y"),"❌ Misc.",IF(AND('📝 Four-tier กรอก'!BL29&lt;&gt;'📝 Four-tier กรอก'!BL6,'📝 Four-tier กรอก'!BM29="N",'📝 Four-tier กรอก'!BN29&lt;&gt;'📝 Four-tier กรอก'!BN6,'📝 Four-tier กรอก'!BO29="N"),"❓ NoK","🤔 Partial")))))</f>
        <v/>
      </c>
      <c r="T27" s="67">
        <f>IF(OR('📝 Four-tier กรอก'!BP29="",'📝 Four-tier กรอก'!BR29=""),"—",IF(AND('📝 Four-tier กรอก'!BP29='📝 Four-tier กรอก'!BP6,'📝 Four-tier กรอก'!BQ29="Y",'📝 Four-tier กรอก'!BR29='📝 Four-tier กรอก'!BR6,'📝 Four-tier กรอก'!BS29="Y"),"✅ Sound",IF(AND('📝 Four-tier กรอก'!BP29='📝 Four-tier กรอก'!BP6,'📝 Four-tier กรอก'!BQ29="Y",'📝 Four-tier กรอก'!BR29&lt;&gt;'📝 Four-tier กรอก'!BR6,'📝 Four-tier กรอก'!BS29="Y"),"🎲 Guess",IF(AND('📝 Four-tier กรอก'!BP29&lt;&gt;'📝 Four-tier กรอก'!BP6,'📝 Four-tier กรอก'!BQ29="Y",'📝 Four-tier กรอก'!BR29&lt;&gt;'📝 Four-tier กรอก'!BR6,'📝 Four-tier กรอก'!BS29="Y"),"❌ Misc.",IF(AND('📝 Four-tier กรอก'!BP29&lt;&gt;'📝 Four-tier กรอก'!BP6,'📝 Four-tier กรอก'!BQ29="N",'📝 Four-tier กรอก'!BR29&lt;&gt;'📝 Four-tier กรอก'!BR6,'📝 Four-tier กรอก'!BS29="N"),"❓ NoK","🤔 Partial")))))</f>
        <v/>
      </c>
      <c r="U27" s="67">
        <f>IF(OR('📝 Four-tier กรอก'!BT29="",'📝 Four-tier กรอก'!BV29=""),"—",IF(AND('📝 Four-tier กรอก'!BT29='📝 Four-tier กรอก'!BT6,'📝 Four-tier กรอก'!BU29="Y",'📝 Four-tier กรอก'!BV29='📝 Four-tier กรอก'!BV6,'📝 Four-tier กรอก'!BW29="Y"),"✅ Sound",IF(AND('📝 Four-tier กรอก'!BT29='📝 Four-tier กรอก'!BT6,'📝 Four-tier กรอก'!BU29="Y",'📝 Four-tier กรอก'!BV29&lt;&gt;'📝 Four-tier กรอก'!BV6,'📝 Four-tier กรอก'!BW29="Y"),"🎲 Guess",IF(AND('📝 Four-tier กรอก'!BT29&lt;&gt;'📝 Four-tier กรอก'!BT6,'📝 Four-tier กรอก'!BU29="Y",'📝 Four-tier กรอก'!BV29&lt;&gt;'📝 Four-tier กรอก'!BV6,'📝 Four-tier กรอก'!BW29="Y"),"❌ Misc.",IF(AND('📝 Four-tier กรอก'!BT29&lt;&gt;'📝 Four-tier กรอก'!BT6,'📝 Four-tier กรอก'!BU29="N",'📝 Four-tier กรอก'!BV29&lt;&gt;'📝 Four-tier กรอก'!BV6,'📝 Four-tier กรอก'!BW29="N"),"❓ NoK","🤔 Partial")))))</f>
        <v/>
      </c>
      <c r="V27" s="67">
        <f>IF(OR('📝 Four-tier กรอก'!BX29="",'📝 Four-tier กรอก'!BZ29=""),"—",IF(AND('📝 Four-tier กรอก'!BX29='📝 Four-tier กรอก'!BX6,'📝 Four-tier กรอก'!BY29="Y",'📝 Four-tier กรอก'!BZ29='📝 Four-tier กรอก'!BZ6,'📝 Four-tier กรอก'!CA29="Y"),"✅ Sound",IF(AND('📝 Four-tier กรอก'!BX29='📝 Four-tier กรอก'!BX6,'📝 Four-tier กรอก'!BY29="Y",'📝 Four-tier กรอก'!BZ29&lt;&gt;'📝 Four-tier กรอก'!BZ6,'📝 Four-tier กรอก'!CA29="Y"),"🎲 Guess",IF(AND('📝 Four-tier กรอก'!BX29&lt;&gt;'📝 Four-tier กรอก'!BX6,'📝 Four-tier กรอก'!BY29="Y",'📝 Four-tier กรอก'!BZ29&lt;&gt;'📝 Four-tier กรอก'!BZ6,'📝 Four-tier กรอก'!CA29="Y"),"❌ Misc.",IF(AND('📝 Four-tier กรอก'!BX29&lt;&gt;'📝 Four-tier กรอก'!BX6,'📝 Four-tier กรอก'!BY29="N",'📝 Four-tier กรอก'!BZ29&lt;&gt;'📝 Four-tier กรอก'!BZ6,'📝 Four-tier กรอก'!CA29="N"),"❓ NoK","🤔 Partial")))))</f>
        <v/>
      </c>
      <c r="W27" s="67">
        <f>IF(OR('📝 Four-tier กรอก'!CB29="",'📝 Four-tier กรอก'!CD29=""),"—",IF(AND('📝 Four-tier กรอก'!CB29='📝 Four-tier กรอก'!CB6,'📝 Four-tier กรอก'!CC29="Y",'📝 Four-tier กรอก'!CD29='📝 Four-tier กรอก'!CD6,'📝 Four-tier กรอก'!CE29="Y"),"✅ Sound",IF(AND('📝 Four-tier กรอก'!CB29='📝 Four-tier กรอก'!CB6,'📝 Four-tier กรอก'!CC29="Y",'📝 Four-tier กรอก'!CD29&lt;&gt;'📝 Four-tier กรอก'!CD6,'📝 Four-tier กรอก'!CE29="Y"),"🎲 Guess",IF(AND('📝 Four-tier กรอก'!CB29&lt;&gt;'📝 Four-tier กรอก'!CB6,'📝 Four-tier กรอก'!CC29="Y",'📝 Four-tier กรอก'!CD29&lt;&gt;'📝 Four-tier กรอก'!CD6,'📝 Four-tier กรอก'!CE29="Y"),"❌ Misc.",IF(AND('📝 Four-tier กรอก'!CB29&lt;&gt;'📝 Four-tier กรอก'!CB6,'📝 Four-tier กรอก'!CC29="N",'📝 Four-tier กรอก'!CD29&lt;&gt;'📝 Four-tier กรอก'!CD6,'📝 Four-tier กรอก'!CE29="N"),"❓ NoK","🤔 Partial")))))</f>
        <v/>
      </c>
      <c r="X27" s="37">
        <f>COUNTIF(D27:W27,"✅ Sound")</f>
        <v/>
      </c>
      <c r="Y27" s="37">
        <f>COUNTIF(D27:W27,"❌ Misc.")</f>
        <v/>
      </c>
      <c r="Z27" s="37">
        <f>COUNTIF(D27:W27,"🎲 Guess")</f>
        <v/>
      </c>
      <c r="AA27" s="37">
        <f>COUNTIF(D27:W27,"❓ NoK")</f>
        <v/>
      </c>
    </row>
    <row r="28" ht="18" customHeight="1">
      <c r="B28" s="46">
        <f>'📝 Four-tier กรอก'!B30</f>
        <v/>
      </c>
      <c r="C28" s="51">
        <f>'📝 Four-tier กรอก'!C30</f>
        <v/>
      </c>
      <c r="D28" s="68">
        <f>IF(OR('📝 Four-tier กรอก'!D30="",'📝 Four-tier กรอก'!F30=""),"—",IF(AND('📝 Four-tier กรอก'!D30='📝 Four-tier กรอก'!D6,'📝 Four-tier กรอก'!E30="Y",'📝 Four-tier กรอก'!F30='📝 Four-tier กรอก'!F6,'📝 Four-tier กรอก'!G30="Y"),"✅ Sound",IF(AND('📝 Four-tier กรอก'!D30='📝 Four-tier กรอก'!D6,'📝 Four-tier กรอก'!E30="Y",'📝 Four-tier กรอก'!F30&lt;&gt;'📝 Four-tier กรอก'!F6,'📝 Four-tier กรอก'!G30="Y"),"🎲 Guess",IF(AND('📝 Four-tier กรอก'!D30&lt;&gt;'📝 Four-tier กรอก'!D6,'📝 Four-tier กรอก'!E30="Y",'📝 Four-tier กรอก'!F30&lt;&gt;'📝 Four-tier กรอก'!F6,'📝 Four-tier กรอก'!G30="Y"),"❌ Misc.",IF(AND('📝 Four-tier กรอก'!D30&lt;&gt;'📝 Four-tier กรอก'!D6,'📝 Four-tier กรอก'!E30="N",'📝 Four-tier กรอก'!F30&lt;&gt;'📝 Four-tier กรอก'!F6,'📝 Four-tier กรอก'!G30="N"),"❓ NoK","🤔 Partial")))))</f>
        <v/>
      </c>
      <c r="E28" s="68">
        <f>IF(OR('📝 Four-tier กรอก'!H30="",'📝 Four-tier กรอก'!J30=""),"—",IF(AND('📝 Four-tier กรอก'!H30='📝 Four-tier กรอก'!H6,'📝 Four-tier กรอก'!I30="Y",'📝 Four-tier กรอก'!J30='📝 Four-tier กรอก'!J6,'📝 Four-tier กรอก'!K30="Y"),"✅ Sound",IF(AND('📝 Four-tier กรอก'!H30='📝 Four-tier กรอก'!H6,'📝 Four-tier กรอก'!I30="Y",'📝 Four-tier กรอก'!J30&lt;&gt;'📝 Four-tier กรอก'!J6,'📝 Four-tier กรอก'!K30="Y"),"🎲 Guess",IF(AND('📝 Four-tier กรอก'!H30&lt;&gt;'📝 Four-tier กรอก'!H6,'📝 Four-tier กรอก'!I30="Y",'📝 Four-tier กรอก'!J30&lt;&gt;'📝 Four-tier กรอก'!J6,'📝 Four-tier กรอก'!K30="Y"),"❌ Misc.",IF(AND('📝 Four-tier กรอก'!H30&lt;&gt;'📝 Four-tier กรอก'!H6,'📝 Four-tier กรอก'!I30="N",'📝 Four-tier กรอก'!J30&lt;&gt;'📝 Four-tier กรอก'!J6,'📝 Four-tier กรอก'!K30="N"),"❓ NoK","🤔 Partial")))))</f>
        <v/>
      </c>
      <c r="F28" s="68">
        <f>IF(OR('📝 Four-tier กรอก'!L30="",'📝 Four-tier กรอก'!N30=""),"—",IF(AND('📝 Four-tier กรอก'!L30='📝 Four-tier กรอก'!L6,'📝 Four-tier กรอก'!M30="Y",'📝 Four-tier กรอก'!N30='📝 Four-tier กรอก'!N6,'📝 Four-tier กรอก'!O30="Y"),"✅ Sound",IF(AND('📝 Four-tier กรอก'!L30='📝 Four-tier กรอก'!L6,'📝 Four-tier กรอก'!M30="Y",'📝 Four-tier กรอก'!N30&lt;&gt;'📝 Four-tier กรอก'!N6,'📝 Four-tier กรอก'!O30="Y"),"🎲 Guess",IF(AND('📝 Four-tier กรอก'!L30&lt;&gt;'📝 Four-tier กรอก'!L6,'📝 Four-tier กรอก'!M30="Y",'📝 Four-tier กรอก'!N30&lt;&gt;'📝 Four-tier กรอก'!N6,'📝 Four-tier กรอก'!O30="Y"),"❌ Misc.",IF(AND('📝 Four-tier กรอก'!L30&lt;&gt;'📝 Four-tier กรอก'!L6,'📝 Four-tier กรอก'!M30="N",'📝 Four-tier กรอก'!N30&lt;&gt;'📝 Four-tier กรอก'!N6,'📝 Four-tier กรอก'!O30="N"),"❓ NoK","🤔 Partial")))))</f>
        <v/>
      </c>
      <c r="G28" s="68">
        <f>IF(OR('📝 Four-tier กรอก'!P30="",'📝 Four-tier กรอก'!R30=""),"—",IF(AND('📝 Four-tier กรอก'!P30='📝 Four-tier กรอก'!P6,'📝 Four-tier กรอก'!Q30="Y",'📝 Four-tier กรอก'!R30='📝 Four-tier กรอก'!R6,'📝 Four-tier กรอก'!S30="Y"),"✅ Sound",IF(AND('📝 Four-tier กรอก'!P30='📝 Four-tier กรอก'!P6,'📝 Four-tier กรอก'!Q30="Y",'📝 Four-tier กรอก'!R30&lt;&gt;'📝 Four-tier กรอก'!R6,'📝 Four-tier กรอก'!S30="Y"),"🎲 Guess",IF(AND('📝 Four-tier กรอก'!P30&lt;&gt;'📝 Four-tier กรอก'!P6,'📝 Four-tier กรอก'!Q30="Y",'📝 Four-tier กรอก'!R30&lt;&gt;'📝 Four-tier กรอก'!R6,'📝 Four-tier กรอก'!S30="Y"),"❌ Misc.",IF(AND('📝 Four-tier กรอก'!P30&lt;&gt;'📝 Four-tier กรอก'!P6,'📝 Four-tier กรอก'!Q30="N",'📝 Four-tier กรอก'!R30&lt;&gt;'📝 Four-tier กรอก'!R6,'📝 Four-tier กรอก'!S30="N"),"❓ NoK","🤔 Partial")))))</f>
        <v/>
      </c>
      <c r="H28" s="68">
        <f>IF(OR('📝 Four-tier กรอก'!T30="",'📝 Four-tier กรอก'!V30=""),"—",IF(AND('📝 Four-tier กรอก'!T30='📝 Four-tier กรอก'!T6,'📝 Four-tier กรอก'!U30="Y",'📝 Four-tier กรอก'!V30='📝 Four-tier กรอก'!V6,'📝 Four-tier กรอก'!W30="Y"),"✅ Sound",IF(AND('📝 Four-tier กรอก'!T30='📝 Four-tier กรอก'!T6,'📝 Four-tier กรอก'!U30="Y",'📝 Four-tier กรอก'!V30&lt;&gt;'📝 Four-tier กรอก'!V6,'📝 Four-tier กรอก'!W30="Y"),"🎲 Guess",IF(AND('📝 Four-tier กรอก'!T30&lt;&gt;'📝 Four-tier กรอก'!T6,'📝 Four-tier กรอก'!U30="Y",'📝 Four-tier กรอก'!V30&lt;&gt;'📝 Four-tier กรอก'!V6,'📝 Four-tier กรอก'!W30="Y"),"❌ Misc.",IF(AND('📝 Four-tier กรอก'!T30&lt;&gt;'📝 Four-tier กรอก'!T6,'📝 Four-tier กรอก'!U30="N",'📝 Four-tier กรอก'!V30&lt;&gt;'📝 Four-tier กรอก'!V6,'📝 Four-tier กรอก'!W30="N"),"❓ NoK","🤔 Partial")))))</f>
        <v/>
      </c>
      <c r="I28" s="68">
        <f>IF(OR('📝 Four-tier กรอก'!X30="",'📝 Four-tier กรอก'!Z30=""),"—",IF(AND('📝 Four-tier กรอก'!X30='📝 Four-tier กรอก'!X6,'📝 Four-tier กรอก'!Y30="Y",'📝 Four-tier กรอก'!Z30='📝 Four-tier กรอก'!Z6,'📝 Four-tier กรอก'!AA30="Y"),"✅ Sound",IF(AND('📝 Four-tier กรอก'!X30='📝 Four-tier กรอก'!X6,'📝 Four-tier กรอก'!Y30="Y",'📝 Four-tier กรอก'!Z30&lt;&gt;'📝 Four-tier กรอก'!Z6,'📝 Four-tier กรอก'!AA30="Y"),"🎲 Guess",IF(AND('📝 Four-tier กรอก'!X30&lt;&gt;'📝 Four-tier กรอก'!X6,'📝 Four-tier กรอก'!Y30="Y",'📝 Four-tier กรอก'!Z30&lt;&gt;'📝 Four-tier กรอก'!Z6,'📝 Four-tier กรอก'!AA30="Y"),"❌ Misc.",IF(AND('📝 Four-tier กรอก'!X30&lt;&gt;'📝 Four-tier กรอก'!X6,'📝 Four-tier กรอก'!Y30="N",'📝 Four-tier กรอก'!Z30&lt;&gt;'📝 Four-tier กรอก'!Z6,'📝 Four-tier กรอก'!AA30="N"),"❓ NoK","🤔 Partial")))))</f>
        <v/>
      </c>
      <c r="J28" s="68">
        <f>IF(OR('📝 Four-tier กรอก'!AB30="",'📝 Four-tier กรอก'!AD30=""),"—",IF(AND('📝 Four-tier กรอก'!AB30='📝 Four-tier กรอก'!AB6,'📝 Four-tier กรอก'!AC30="Y",'📝 Four-tier กรอก'!AD30='📝 Four-tier กรอก'!AD6,'📝 Four-tier กรอก'!AE30="Y"),"✅ Sound",IF(AND('📝 Four-tier กรอก'!AB30='📝 Four-tier กรอก'!AB6,'📝 Four-tier กรอก'!AC30="Y",'📝 Four-tier กรอก'!AD30&lt;&gt;'📝 Four-tier กรอก'!AD6,'📝 Four-tier กรอก'!AE30="Y"),"🎲 Guess",IF(AND('📝 Four-tier กรอก'!AB30&lt;&gt;'📝 Four-tier กรอก'!AB6,'📝 Four-tier กรอก'!AC30="Y",'📝 Four-tier กรอก'!AD30&lt;&gt;'📝 Four-tier กรอก'!AD6,'📝 Four-tier กรอก'!AE30="Y"),"❌ Misc.",IF(AND('📝 Four-tier กรอก'!AB30&lt;&gt;'📝 Four-tier กรอก'!AB6,'📝 Four-tier กรอก'!AC30="N",'📝 Four-tier กรอก'!AD30&lt;&gt;'📝 Four-tier กรอก'!AD6,'📝 Four-tier กรอก'!AE30="N"),"❓ NoK","🤔 Partial")))))</f>
        <v/>
      </c>
      <c r="K28" s="68">
        <f>IF(OR('📝 Four-tier กรอก'!AF30="",'📝 Four-tier กรอก'!AH30=""),"—",IF(AND('📝 Four-tier กรอก'!AF30='📝 Four-tier กรอก'!AF6,'📝 Four-tier กรอก'!AG30="Y",'📝 Four-tier กรอก'!AH30='📝 Four-tier กรอก'!AH6,'📝 Four-tier กรอก'!AI30="Y"),"✅ Sound",IF(AND('📝 Four-tier กรอก'!AF30='📝 Four-tier กรอก'!AF6,'📝 Four-tier กรอก'!AG30="Y",'📝 Four-tier กรอก'!AH30&lt;&gt;'📝 Four-tier กรอก'!AH6,'📝 Four-tier กรอก'!AI30="Y"),"🎲 Guess",IF(AND('📝 Four-tier กรอก'!AF30&lt;&gt;'📝 Four-tier กรอก'!AF6,'📝 Four-tier กรอก'!AG30="Y",'📝 Four-tier กรอก'!AH30&lt;&gt;'📝 Four-tier กรอก'!AH6,'📝 Four-tier กรอก'!AI30="Y"),"❌ Misc.",IF(AND('📝 Four-tier กรอก'!AF30&lt;&gt;'📝 Four-tier กรอก'!AF6,'📝 Four-tier กรอก'!AG30="N",'📝 Four-tier กรอก'!AH30&lt;&gt;'📝 Four-tier กรอก'!AH6,'📝 Four-tier กรอก'!AI30="N"),"❓ NoK","🤔 Partial")))))</f>
        <v/>
      </c>
      <c r="L28" s="68">
        <f>IF(OR('📝 Four-tier กรอก'!AJ30="",'📝 Four-tier กรอก'!AL30=""),"—",IF(AND('📝 Four-tier กรอก'!AJ30='📝 Four-tier กรอก'!AJ6,'📝 Four-tier กรอก'!AK30="Y",'📝 Four-tier กรอก'!AL30='📝 Four-tier กรอก'!AL6,'📝 Four-tier กรอก'!AM30="Y"),"✅ Sound",IF(AND('📝 Four-tier กรอก'!AJ30='📝 Four-tier กรอก'!AJ6,'📝 Four-tier กรอก'!AK30="Y",'📝 Four-tier กรอก'!AL30&lt;&gt;'📝 Four-tier กรอก'!AL6,'📝 Four-tier กรอก'!AM30="Y"),"🎲 Guess",IF(AND('📝 Four-tier กรอก'!AJ30&lt;&gt;'📝 Four-tier กรอก'!AJ6,'📝 Four-tier กรอก'!AK30="Y",'📝 Four-tier กรอก'!AL30&lt;&gt;'📝 Four-tier กรอก'!AL6,'📝 Four-tier กรอก'!AM30="Y"),"❌ Misc.",IF(AND('📝 Four-tier กรอก'!AJ30&lt;&gt;'📝 Four-tier กรอก'!AJ6,'📝 Four-tier กรอก'!AK30="N",'📝 Four-tier กรอก'!AL30&lt;&gt;'📝 Four-tier กรอก'!AL6,'📝 Four-tier กรอก'!AM30="N"),"❓ NoK","🤔 Partial")))))</f>
        <v/>
      </c>
      <c r="M28" s="68">
        <f>IF(OR('📝 Four-tier กรอก'!AN30="",'📝 Four-tier กรอก'!AP30=""),"—",IF(AND('📝 Four-tier กรอก'!AN30='📝 Four-tier กรอก'!AN6,'📝 Four-tier กรอก'!AO30="Y",'📝 Four-tier กรอก'!AP30='📝 Four-tier กรอก'!AP6,'📝 Four-tier กรอก'!AQ30="Y"),"✅ Sound",IF(AND('📝 Four-tier กรอก'!AN30='📝 Four-tier กรอก'!AN6,'📝 Four-tier กรอก'!AO30="Y",'📝 Four-tier กรอก'!AP30&lt;&gt;'📝 Four-tier กรอก'!AP6,'📝 Four-tier กรอก'!AQ30="Y"),"🎲 Guess",IF(AND('📝 Four-tier กรอก'!AN30&lt;&gt;'📝 Four-tier กรอก'!AN6,'📝 Four-tier กรอก'!AO30="Y",'📝 Four-tier กรอก'!AP30&lt;&gt;'📝 Four-tier กรอก'!AP6,'📝 Four-tier กรอก'!AQ30="Y"),"❌ Misc.",IF(AND('📝 Four-tier กรอก'!AN30&lt;&gt;'📝 Four-tier กรอก'!AN6,'📝 Four-tier กรอก'!AO30="N",'📝 Four-tier กรอก'!AP30&lt;&gt;'📝 Four-tier กรอก'!AP6,'📝 Four-tier กรอก'!AQ30="N"),"❓ NoK","🤔 Partial")))))</f>
        <v/>
      </c>
      <c r="N28" s="68">
        <f>IF(OR('📝 Four-tier กรอก'!AR30="",'📝 Four-tier กรอก'!AT30=""),"—",IF(AND('📝 Four-tier กรอก'!AR30='📝 Four-tier กรอก'!AR6,'📝 Four-tier กรอก'!AS30="Y",'📝 Four-tier กรอก'!AT30='📝 Four-tier กรอก'!AT6,'📝 Four-tier กรอก'!AU30="Y"),"✅ Sound",IF(AND('📝 Four-tier กรอก'!AR30='📝 Four-tier กรอก'!AR6,'📝 Four-tier กรอก'!AS30="Y",'📝 Four-tier กรอก'!AT30&lt;&gt;'📝 Four-tier กรอก'!AT6,'📝 Four-tier กรอก'!AU30="Y"),"🎲 Guess",IF(AND('📝 Four-tier กรอก'!AR30&lt;&gt;'📝 Four-tier กรอก'!AR6,'📝 Four-tier กรอก'!AS30="Y",'📝 Four-tier กรอก'!AT30&lt;&gt;'📝 Four-tier กรอก'!AT6,'📝 Four-tier กรอก'!AU30="Y"),"❌ Misc.",IF(AND('📝 Four-tier กรอก'!AR30&lt;&gt;'📝 Four-tier กรอก'!AR6,'📝 Four-tier กรอก'!AS30="N",'📝 Four-tier กรอก'!AT30&lt;&gt;'📝 Four-tier กรอก'!AT6,'📝 Four-tier กรอก'!AU30="N"),"❓ NoK","🤔 Partial")))))</f>
        <v/>
      </c>
      <c r="O28" s="68">
        <f>IF(OR('📝 Four-tier กรอก'!AV30="",'📝 Four-tier กรอก'!AX30=""),"—",IF(AND('📝 Four-tier กรอก'!AV30='📝 Four-tier กรอก'!AV6,'📝 Four-tier กรอก'!AW30="Y",'📝 Four-tier กรอก'!AX30='📝 Four-tier กรอก'!AX6,'📝 Four-tier กรอก'!AY30="Y"),"✅ Sound",IF(AND('📝 Four-tier กรอก'!AV30='📝 Four-tier กรอก'!AV6,'📝 Four-tier กรอก'!AW30="Y",'📝 Four-tier กรอก'!AX30&lt;&gt;'📝 Four-tier กรอก'!AX6,'📝 Four-tier กรอก'!AY30="Y"),"🎲 Guess",IF(AND('📝 Four-tier กรอก'!AV30&lt;&gt;'📝 Four-tier กรอก'!AV6,'📝 Four-tier กรอก'!AW30="Y",'📝 Four-tier กรอก'!AX30&lt;&gt;'📝 Four-tier กรอก'!AX6,'📝 Four-tier กรอก'!AY30="Y"),"❌ Misc.",IF(AND('📝 Four-tier กรอก'!AV30&lt;&gt;'📝 Four-tier กรอก'!AV6,'📝 Four-tier กรอก'!AW30="N",'📝 Four-tier กรอก'!AX30&lt;&gt;'📝 Four-tier กรอก'!AX6,'📝 Four-tier กรอก'!AY30="N"),"❓ NoK","🤔 Partial")))))</f>
        <v/>
      </c>
      <c r="P28" s="68">
        <f>IF(OR('📝 Four-tier กรอก'!AZ30="",'📝 Four-tier กรอก'!BB30=""),"—",IF(AND('📝 Four-tier กรอก'!AZ30='📝 Four-tier กรอก'!AZ6,'📝 Four-tier กรอก'!BA30="Y",'📝 Four-tier กรอก'!BB30='📝 Four-tier กรอก'!BB6,'📝 Four-tier กรอก'!BC30="Y"),"✅ Sound",IF(AND('📝 Four-tier กรอก'!AZ30='📝 Four-tier กรอก'!AZ6,'📝 Four-tier กรอก'!BA30="Y",'📝 Four-tier กรอก'!BB30&lt;&gt;'📝 Four-tier กรอก'!BB6,'📝 Four-tier กรอก'!BC30="Y"),"🎲 Guess",IF(AND('📝 Four-tier กรอก'!AZ30&lt;&gt;'📝 Four-tier กรอก'!AZ6,'📝 Four-tier กรอก'!BA30="Y",'📝 Four-tier กรอก'!BB30&lt;&gt;'📝 Four-tier กรอก'!BB6,'📝 Four-tier กรอก'!BC30="Y"),"❌ Misc.",IF(AND('📝 Four-tier กรอก'!AZ30&lt;&gt;'📝 Four-tier กรอก'!AZ6,'📝 Four-tier กรอก'!BA30="N",'📝 Four-tier กรอก'!BB30&lt;&gt;'📝 Four-tier กรอก'!BB6,'📝 Four-tier กรอก'!BC30="N"),"❓ NoK","🤔 Partial")))))</f>
        <v/>
      </c>
      <c r="Q28" s="68">
        <f>IF(OR('📝 Four-tier กรอก'!BD30="",'📝 Four-tier กรอก'!BF30=""),"—",IF(AND('📝 Four-tier กรอก'!BD30='📝 Four-tier กรอก'!BD6,'📝 Four-tier กรอก'!BE30="Y",'📝 Four-tier กรอก'!BF30='📝 Four-tier กรอก'!BF6,'📝 Four-tier กรอก'!BG30="Y"),"✅ Sound",IF(AND('📝 Four-tier กรอก'!BD30='📝 Four-tier กรอก'!BD6,'📝 Four-tier กรอก'!BE30="Y",'📝 Four-tier กรอก'!BF30&lt;&gt;'📝 Four-tier กรอก'!BF6,'📝 Four-tier กรอก'!BG30="Y"),"🎲 Guess",IF(AND('📝 Four-tier กรอก'!BD30&lt;&gt;'📝 Four-tier กรอก'!BD6,'📝 Four-tier กรอก'!BE30="Y",'📝 Four-tier กรอก'!BF30&lt;&gt;'📝 Four-tier กรอก'!BF6,'📝 Four-tier กรอก'!BG30="Y"),"❌ Misc.",IF(AND('📝 Four-tier กรอก'!BD30&lt;&gt;'📝 Four-tier กรอก'!BD6,'📝 Four-tier กรอก'!BE30="N",'📝 Four-tier กรอก'!BF30&lt;&gt;'📝 Four-tier กรอก'!BF6,'📝 Four-tier กรอก'!BG30="N"),"❓ NoK","🤔 Partial")))))</f>
        <v/>
      </c>
      <c r="R28" s="68">
        <f>IF(OR('📝 Four-tier กรอก'!BH30="",'📝 Four-tier กรอก'!BJ30=""),"—",IF(AND('📝 Four-tier กรอก'!BH30='📝 Four-tier กรอก'!BH6,'📝 Four-tier กรอก'!BI30="Y",'📝 Four-tier กรอก'!BJ30='📝 Four-tier กรอก'!BJ6,'📝 Four-tier กรอก'!BK30="Y"),"✅ Sound",IF(AND('📝 Four-tier กรอก'!BH30='📝 Four-tier กรอก'!BH6,'📝 Four-tier กรอก'!BI30="Y",'📝 Four-tier กรอก'!BJ30&lt;&gt;'📝 Four-tier กรอก'!BJ6,'📝 Four-tier กรอก'!BK30="Y"),"🎲 Guess",IF(AND('📝 Four-tier กรอก'!BH30&lt;&gt;'📝 Four-tier กรอก'!BH6,'📝 Four-tier กรอก'!BI30="Y",'📝 Four-tier กรอก'!BJ30&lt;&gt;'📝 Four-tier กรอก'!BJ6,'📝 Four-tier กรอก'!BK30="Y"),"❌ Misc.",IF(AND('📝 Four-tier กรอก'!BH30&lt;&gt;'📝 Four-tier กรอก'!BH6,'📝 Four-tier กรอก'!BI30="N",'📝 Four-tier กรอก'!BJ30&lt;&gt;'📝 Four-tier กรอก'!BJ6,'📝 Four-tier กรอก'!BK30="N"),"❓ NoK","🤔 Partial")))))</f>
        <v/>
      </c>
      <c r="S28" s="68">
        <f>IF(OR('📝 Four-tier กรอก'!BL30="",'📝 Four-tier กรอก'!BN30=""),"—",IF(AND('📝 Four-tier กรอก'!BL30='📝 Four-tier กรอก'!BL6,'📝 Four-tier กรอก'!BM30="Y",'📝 Four-tier กรอก'!BN30='📝 Four-tier กรอก'!BN6,'📝 Four-tier กรอก'!BO30="Y"),"✅ Sound",IF(AND('📝 Four-tier กรอก'!BL30='📝 Four-tier กรอก'!BL6,'📝 Four-tier กรอก'!BM30="Y",'📝 Four-tier กรอก'!BN30&lt;&gt;'📝 Four-tier กรอก'!BN6,'📝 Four-tier กรอก'!BO30="Y"),"🎲 Guess",IF(AND('📝 Four-tier กรอก'!BL30&lt;&gt;'📝 Four-tier กรอก'!BL6,'📝 Four-tier กรอก'!BM30="Y",'📝 Four-tier กรอก'!BN30&lt;&gt;'📝 Four-tier กรอก'!BN6,'📝 Four-tier กรอก'!BO30="Y"),"❌ Misc.",IF(AND('📝 Four-tier กรอก'!BL30&lt;&gt;'📝 Four-tier กรอก'!BL6,'📝 Four-tier กรอก'!BM30="N",'📝 Four-tier กรอก'!BN30&lt;&gt;'📝 Four-tier กรอก'!BN6,'📝 Four-tier กรอก'!BO30="N"),"❓ NoK","🤔 Partial")))))</f>
        <v/>
      </c>
      <c r="T28" s="68">
        <f>IF(OR('📝 Four-tier กรอก'!BP30="",'📝 Four-tier กรอก'!BR30=""),"—",IF(AND('📝 Four-tier กรอก'!BP30='📝 Four-tier กรอก'!BP6,'📝 Four-tier กรอก'!BQ30="Y",'📝 Four-tier กรอก'!BR30='📝 Four-tier กรอก'!BR6,'📝 Four-tier กรอก'!BS30="Y"),"✅ Sound",IF(AND('📝 Four-tier กรอก'!BP30='📝 Four-tier กรอก'!BP6,'📝 Four-tier กรอก'!BQ30="Y",'📝 Four-tier กรอก'!BR30&lt;&gt;'📝 Four-tier กรอก'!BR6,'📝 Four-tier กรอก'!BS30="Y"),"🎲 Guess",IF(AND('📝 Four-tier กรอก'!BP30&lt;&gt;'📝 Four-tier กรอก'!BP6,'📝 Four-tier กรอก'!BQ30="Y",'📝 Four-tier กรอก'!BR30&lt;&gt;'📝 Four-tier กรอก'!BR6,'📝 Four-tier กรอก'!BS30="Y"),"❌ Misc.",IF(AND('📝 Four-tier กรอก'!BP30&lt;&gt;'📝 Four-tier กรอก'!BP6,'📝 Four-tier กรอก'!BQ30="N",'📝 Four-tier กรอก'!BR30&lt;&gt;'📝 Four-tier กรอก'!BR6,'📝 Four-tier กรอก'!BS30="N"),"❓ NoK","🤔 Partial")))))</f>
        <v/>
      </c>
      <c r="U28" s="68">
        <f>IF(OR('📝 Four-tier กรอก'!BT30="",'📝 Four-tier กรอก'!BV30=""),"—",IF(AND('📝 Four-tier กรอก'!BT30='📝 Four-tier กรอก'!BT6,'📝 Four-tier กรอก'!BU30="Y",'📝 Four-tier กรอก'!BV30='📝 Four-tier กรอก'!BV6,'📝 Four-tier กรอก'!BW30="Y"),"✅ Sound",IF(AND('📝 Four-tier กรอก'!BT30='📝 Four-tier กรอก'!BT6,'📝 Four-tier กรอก'!BU30="Y",'📝 Four-tier กรอก'!BV30&lt;&gt;'📝 Four-tier กรอก'!BV6,'📝 Four-tier กรอก'!BW30="Y"),"🎲 Guess",IF(AND('📝 Four-tier กรอก'!BT30&lt;&gt;'📝 Four-tier กรอก'!BT6,'📝 Four-tier กรอก'!BU30="Y",'📝 Four-tier กรอก'!BV30&lt;&gt;'📝 Four-tier กรอก'!BV6,'📝 Four-tier กรอก'!BW30="Y"),"❌ Misc.",IF(AND('📝 Four-tier กรอก'!BT30&lt;&gt;'📝 Four-tier กรอก'!BT6,'📝 Four-tier กรอก'!BU30="N",'📝 Four-tier กรอก'!BV30&lt;&gt;'📝 Four-tier กรอก'!BV6,'📝 Four-tier กรอก'!BW30="N"),"❓ NoK","🤔 Partial")))))</f>
        <v/>
      </c>
      <c r="V28" s="68">
        <f>IF(OR('📝 Four-tier กรอก'!BX30="",'📝 Four-tier กรอก'!BZ30=""),"—",IF(AND('📝 Four-tier กรอก'!BX30='📝 Four-tier กรอก'!BX6,'📝 Four-tier กรอก'!BY30="Y",'📝 Four-tier กรอก'!BZ30='📝 Four-tier กรอก'!BZ6,'📝 Four-tier กรอก'!CA30="Y"),"✅ Sound",IF(AND('📝 Four-tier กรอก'!BX30='📝 Four-tier กรอก'!BX6,'📝 Four-tier กรอก'!BY30="Y",'📝 Four-tier กรอก'!BZ30&lt;&gt;'📝 Four-tier กรอก'!BZ6,'📝 Four-tier กรอก'!CA30="Y"),"🎲 Guess",IF(AND('📝 Four-tier กรอก'!BX30&lt;&gt;'📝 Four-tier กรอก'!BX6,'📝 Four-tier กรอก'!BY30="Y",'📝 Four-tier กรอก'!BZ30&lt;&gt;'📝 Four-tier กรอก'!BZ6,'📝 Four-tier กรอก'!CA30="Y"),"❌ Misc.",IF(AND('📝 Four-tier กรอก'!BX30&lt;&gt;'📝 Four-tier กรอก'!BX6,'📝 Four-tier กรอก'!BY30="N",'📝 Four-tier กรอก'!BZ30&lt;&gt;'📝 Four-tier กรอก'!BZ6,'📝 Four-tier กรอก'!CA30="N"),"❓ NoK","🤔 Partial")))))</f>
        <v/>
      </c>
      <c r="W28" s="68">
        <f>IF(OR('📝 Four-tier กรอก'!CB30="",'📝 Four-tier กรอก'!CD30=""),"—",IF(AND('📝 Four-tier กรอก'!CB30='📝 Four-tier กรอก'!CB6,'📝 Four-tier กรอก'!CC30="Y",'📝 Four-tier กรอก'!CD30='📝 Four-tier กรอก'!CD6,'📝 Four-tier กรอก'!CE30="Y"),"✅ Sound",IF(AND('📝 Four-tier กรอก'!CB30='📝 Four-tier กรอก'!CB6,'📝 Four-tier กรอก'!CC30="Y",'📝 Four-tier กรอก'!CD30&lt;&gt;'📝 Four-tier กรอก'!CD6,'📝 Four-tier กรอก'!CE30="Y"),"🎲 Guess",IF(AND('📝 Four-tier กรอก'!CB30&lt;&gt;'📝 Four-tier กรอก'!CB6,'📝 Four-tier กรอก'!CC30="Y",'📝 Four-tier กรอก'!CD30&lt;&gt;'📝 Four-tier กรอก'!CD6,'📝 Four-tier กรอก'!CE30="Y"),"❌ Misc.",IF(AND('📝 Four-tier กรอก'!CB30&lt;&gt;'📝 Four-tier กรอก'!CB6,'📝 Four-tier กรอก'!CC30="N",'📝 Four-tier กรอก'!CD30&lt;&gt;'📝 Four-tier กรอก'!CD6,'📝 Four-tier กรอก'!CE30="N"),"❓ NoK","🤔 Partial")))))</f>
        <v/>
      </c>
      <c r="X28" s="37">
        <f>COUNTIF(D28:W28,"✅ Sound")</f>
        <v/>
      </c>
      <c r="Y28" s="37">
        <f>COUNTIF(D28:W28,"❌ Misc.")</f>
        <v/>
      </c>
      <c r="Z28" s="37">
        <f>COUNTIF(D28:W28,"🎲 Guess")</f>
        <v/>
      </c>
      <c r="AA28" s="37">
        <f>COUNTIF(D28:W28,"❓ NoK")</f>
        <v/>
      </c>
    </row>
    <row r="29" ht="18" customHeight="1">
      <c r="B29" s="46">
        <f>'📝 Four-tier กรอก'!B31</f>
        <v/>
      </c>
      <c r="C29" s="47">
        <f>'📝 Four-tier กรอก'!C31</f>
        <v/>
      </c>
      <c r="D29" s="67">
        <f>IF(OR('📝 Four-tier กรอก'!D31="",'📝 Four-tier กรอก'!F31=""),"—",IF(AND('📝 Four-tier กรอก'!D31='📝 Four-tier กรอก'!D6,'📝 Four-tier กรอก'!E31="Y",'📝 Four-tier กรอก'!F31='📝 Four-tier กรอก'!F6,'📝 Four-tier กรอก'!G31="Y"),"✅ Sound",IF(AND('📝 Four-tier กรอก'!D31='📝 Four-tier กรอก'!D6,'📝 Four-tier กรอก'!E31="Y",'📝 Four-tier กรอก'!F31&lt;&gt;'📝 Four-tier กรอก'!F6,'📝 Four-tier กรอก'!G31="Y"),"🎲 Guess",IF(AND('📝 Four-tier กรอก'!D31&lt;&gt;'📝 Four-tier กรอก'!D6,'📝 Four-tier กรอก'!E31="Y",'📝 Four-tier กรอก'!F31&lt;&gt;'📝 Four-tier กรอก'!F6,'📝 Four-tier กรอก'!G31="Y"),"❌ Misc.",IF(AND('📝 Four-tier กรอก'!D31&lt;&gt;'📝 Four-tier กรอก'!D6,'📝 Four-tier กรอก'!E31="N",'📝 Four-tier กรอก'!F31&lt;&gt;'📝 Four-tier กรอก'!F6,'📝 Four-tier กรอก'!G31="N"),"❓ NoK","🤔 Partial")))))</f>
        <v/>
      </c>
      <c r="E29" s="67">
        <f>IF(OR('📝 Four-tier กรอก'!H31="",'📝 Four-tier กรอก'!J31=""),"—",IF(AND('📝 Four-tier กรอก'!H31='📝 Four-tier กรอก'!H6,'📝 Four-tier กรอก'!I31="Y",'📝 Four-tier กรอก'!J31='📝 Four-tier กรอก'!J6,'📝 Four-tier กรอก'!K31="Y"),"✅ Sound",IF(AND('📝 Four-tier กรอก'!H31='📝 Four-tier กรอก'!H6,'📝 Four-tier กรอก'!I31="Y",'📝 Four-tier กรอก'!J31&lt;&gt;'📝 Four-tier กรอก'!J6,'📝 Four-tier กรอก'!K31="Y"),"🎲 Guess",IF(AND('📝 Four-tier กรอก'!H31&lt;&gt;'📝 Four-tier กรอก'!H6,'📝 Four-tier กรอก'!I31="Y",'📝 Four-tier กรอก'!J31&lt;&gt;'📝 Four-tier กรอก'!J6,'📝 Four-tier กรอก'!K31="Y"),"❌ Misc.",IF(AND('📝 Four-tier กรอก'!H31&lt;&gt;'📝 Four-tier กรอก'!H6,'📝 Four-tier กรอก'!I31="N",'📝 Four-tier กรอก'!J31&lt;&gt;'📝 Four-tier กรอก'!J6,'📝 Four-tier กรอก'!K31="N"),"❓ NoK","🤔 Partial")))))</f>
        <v/>
      </c>
      <c r="F29" s="67">
        <f>IF(OR('📝 Four-tier กรอก'!L31="",'📝 Four-tier กรอก'!N31=""),"—",IF(AND('📝 Four-tier กรอก'!L31='📝 Four-tier กรอก'!L6,'📝 Four-tier กรอก'!M31="Y",'📝 Four-tier กรอก'!N31='📝 Four-tier กรอก'!N6,'📝 Four-tier กรอก'!O31="Y"),"✅ Sound",IF(AND('📝 Four-tier กรอก'!L31='📝 Four-tier กรอก'!L6,'📝 Four-tier กรอก'!M31="Y",'📝 Four-tier กรอก'!N31&lt;&gt;'📝 Four-tier กรอก'!N6,'📝 Four-tier กรอก'!O31="Y"),"🎲 Guess",IF(AND('📝 Four-tier กรอก'!L31&lt;&gt;'📝 Four-tier กรอก'!L6,'📝 Four-tier กรอก'!M31="Y",'📝 Four-tier กรอก'!N31&lt;&gt;'📝 Four-tier กรอก'!N6,'📝 Four-tier กรอก'!O31="Y"),"❌ Misc.",IF(AND('📝 Four-tier กรอก'!L31&lt;&gt;'📝 Four-tier กรอก'!L6,'📝 Four-tier กรอก'!M31="N",'📝 Four-tier กรอก'!N31&lt;&gt;'📝 Four-tier กรอก'!N6,'📝 Four-tier กรอก'!O31="N"),"❓ NoK","🤔 Partial")))))</f>
        <v/>
      </c>
      <c r="G29" s="67">
        <f>IF(OR('📝 Four-tier กรอก'!P31="",'📝 Four-tier กรอก'!R31=""),"—",IF(AND('📝 Four-tier กรอก'!P31='📝 Four-tier กรอก'!P6,'📝 Four-tier กรอก'!Q31="Y",'📝 Four-tier กรอก'!R31='📝 Four-tier กรอก'!R6,'📝 Four-tier กรอก'!S31="Y"),"✅ Sound",IF(AND('📝 Four-tier กรอก'!P31='📝 Four-tier กรอก'!P6,'📝 Four-tier กรอก'!Q31="Y",'📝 Four-tier กรอก'!R31&lt;&gt;'📝 Four-tier กรอก'!R6,'📝 Four-tier กรอก'!S31="Y"),"🎲 Guess",IF(AND('📝 Four-tier กรอก'!P31&lt;&gt;'📝 Four-tier กรอก'!P6,'📝 Four-tier กรอก'!Q31="Y",'📝 Four-tier กรอก'!R31&lt;&gt;'📝 Four-tier กรอก'!R6,'📝 Four-tier กรอก'!S31="Y"),"❌ Misc.",IF(AND('📝 Four-tier กรอก'!P31&lt;&gt;'📝 Four-tier กรอก'!P6,'📝 Four-tier กรอก'!Q31="N",'📝 Four-tier กรอก'!R31&lt;&gt;'📝 Four-tier กรอก'!R6,'📝 Four-tier กรอก'!S31="N"),"❓ NoK","🤔 Partial")))))</f>
        <v/>
      </c>
      <c r="H29" s="67">
        <f>IF(OR('📝 Four-tier กรอก'!T31="",'📝 Four-tier กรอก'!V31=""),"—",IF(AND('📝 Four-tier กรอก'!T31='📝 Four-tier กรอก'!T6,'📝 Four-tier กรอก'!U31="Y",'📝 Four-tier กรอก'!V31='📝 Four-tier กรอก'!V6,'📝 Four-tier กรอก'!W31="Y"),"✅ Sound",IF(AND('📝 Four-tier กรอก'!T31='📝 Four-tier กรอก'!T6,'📝 Four-tier กรอก'!U31="Y",'📝 Four-tier กรอก'!V31&lt;&gt;'📝 Four-tier กรอก'!V6,'📝 Four-tier กรอก'!W31="Y"),"🎲 Guess",IF(AND('📝 Four-tier กรอก'!T31&lt;&gt;'📝 Four-tier กรอก'!T6,'📝 Four-tier กรอก'!U31="Y",'📝 Four-tier กรอก'!V31&lt;&gt;'📝 Four-tier กรอก'!V6,'📝 Four-tier กรอก'!W31="Y"),"❌ Misc.",IF(AND('📝 Four-tier กรอก'!T31&lt;&gt;'📝 Four-tier กรอก'!T6,'📝 Four-tier กรอก'!U31="N",'📝 Four-tier กรอก'!V31&lt;&gt;'📝 Four-tier กรอก'!V6,'📝 Four-tier กรอก'!W31="N"),"❓ NoK","🤔 Partial")))))</f>
        <v/>
      </c>
      <c r="I29" s="67">
        <f>IF(OR('📝 Four-tier กรอก'!X31="",'📝 Four-tier กรอก'!Z31=""),"—",IF(AND('📝 Four-tier กรอก'!X31='📝 Four-tier กรอก'!X6,'📝 Four-tier กรอก'!Y31="Y",'📝 Four-tier กรอก'!Z31='📝 Four-tier กรอก'!Z6,'📝 Four-tier กรอก'!AA31="Y"),"✅ Sound",IF(AND('📝 Four-tier กรอก'!X31='📝 Four-tier กรอก'!X6,'📝 Four-tier กรอก'!Y31="Y",'📝 Four-tier กรอก'!Z31&lt;&gt;'📝 Four-tier กรอก'!Z6,'📝 Four-tier กรอก'!AA31="Y"),"🎲 Guess",IF(AND('📝 Four-tier กรอก'!X31&lt;&gt;'📝 Four-tier กรอก'!X6,'📝 Four-tier กรอก'!Y31="Y",'📝 Four-tier กรอก'!Z31&lt;&gt;'📝 Four-tier กรอก'!Z6,'📝 Four-tier กรอก'!AA31="Y"),"❌ Misc.",IF(AND('📝 Four-tier กรอก'!X31&lt;&gt;'📝 Four-tier กรอก'!X6,'📝 Four-tier กรอก'!Y31="N",'📝 Four-tier กรอก'!Z31&lt;&gt;'📝 Four-tier กรอก'!Z6,'📝 Four-tier กรอก'!AA31="N"),"❓ NoK","🤔 Partial")))))</f>
        <v/>
      </c>
      <c r="J29" s="67">
        <f>IF(OR('📝 Four-tier กรอก'!AB31="",'📝 Four-tier กรอก'!AD31=""),"—",IF(AND('📝 Four-tier กรอก'!AB31='📝 Four-tier กรอก'!AB6,'📝 Four-tier กรอก'!AC31="Y",'📝 Four-tier กรอก'!AD31='📝 Four-tier กรอก'!AD6,'📝 Four-tier กรอก'!AE31="Y"),"✅ Sound",IF(AND('📝 Four-tier กรอก'!AB31='📝 Four-tier กรอก'!AB6,'📝 Four-tier กรอก'!AC31="Y",'📝 Four-tier กรอก'!AD31&lt;&gt;'📝 Four-tier กรอก'!AD6,'📝 Four-tier กรอก'!AE31="Y"),"🎲 Guess",IF(AND('📝 Four-tier กรอก'!AB31&lt;&gt;'📝 Four-tier กรอก'!AB6,'📝 Four-tier กรอก'!AC31="Y",'📝 Four-tier กรอก'!AD31&lt;&gt;'📝 Four-tier กรอก'!AD6,'📝 Four-tier กรอก'!AE31="Y"),"❌ Misc.",IF(AND('📝 Four-tier กรอก'!AB31&lt;&gt;'📝 Four-tier กรอก'!AB6,'📝 Four-tier กรอก'!AC31="N",'📝 Four-tier กรอก'!AD31&lt;&gt;'📝 Four-tier กรอก'!AD6,'📝 Four-tier กรอก'!AE31="N"),"❓ NoK","🤔 Partial")))))</f>
        <v/>
      </c>
      <c r="K29" s="67">
        <f>IF(OR('📝 Four-tier กรอก'!AF31="",'📝 Four-tier กรอก'!AH31=""),"—",IF(AND('📝 Four-tier กรอก'!AF31='📝 Four-tier กรอก'!AF6,'📝 Four-tier กรอก'!AG31="Y",'📝 Four-tier กรอก'!AH31='📝 Four-tier กรอก'!AH6,'📝 Four-tier กรอก'!AI31="Y"),"✅ Sound",IF(AND('📝 Four-tier กรอก'!AF31='📝 Four-tier กรอก'!AF6,'📝 Four-tier กรอก'!AG31="Y",'📝 Four-tier กรอก'!AH31&lt;&gt;'📝 Four-tier กรอก'!AH6,'📝 Four-tier กรอก'!AI31="Y"),"🎲 Guess",IF(AND('📝 Four-tier กรอก'!AF31&lt;&gt;'📝 Four-tier กรอก'!AF6,'📝 Four-tier กรอก'!AG31="Y",'📝 Four-tier กรอก'!AH31&lt;&gt;'📝 Four-tier กรอก'!AH6,'📝 Four-tier กรอก'!AI31="Y"),"❌ Misc.",IF(AND('📝 Four-tier กรอก'!AF31&lt;&gt;'📝 Four-tier กรอก'!AF6,'📝 Four-tier กรอก'!AG31="N",'📝 Four-tier กรอก'!AH31&lt;&gt;'📝 Four-tier กรอก'!AH6,'📝 Four-tier กรอก'!AI31="N"),"❓ NoK","🤔 Partial")))))</f>
        <v/>
      </c>
      <c r="L29" s="67">
        <f>IF(OR('📝 Four-tier กรอก'!AJ31="",'📝 Four-tier กรอก'!AL31=""),"—",IF(AND('📝 Four-tier กรอก'!AJ31='📝 Four-tier กรอก'!AJ6,'📝 Four-tier กรอก'!AK31="Y",'📝 Four-tier กรอก'!AL31='📝 Four-tier กรอก'!AL6,'📝 Four-tier กรอก'!AM31="Y"),"✅ Sound",IF(AND('📝 Four-tier กรอก'!AJ31='📝 Four-tier กรอก'!AJ6,'📝 Four-tier กรอก'!AK31="Y",'📝 Four-tier กรอก'!AL31&lt;&gt;'📝 Four-tier กรอก'!AL6,'📝 Four-tier กรอก'!AM31="Y"),"🎲 Guess",IF(AND('📝 Four-tier กรอก'!AJ31&lt;&gt;'📝 Four-tier กรอก'!AJ6,'📝 Four-tier กรอก'!AK31="Y",'📝 Four-tier กรอก'!AL31&lt;&gt;'📝 Four-tier กรอก'!AL6,'📝 Four-tier กรอก'!AM31="Y"),"❌ Misc.",IF(AND('📝 Four-tier กรอก'!AJ31&lt;&gt;'📝 Four-tier กรอก'!AJ6,'📝 Four-tier กรอก'!AK31="N",'📝 Four-tier กรอก'!AL31&lt;&gt;'📝 Four-tier กรอก'!AL6,'📝 Four-tier กรอก'!AM31="N"),"❓ NoK","🤔 Partial")))))</f>
        <v/>
      </c>
      <c r="M29" s="67">
        <f>IF(OR('📝 Four-tier กรอก'!AN31="",'📝 Four-tier กรอก'!AP31=""),"—",IF(AND('📝 Four-tier กรอก'!AN31='📝 Four-tier กรอก'!AN6,'📝 Four-tier กรอก'!AO31="Y",'📝 Four-tier กรอก'!AP31='📝 Four-tier กรอก'!AP6,'📝 Four-tier กรอก'!AQ31="Y"),"✅ Sound",IF(AND('📝 Four-tier กรอก'!AN31='📝 Four-tier กรอก'!AN6,'📝 Four-tier กรอก'!AO31="Y",'📝 Four-tier กรอก'!AP31&lt;&gt;'📝 Four-tier กรอก'!AP6,'📝 Four-tier กรอก'!AQ31="Y"),"🎲 Guess",IF(AND('📝 Four-tier กรอก'!AN31&lt;&gt;'📝 Four-tier กรอก'!AN6,'📝 Four-tier กรอก'!AO31="Y",'📝 Four-tier กรอก'!AP31&lt;&gt;'📝 Four-tier กรอก'!AP6,'📝 Four-tier กรอก'!AQ31="Y"),"❌ Misc.",IF(AND('📝 Four-tier กรอก'!AN31&lt;&gt;'📝 Four-tier กรอก'!AN6,'📝 Four-tier กรอก'!AO31="N",'📝 Four-tier กรอก'!AP31&lt;&gt;'📝 Four-tier กรอก'!AP6,'📝 Four-tier กรอก'!AQ31="N"),"❓ NoK","🤔 Partial")))))</f>
        <v/>
      </c>
      <c r="N29" s="67">
        <f>IF(OR('📝 Four-tier กรอก'!AR31="",'📝 Four-tier กรอก'!AT31=""),"—",IF(AND('📝 Four-tier กรอก'!AR31='📝 Four-tier กรอก'!AR6,'📝 Four-tier กรอก'!AS31="Y",'📝 Four-tier กรอก'!AT31='📝 Four-tier กรอก'!AT6,'📝 Four-tier กรอก'!AU31="Y"),"✅ Sound",IF(AND('📝 Four-tier กรอก'!AR31='📝 Four-tier กรอก'!AR6,'📝 Four-tier กรอก'!AS31="Y",'📝 Four-tier กรอก'!AT31&lt;&gt;'📝 Four-tier กรอก'!AT6,'📝 Four-tier กรอก'!AU31="Y"),"🎲 Guess",IF(AND('📝 Four-tier กรอก'!AR31&lt;&gt;'📝 Four-tier กรอก'!AR6,'📝 Four-tier กรอก'!AS31="Y",'📝 Four-tier กรอก'!AT31&lt;&gt;'📝 Four-tier กรอก'!AT6,'📝 Four-tier กรอก'!AU31="Y"),"❌ Misc.",IF(AND('📝 Four-tier กรอก'!AR31&lt;&gt;'📝 Four-tier กรอก'!AR6,'📝 Four-tier กรอก'!AS31="N",'📝 Four-tier กรอก'!AT31&lt;&gt;'📝 Four-tier กรอก'!AT6,'📝 Four-tier กรอก'!AU31="N"),"❓ NoK","🤔 Partial")))))</f>
        <v/>
      </c>
      <c r="O29" s="67">
        <f>IF(OR('📝 Four-tier กรอก'!AV31="",'📝 Four-tier กรอก'!AX31=""),"—",IF(AND('📝 Four-tier กรอก'!AV31='📝 Four-tier กรอก'!AV6,'📝 Four-tier กรอก'!AW31="Y",'📝 Four-tier กรอก'!AX31='📝 Four-tier กรอก'!AX6,'📝 Four-tier กรอก'!AY31="Y"),"✅ Sound",IF(AND('📝 Four-tier กรอก'!AV31='📝 Four-tier กรอก'!AV6,'📝 Four-tier กรอก'!AW31="Y",'📝 Four-tier กรอก'!AX31&lt;&gt;'📝 Four-tier กรอก'!AX6,'📝 Four-tier กรอก'!AY31="Y"),"🎲 Guess",IF(AND('📝 Four-tier กรอก'!AV31&lt;&gt;'📝 Four-tier กรอก'!AV6,'📝 Four-tier กรอก'!AW31="Y",'📝 Four-tier กรอก'!AX31&lt;&gt;'📝 Four-tier กรอก'!AX6,'📝 Four-tier กรอก'!AY31="Y"),"❌ Misc.",IF(AND('📝 Four-tier กรอก'!AV31&lt;&gt;'📝 Four-tier กรอก'!AV6,'📝 Four-tier กรอก'!AW31="N",'📝 Four-tier กรอก'!AX31&lt;&gt;'📝 Four-tier กรอก'!AX6,'📝 Four-tier กรอก'!AY31="N"),"❓ NoK","🤔 Partial")))))</f>
        <v/>
      </c>
      <c r="P29" s="67">
        <f>IF(OR('📝 Four-tier กรอก'!AZ31="",'📝 Four-tier กรอก'!BB31=""),"—",IF(AND('📝 Four-tier กรอก'!AZ31='📝 Four-tier กรอก'!AZ6,'📝 Four-tier กรอก'!BA31="Y",'📝 Four-tier กรอก'!BB31='📝 Four-tier กรอก'!BB6,'📝 Four-tier กรอก'!BC31="Y"),"✅ Sound",IF(AND('📝 Four-tier กรอก'!AZ31='📝 Four-tier กรอก'!AZ6,'📝 Four-tier กรอก'!BA31="Y",'📝 Four-tier กรอก'!BB31&lt;&gt;'📝 Four-tier กรอก'!BB6,'📝 Four-tier กรอก'!BC31="Y"),"🎲 Guess",IF(AND('📝 Four-tier กรอก'!AZ31&lt;&gt;'📝 Four-tier กรอก'!AZ6,'📝 Four-tier กรอก'!BA31="Y",'📝 Four-tier กรอก'!BB31&lt;&gt;'📝 Four-tier กรอก'!BB6,'📝 Four-tier กรอก'!BC31="Y"),"❌ Misc.",IF(AND('📝 Four-tier กรอก'!AZ31&lt;&gt;'📝 Four-tier กรอก'!AZ6,'📝 Four-tier กรอก'!BA31="N",'📝 Four-tier กรอก'!BB31&lt;&gt;'📝 Four-tier กรอก'!BB6,'📝 Four-tier กรอก'!BC31="N"),"❓ NoK","🤔 Partial")))))</f>
        <v/>
      </c>
      <c r="Q29" s="67">
        <f>IF(OR('📝 Four-tier กรอก'!BD31="",'📝 Four-tier กรอก'!BF31=""),"—",IF(AND('📝 Four-tier กรอก'!BD31='📝 Four-tier กรอก'!BD6,'📝 Four-tier กรอก'!BE31="Y",'📝 Four-tier กรอก'!BF31='📝 Four-tier กรอก'!BF6,'📝 Four-tier กรอก'!BG31="Y"),"✅ Sound",IF(AND('📝 Four-tier กรอก'!BD31='📝 Four-tier กรอก'!BD6,'📝 Four-tier กรอก'!BE31="Y",'📝 Four-tier กรอก'!BF31&lt;&gt;'📝 Four-tier กรอก'!BF6,'📝 Four-tier กรอก'!BG31="Y"),"🎲 Guess",IF(AND('📝 Four-tier กรอก'!BD31&lt;&gt;'📝 Four-tier กรอก'!BD6,'📝 Four-tier กรอก'!BE31="Y",'📝 Four-tier กรอก'!BF31&lt;&gt;'📝 Four-tier กรอก'!BF6,'📝 Four-tier กรอก'!BG31="Y"),"❌ Misc.",IF(AND('📝 Four-tier กรอก'!BD31&lt;&gt;'📝 Four-tier กรอก'!BD6,'📝 Four-tier กรอก'!BE31="N",'📝 Four-tier กรอก'!BF31&lt;&gt;'📝 Four-tier กรอก'!BF6,'📝 Four-tier กรอก'!BG31="N"),"❓ NoK","🤔 Partial")))))</f>
        <v/>
      </c>
      <c r="R29" s="67">
        <f>IF(OR('📝 Four-tier กรอก'!BH31="",'📝 Four-tier กรอก'!BJ31=""),"—",IF(AND('📝 Four-tier กรอก'!BH31='📝 Four-tier กรอก'!BH6,'📝 Four-tier กรอก'!BI31="Y",'📝 Four-tier กรอก'!BJ31='📝 Four-tier กรอก'!BJ6,'📝 Four-tier กรอก'!BK31="Y"),"✅ Sound",IF(AND('📝 Four-tier กรอก'!BH31='📝 Four-tier กรอก'!BH6,'📝 Four-tier กรอก'!BI31="Y",'📝 Four-tier กรอก'!BJ31&lt;&gt;'📝 Four-tier กรอก'!BJ6,'📝 Four-tier กรอก'!BK31="Y"),"🎲 Guess",IF(AND('📝 Four-tier กรอก'!BH31&lt;&gt;'📝 Four-tier กรอก'!BH6,'📝 Four-tier กรอก'!BI31="Y",'📝 Four-tier กรอก'!BJ31&lt;&gt;'📝 Four-tier กรอก'!BJ6,'📝 Four-tier กรอก'!BK31="Y"),"❌ Misc.",IF(AND('📝 Four-tier กรอก'!BH31&lt;&gt;'📝 Four-tier กรอก'!BH6,'📝 Four-tier กรอก'!BI31="N",'📝 Four-tier กรอก'!BJ31&lt;&gt;'📝 Four-tier กรอก'!BJ6,'📝 Four-tier กรอก'!BK31="N"),"❓ NoK","🤔 Partial")))))</f>
        <v/>
      </c>
      <c r="S29" s="67">
        <f>IF(OR('📝 Four-tier กรอก'!BL31="",'📝 Four-tier กรอก'!BN31=""),"—",IF(AND('📝 Four-tier กรอก'!BL31='📝 Four-tier กรอก'!BL6,'📝 Four-tier กรอก'!BM31="Y",'📝 Four-tier กรอก'!BN31='📝 Four-tier กรอก'!BN6,'📝 Four-tier กรอก'!BO31="Y"),"✅ Sound",IF(AND('📝 Four-tier กรอก'!BL31='📝 Four-tier กรอก'!BL6,'📝 Four-tier กรอก'!BM31="Y",'📝 Four-tier กรอก'!BN31&lt;&gt;'📝 Four-tier กรอก'!BN6,'📝 Four-tier กรอก'!BO31="Y"),"🎲 Guess",IF(AND('📝 Four-tier กรอก'!BL31&lt;&gt;'📝 Four-tier กรอก'!BL6,'📝 Four-tier กรอก'!BM31="Y",'📝 Four-tier กรอก'!BN31&lt;&gt;'📝 Four-tier กรอก'!BN6,'📝 Four-tier กรอก'!BO31="Y"),"❌ Misc.",IF(AND('📝 Four-tier กรอก'!BL31&lt;&gt;'📝 Four-tier กรอก'!BL6,'📝 Four-tier กรอก'!BM31="N",'📝 Four-tier กรอก'!BN31&lt;&gt;'📝 Four-tier กรอก'!BN6,'📝 Four-tier กรอก'!BO31="N"),"❓ NoK","🤔 Partial")))))</f>
        <v/>
      </c>
      <c r="T29" s="67">
        <f>IF(OR('📝 Four-tier กรอก'!BP31="",'📝 Four-tier กรอก'!BR31=""),"—",IF(AND('📝 Four-tier กรอก'!BP31='📝 Four-tier กรอก'!BP6,'📝 Four-tier กรอก'!BQ31="Y",'📝 Four-tier กรอก'!BR31='📝 Four-tier กรอก'!BR6,'📝 Four-tier กรอก'!BS31="Y"),"✅ Sound",IF(AND('📝 Four-tier กรอก'!BP31='📝 Four-tier กรอก'!BP6,'📝 Four-tier กรอก'!BQ31="Y",'📝 Four-tier กรอก'!BR31&lt;&gt;'📝 Four-tier กรอก'!BR6,'📝 Four-tier กรอก'!BS31="Y"),"🎲 Guess",IF(AND('📝 Four-tier กรอก'!BP31&lt;&gt;'📝 Four-tier กรอก'!BP6,'📝 Four-tier กรอก'!BQ31="Y",'📝 Four-tier กรอก'!BR31&lt;&gt;'📝 Four-tier กรอก'!BR6,'📝 Four-tier กรอก'!BS31="Y"),"❌ Misc.",IF(AND('📝 Four-tier กรอก'!BP31&lt;&gt;'📝 Four-tier กรอก'!BP6,'📝 Four-tier กรอก'!BQ31="N",'📝 Four-tier กรอก'!BR31&lt;&gt;'📝 Four-tier กรอก'!BR6,'📝 Four-tier กรอก'!BS31="N"),"❓ NoK","🤔 Partial")))))</f>
        <v/>
      </c>
      <c r="U29" s="67">
        <f>IF(OR('📝 Four-tier กรอก'!BT31="",'📝 Four-tier กรอก'!BV31=""),"—",IF(AND('📝 Four-tier กรอก'!BT31='📝 Four-tier กรอก'!BT6,'📝 Four-tier กรอก'!BU31="Y",'📝 Four-tier กรอก'!BV31='📝 Four-tier กรอก'!BV6,'📝 Four-tier กรอก'!BW31="Y"),"✅ Sound",IF(AND('📝 Four-tier กรอก'!BT31='📝 Four-tier กรอก'!BT6,'📝 Four-tier กรอก'!BU31="Y",'📝 Four-tier กรอก'!BV31&lt;&gt;'📝 Four-tier กรอก'!BV6,'📝 Four-tier กรอก'!BW31="Y"),"🎲 Guess",IF(AND('📝 Four-tier กรอก'!BT31&lt;&gt;'📝 Four-tier กรอก'!BT6,'📝 Four-tier กรอก'!BU31="Y",'📝 Four-tier กรอก'!BV31&lt;&gt;'📝 Four-tier กรอก'!BV6,'📝 Four-tier กรอก'!BW31="Y"),"❌ Misc.",IF(AND('📝 Four-tier กรอก'!BT31&lt;&gt;'📝 Four-tier กรอก'!BT6,'📝 Four-tier กรอก'!BU31="N",'📝 Four-tier กรอก'!BV31&lt;&gt;'📝 Four-tier กรอก'!BV6,'📝 Four-tier กรอก'!BW31="N"),"❓ NoK","🤔 Partial")))))</f>
        <v/>
      </c>
      <c r="V29" s="67">
        <f>IF(OR('📝 Four-tier กรอก'!BX31="",'📝 Four-tier กรอก'!BZ31=""),"—",IF(AND('📝 Four-tier กรอก'!BX31='📝 Four-tier กรอก'!BX6,'📝 Four-tier กรอก'!BY31="Y",'📝 Four-tier กรอก'!BZ31='📝 Four-tier กรอก'!BZ6,'📝 Four-tier กรอก'!CA31="Y"),"✅ Sound",IF(AND('📝 Four-tier กรอก'!BX31='📝 Four-tier กรอก'!BX6,'📝 Four-tier กรอก'!BY31="Y",'📝 Four-tier กรอก'!BZ31&lt;&gt;'📝 Four-tier กรอก'!BZ6,'📝 Four-tier กรอก'!CA31="Y"),"🎲 Guess",IF(AND('📝 Four-tier กรอก'!BX31&lt;&gt;'📝 Four-tier กรอก'!BX6,'📝 Four-tier กรอก'!BY31="Y",'📝 Four-tier กรอก'!BZ31&lt;&gt;'📝 Four-tier กรอก'!BZ6,'📝 Four-tier กรอก'!CA31="Y"),"❌ Misc.",IF(AND('📝 Four-tier กรอก'!BX31&lt;&gt;'📝 Four-tier กรอก'!BX6,'📝 Four-tier กรอก'!BY31="N",'📝 Four-tier กรอก'!BZ31&lt;&gt;'📝 Four-tier กรอก'!BZ6,'📝 Four-tier กรอก'!CA31="N"),"❓ NoK","🤔 Partial")))))</f>
        <v/>
      </c>
      <c r="W29" s="67">
        <f>IF(OR('📝 Four-tier กรอก'!CB31="",'📝 Four-tier กรอก'!CD31=""),"—",IF(AND('📝 Four-tier กรอก'!CB31='📝 Four-tier กรอก'!CB6,'📝 Four-tier กรอก'!CC31="Y",'📝 Four-tier กรอก'!CD31='📝 Four-tier กรอก'!CD6,'📝 Four-tier กรอก'!CE31="Y"),"✅ Sound",IF(AND('📝 Four-tier กรอก'!CB31='📝 Four-tier กรอก'!CB6,'📝 Four-tier กรอก'!CC31="Y",'📝 Four-tier กรอก'!CD31&lt;&gt;'📝 Four-tier กรอก'!CD6,'📝 Four-tier กรอก'!CE31="Y"),"🎲 Guess",IF(AND('📝 Four-tier กรอก'!CB31&lt;&gt;'📝 Four-tier กรอก'!CB6,'📝 Four-tier กรอก'!CC31="Y",'📝 Four-tier กรอก'!CD31&lt;&gt;'📝 Four-tier กรอก'!CD6,'📝 Four-tier กรอก'!CE31="Y"),"❌ Misc.",IF(AND('📝 Four-tier กรอก'!CB31&lt;&gt;'📝 Four-tier กรอก'!CB6,'📝 Four-tier กรอก'!CC31="N",'📝 Four-tier กรอก'!CD31&lt;&gt;'📝 Four-tier กรอก'!CD6,'📝 Four-tier กรอก'!CE31="N"),"❓ NoK","🤔 Partial")))))</f>
        <v/>
      </c>
      <c r="X29" s="37">
        <f>COUNTIF(D29:W29,"✅ Sound")</f>
        <v/>
      </c>
      <c r="Y29" s="37">
        <f>COUNTIF(D29:W29,"❌ Misc.")</f>
        <v/>
      </c>
      <c r="Z29" s="37">
        <f>COUNTIF(D29:W29,"🎲 Guess")</f>
        <v/>
      </c>
      <c r="AA29" s="37">
        <f>COUNTIF(D29:W29,"❓ NoK")</f>
        <v/>
      </c>
    </row>
    <row r="30" ht="18" customHeight="1">
      <c r="B30" s="46">
        <f>'📝 Four-tier กรอก'!B32</f>
        <v/>
      </c>
      <c r="C30" s="51">
        <f>'📝 Four-tier กรอก'!C32</f>
        <v/>
      </c>
      <c r="D30" s="68">
        <f>IF(OR('📝 Four-tier กรอก'!D32="",'📝 Four-tier กรอก'!F32=""),"—",IF(AND('📝 Four-tier กรอก'!D32='📝 Four-tier กรอก'!D6,'📝 Four-tier กรอก'!E32="Y",'📝 Four-tier กรอก'!F32='📝 Four-tier กรอก'!F6,'📝 Four-tier กรอก'!G32="Y"),"✅ Sound",IF(AND('📝 Four-tier กรอก'!D32='📝 Four-tier กรอก'!D6,'📝 Four-tier กรอก'!E32="Y",'📝 Four-tier กรอก'!F32&lt;&gt;'📝 Four-tier กรอก'!F6,'📝 Four-tier กรอก'!G32="Y"),"🎲 Guess",IF(AND('📝 Four-tier กรอก'!D32&lt;&gt;'📝 Four-tier กรอก'!D6,'📝 Four-tier กรอก'!E32="Y",'📝 Four-tier กรอก'!F32&lt;&gt;'📝 Four-tier กรอก'!F6,'📝 Four-tier กรอก'!G32="Y"),"❌ Misc.",IF(AND('📝 Four-tier กรอก'!D32&lt;&gt;'📝 Four-tier กรอก'!D6,'📝 Four-tier กรอก'!E32="N",'📝 Four-tier กรอก'!F32&lt;&gt;'📝 Four-tier กรอก'!F6,'📝 Four-tier กรอก'!G32="N"),"❓ NoK","🤔 Partial")))))</f>
        <v/>
      </c>
      <c r="E30" s="68">
        <f>IF(OR('📝 Four-tier กรอก'!H32="",'📝 Four-tier กรอก'!J32=""),"—",IF(AND('📝 Four-tier กรอก'!H32='📝 Four-tier กรอก'!H6,'📝 Four-tier กรอก'!I32="Y",'📝 Four-tier กรอก'!J32='📝 Four-tier กรอก'!J6,'📝 Four-tier กรอก'!K32="Y"),"✅ Sound",IF(AND('📝 Four-tier กรอก'!H32='📝 Four-tier กรอก'!H6,'📝 Four-tier กรอก'!I32="Y",'📝 Four-tier กรอก'!J32&lt;&gt;'📝 Four-tier กรอก'!J6,'📝 Four-tier กรอก'!K32="Y"),"🎲 Guess",IF(AND('📝 Four-tier กรอก'!H32&lt;&gt;'📝 Four-tier กรอก'!H6,'📝 Four-tier กรอก'!I32="Y",'📝 Four-tier กรอก'!J32&lt;&gt;'📝 Four-tier กรอก'!J6,'📝 Four-tier กรอก'!K32="Y"),"❌ Misc.",IF(AND('📝 Four-tier กรอก'!H32&lt;&gt;'📝 Four-tier กรอก'!H6,'📝 Four-tier กรอก'!I32="N",'📝 Four-tier กรอก'!J32&lt;&gt;'📝 Four-tier กรอก'!J6,'📝 Four-tier กรอก'!K32="N"),"❓ NoK","🤔 Partial")))))</f>
        <v/>
      </c>
      <c r="F30" s="68">
        <f>IF(OR('📝 Four-tier กรอก'!L32="",'📝 Four-tier กรอก'!N32=""),"—",IF(AND('📝 Four-tier กรอก'!L32='📝 Four-tier กรอก'!L6,'📝 Four-tier กรอก'!M32="Y",'📝 Four-tier กรอก'!N32='📝 Four-tier กรอก'!N6,'📝 Four-tier กรอก'!O32="Y"),"✅ Sound",IF(AND('📝 Four-tier กรอก'!L32='📝 Four-tier กรอก'!L6,'📝 Four-tier กรอก'!M32="Y",'📝 Four-tier กรอก'!N32&lt;&gt;'📝 Four-tier กรอก'!N6,'📝 Four-tier กรอก'!O32="Y"),"🎲 Guess",IF(AND('📝 Four-tier กรอก'!L32&lt;&gt;'📝 Four-tier กรอก'!L6,'📝 Four-tier กรอก'!M32="Y",'📝 Four-tier กรอก'!N32&lt;&gt;'📝 Four-tier กรอก'!N6,'📝 Four-tier กรอก'!O32="Y"),"❌ Misc.",IF(AND('📝 Four-tier กรอก'!L32&lt;&gt;'📝 Four-tier กรอก'!L6,'📝 Four-tier กรอก'!M32="N",'📝 Four-tier กรอก'!N32&lt;&gt;'📝 Four-tier กรอก'!N6,'📝 Four-tier กรอก'!O32="N"),"❓ NoK","🤔 Partial")))))</f>
        <v/>
      </c>
      <c r="G30" s="68">
        <f>IF(OR('📝 Four-tier กรอก'!P32="",'📝 Four-tier กรอก'!R32=""),"—",IF(AND('📝 Four-tier กรอก'!P32='📝 Four-tier กรอก'!P6,'📝 Four-tier กรอก'!Q32="Y",'📝 Four-tier กรอก'!R32='📝 Four-tier กรอก'!R6,'📝 Four-tier กรอก'!S32="Y"),"✅ Sound",IF(AND('📝 Four-tier กรอก'!P32='📝 Four-tier กรอก'!P6,'📝 Four-tier กรอก'!Q32="Y",'📝 Four-tier กรอก'!R32&lt;&gt;'📝 Four-tier กรอก'!R6,'📝 Four-tier กรอก'!S32="Y"),"🎲 Guess",IF(AND('📝 Four-tier กรอก'!P32&lt;&gt;'📝 Four-tier กรอก'!P6,'📝 Four-tier กรอก'!Q32="Y",'📝 Four-tier กรอก'!R32&lt;&gt;'📝 Four-tier กรอก'!R6,'📝 Four-tier กรอก'!S32="Y"),"❌ Misc.",IF(AND('📝 Four-tier กรอก'!P32&lt;&gt;'📝 Four-tier กรอก'!P6,'📝 Four-tier กรอก'!Q32="N",'📝 Four-tier กรอก'!R32&lt;&gt;'📝 Four-tier กรอก'!R6,'📝 Four-tier กรอก'!S32="N"),"❓ NoK","🤔 Partial")))))</f>
        <v/>
      </c>
      <c r="H30" s="68">
        <f>IF(OR('📝 Four-tier กรอก'!T32="",'📝 Four-tier กรอก'!V32=""),"—",IF(AND('📝 Four-tier กรอก'!T32='📝 Four-tier กรอก'!T6,'📝 Four-tier กรอก'!U32="Y",'📝 Four-tier กรอก'!V32='📝 Four-tier กรอก'!V6,'📝 Four-tier กรอก'!W32="Y"),"✅ Sound",IF(AND('📝 Four-tier กรอก'!T32='📝 Four-tier กรอก'!T6,'📝 Four-tier กรอก'!U32="Y",'📝 Four-tier กรอก'!V32&lt;&gt;'📝 Four-tier กรอก'!V6,'📝 Four-tier กรอก'!W32="Y"),"🎲 Guess",IF(AND('📝 Four-tier กรอก'!T32&lt;&gt;'📝 Four-tier กรอก'!T6,'📝 Four-tier กรอก'!U32="Y",'📝 Four-tier กรอก'!V32&lt;&gt;'📝 Four-tier กรอก'!V6,'📝 Four-tier กรอก'!W32="Y"),"❌ Misc.",IF(AND('📝 Four-tier กรอก'!T32&lt;&gt;'📝 Four-tier กรอก'!T6,'📝 Four-tier กรอก'!U32="N",'📝 Four-tier กรอก'!V32&lt;&gt;'📝 Four-tier กรอก'!V6,'📝 Four-tier กรอก'!W32="N"),"❓ NoK","🤔 Partial")))))</f>
        <v/>
      </c>
      <c r="I30" s="68">
        <f>IF(OR('📝 Four-tier กรอก'!X32="",'📝 Four-tier กรอก'!Z32=""),"—",IF(AND('📝 Four-tier กรอก'!X32='📝 Four-tier กรอก'!X6,'📝 Four-tier กรอก'!Y32="Y",'📝 Four-tier กรอก'!Z32='📝 Four-tier กรอก'!Z6,'📝 Four-tier กรอก'!AA32="Y"),"✅ Sound",IF(AND('📝 Four-tier กรอก'!X32='📝 Four-tier กรอก'!X6,'📝 Four-tier กรอก'!Y32="Y",'📝 Four-tier กรอก'!Z32&lt;&gt;'📝 Four-tier กรอก'!Z6,'📝 Four-tier กรอก'!AA32="Y"),"🎲 Guess",IF(AND('📝 Four-tier กรอก'!X32&lt;&gt;'📝 Four-tier กรอก'!X6,'📝 Four-tier กรอก'!Y32="Y",'📝 Four-tier กรอก'!Z32&lt;&gt;'📝 Four-tier กรอก'!Z6,'📝 Four-tier กรอก'!AA32="Y"),"❌ Misc.",IF(AND('📝 Four-tier กรอก'!X32&lt;&gt;'📝 Four-tier กรอก'!X6,'📝 Four-tier กรอก'!Y32="N",'📝 Four-tier กรอก'!Z32&lt;&gt;'📝 Four-tier กรอก'!Z6,'📝 Four-tier กรอก'!AA32="N"),"❓ NoK","🤔 Partial")))))</f>
        <v/>
      </c>
      <c r="J30" s="68">
        <f>IF(OR('📝 Four-tier กรอก'!AB32="",'📝 Four-tier กรอก'!AD32=""),"—",IF(AND('📝 Four-tier กรอก'!AB32='📝 Four-tier กรอก'!AB6,'📝 Four-tier กรอก'!AC32="Y",'📝 Four-tier กรอก'!AD32='📝 Four-tier กรอก'!AD6,'📝 Four-tier กรอก'!AE32="Y"),"✅ Sound",IF(AND('📝 Four-tier กรอก'!AB32='📝 Four-tier กรอก'!AB6,'📝 Four-tier กรอก'!AC32="Y",'📝 Four-tier กรอก'!AD32&lt;&gt;'📝 Four-tier กรอก'!AD6,'📝 Four-tier กรอก'!AE32="Y"),"🎲 Guess",IF(AND('📝 Four-tier กรอก'!AB32&lt;&gt;'📝 Four-tier กรอก'!AB6,'📝 Four-tier กรอก'!AC32="Y",'📝 Four-tier กรอก'!AD32&lt;&gt;'📝 Four-tier กรอก'!AD6,'📝 Four-tier กรอก'!AE32="Y"),"❌ Misc.",IF(AND('📝 Four-tier กรอก'!AB32&lt;&gt;'📝 Four-tier กรอก'!AB6,'📝 Four-tier กรอก'!AC32="N",'📝 Four-tier กรอก'!AD32&lt;&gt;'📝 Four-tier กรอก'!AD6,'📝 Four-tier กรอก'!AE32="N"),"❓ NoK","🤔 Partial")))))</f>
        <v/>
      </c>
      <c r="K30" s="68">
        <f>IF(OR('📝 Four-tier กรอก'!AF32="",'📝 Four-tier กรอก'!AH32=""),"—",IF(AND('📝 Four-tier กรอก'!AF32='📝 Four-tier กรอก'!AF6,'📝 Four-tier กรอก'!AG32="Y",'📝 Four-tier กรอก'!AH32='📝 Four-tier กรอก'!AH6,'📝 Four-tier กรอก'!AI32="Y"),"✅ Sound",IF(AND('📝 Four-tier กรอก'!AF32='📝 Four-tier กรอก'!AF6,'📝 Four-tier กรอก'!AG32="Y",'📝 Four-tier กรอก'!AH32&lt;&gt;'📝 Four-tier กรอก'!AH6,'📝 Four-tier กรอก'!AI32="Y"),"🎲 Guess",IF(AND('📝 Four-tier กรอก'!AF32&lt;&gt;'📝 Four-tier กรอก'!AF6,'📝 Four-tier กรอก'!AG32="Y",'📝 Four-tier กรอก'!AH32&lt;&gt;'📝 Four-tier กรอก'!AH6,'📝 Four-tier กรอก'!AI32="Y"),"❌ Misc.",IF(AND('📝 Four-tier กรอก'!AF32&lt;&gt;'📝 Four-tier กรอก'!AF6,'📝 Four-tier กรอก'!AG32="N",'📝 Four-tier กรอก'!AH32&lt;&gt;'📝 Four-tier กรอก'!AH6,'📝 Four-tier กรอก'!AI32="N"),"❓ NoK","🤔 Partial")))))</f>
        <v/>
      </c>
      <c r="L30" s="68">
        <f>IF(OR('📝 Four-tier กรอก'!AJ32="",'📝 Four-tier กรอก'!AL32=""),"—",IF(AND('📝 Four-tier กรอก'!AJ32='📝 Four-tier กรอก'!AJ6,'📝 Four-tier กรอก'!AK32="Y",'📝 Four-tier กรอก'!AL32='📝 Four-tier กรอก'!AL6,'📝 Four-tier กรอก'!AM32="Y"),"✅ Sound",IF(AND('📝 Four-tier กรอก'!AJ32='📝 Four-tier กรอก'!AJ6,'📝 Four-tier กรอก'!AK32="Y",'📝 Four-tier กรอก'!AL32&lt;&gt;'📝 Four-tier กรอก'!AL6,'📝 Four-tier กรอก'!AM32="Y"),"🎲 Guess",IF(AND('📝 Four-tier กรอก'!AJ32&lt;&gt;'📝 Four-tier กรอก'!AJ6,'📝 Four-tier กรอก'!AK32="Y",'📝 Four-tier กรอก'!AL32&lt;&gt;'📝 Four-tier กรอก'!AL6,'📝 Four-tier กรอก'!AM32="Y"),"❌ Misc.",IF(AND('📝 Four-tier กรอก'!AJ32&lt;&gt;'📝 Four-tier กรอก'!AJ6,'📝 Four-tier กรอก'!AK32="N",'📝 Four-tier กรอก'!AL32&lt;&gt;'📝 Four-tier กรอก'!AL6,'📝 Four-tier กรอก'!AM32="N"),"❓ NoK","🤔 Partial")))))</f>
        <v/>
      </c>
      <c r="M30" s="68">
        <f>IF(OR('📝 Four-tier กรอก'!AN32="",'📝 Four-tier กรอก'!AP32=""),"—",IF(AND('📝 Four-tier กรอก'!AN32='📝 Four-tier กรอก'!AN6,'📝 Four-tier กรอก'!AO32="Y",'📝 Four-tier กรอก'!AP32='📝 Four-tier กรอก'!AP6,'📝 Four-tier กรอก'!AQ32="Y"),"✅ Sound",IF(AND('📝 Four-tier กรอก'!AN32='📝 Four-tier กรอก'!AN6,'📝 Four-tier กรอก'!AO32="Y",'📝 Four-tier กรอก'!AP32&lt;&gt;'📝 Four-tier กรอก'!AP6,'📝 Four-tier กรอก'!AQ32="Y"),"🎲 Guess",IF(AND('📝 Four-tier กรอก'!AN32&lt;&gt;'📝 Four-tier กรอก'!AN6,'📝 Four-tier กรอก'!AO32="Y",'📝 Four-tier กรอก'!AP32&lt;&gt;'📝 Four-tier กรอก'!AP6,'📝 Four-tier กรอก'!AQ32="Y"),"❌ Misc.",IF(AND('📝 Four-tier กรอก'!AN32&lt;&gt;'📝 Four-tier กรอก'!AN6,'📝 Four-tier กรอก'!AO32="N",'📝 Four-tier กรอก'!AP32&lt;&gt;'📝 Four-tier กรอก'!AP6,'📝 Four-tier กรอก'!AQ32="N"),"❓ NoK","🤔 Partial")))))</f>
        <v/>
      </c>
      <c r="N30" s="68">
        <f>IF(OR('📝 Four-tier กรอก'!AR32="",'📝 Four-tier กรอก'!AT32=""),"—",IF(AND('📝 Four-tier กรอก'!AR32='📝 Four-tier กรอก'!AR6,'📝 Four-tier กรอก'!AS32="Y",'📝 Four-tier กรอก'!AT32='📝 Four-tier กรอก'!AT6,'📝 Four-tier กรอก'!AU32="Y"),"✅ Sound",IF(AND('📝 Four-tier กรอก'!AR32='📝 Four-tier กรอก'!AR6,'📝 Four-tier กรอก'!AS32="Y",'📝 Four-tier กรอก'!AT32&lt;&gt;'📝 Four-tier กรอก'!AT6,'📝 Four-tier กรอก'!AU32="Y"),"🎲 Guess",IF(AND('📝 Four-tier กรอก'!AR32&lt;&gt;'📝 Four-tier กรอก'!AR6,'📝 Four-tier กรอก'!AS32="Y",'📝 Four-tier กรอก'!AT32&lt;&gt;'📝 Four-tier กรอก'!AT6,'📝 Four-tier กรอก'!AU32="Y"),"❌ Misc.",IF(AND('📝 Four-tier กรอก'!AR32&lt;&gt;'📝 Four-tier กรอก'!AR6,'📝 Four-tier กรอก'!AS32="N",'📝 Four-tier กรอก'!AT32&lt;&gt;'📝 Four-tier กรอก'!AT6,'📝 Four-tier กรอก'!AU32="N"),"❓ NoK","🤔 Partial")))))</f>
        <v/>
      </c>
      <c r="O30" s="68">
        <f>IF(OR('📝 Four-tier กรอก'!AV32="",'📝 Four-tier กรอก'!AX32=""),"—",IF(AND('📝 Four-tier กรอก'!AV32='📝 Four-tier กรอก'!AV6,'📝 Four-tier กรอก'!AW32="Y",'📝 Four-tier กรอก'!AX32='📝 Four-tier กรอก'!AX6,'📝 Four-tier กรอก'!AY32="Y"),"✅ Sound",IF(AND('📝 Four-tier กรอก'!AV32='📝 Four-tier กรอก'!AV6,'📝 Four-tier กรอก'!AW32="Y",'📝 Four-tier กรอก'!AX32&lt;&gt;'📝 Four-tier กรอก'!AX6,'📝 Four-tier กรอก'!AY32="Y"),"🎲 Guess",IF(AND('📝 Four-tier กรอก'!AV32&lt;&gt;'📝 Four-tier กรอก'!AV6,'📝 Four-tier กรอก'!AW32="Y",'📝 Four-tier กรอก'!AX32&lt;&gt;'📝 Four-tier กรอก'!AX6,'📝 Four-tier กรอก'!AY32="Y"),"❌ Misc.",IF(AND('📝 Four-tier กรอก'!AV32&lt;&gt;'📝 Four-tier กรอก'!AV6,'📝 Four-tier กรอก'!AW32="N",'📝 Four-tier กรอก'!AX32&lt;&gt;'📝 Four-tier กรอก'!AX6,'📝 Four-tier กรอก'!AY32="N"),"❓ NoK","🤔 Partial")))))</f>
        <v/>
      </c>
      <c r="P30" s="68">
        <f>IF(OR('📝 Four-tier กรอก'!AZ32="",'📝 Four-tier กรอก'!BB32=""),"—",IF(AND('📝 Four-tier กรอก'!AZ32='📝 Four-tier กรอก'!AZ6,'📝 Four-tier กรอก'!BA32="Y",'📝 Four-tier กรอก'!BB32='📝 Four-tier กรอก'!BB6,'📝 Four-tier กรอก'!BC32="Y"),"✅ Sound",IF(AND('📝 Four-tier กรอก'!AZ32='📝 Four-tier กรอก'!AZ6,'📝 Four-tier กรอก'!BA32="Y",'📝 Four-tier กรอก'!BB32&lt;&gt;'📝 Four-tier กรอก'!BB6,'📝 Four-tier กรอก'!BC32="Y"),"🎲 Guess",IF(AND('📝 Four-tier กรอก'!AZ32&lt;&gt;'📝 Four-tier กรอก'!AZ6,'📝 Four-tier กรอก'!BA32="Y",'📝 Four-tier กรอก'!BB32&lt;&gt;'📝 Four-tier กรอก'!BB6,'📝 Four-tier กรอก'!BC32="Y"),"❌ Misc.",IF(AND('📝 Four-tier กรอก'!AZ32&lt;&gt;'📝 Four-tier กรอก'!AZ6,'📝 Four-tier กรอก'!BA32="N",'📝 Four-tier กรอก'!BB32&lt;&gt;'📝 Four-tier กรอก'!BB6,'📝 Four-tier กรอก'!BC32="N"),"❓ NoK","🤔 Partial")))))</f>
        <v/>
      </c>
      <c r="Q30" s="68">
        <f>IF(OR('📝 Four-tier กรอก'!BD32="",'📝 Four-tier กรอก'!BF32=""),"—",IF(AND('📝 Four-tier กรอก'!BD32='📝 Four-tier กรอก'!BD6,'📝 Four-tier กรอก'!BE32="Y",'📝 Four-tier กรอก'!BF32='📝 Four-tier กรอก'!BF6,'📝 Four-tier กรอก'!BG32="Y"),"✅ Sound",IF(AND('📝 Four-tier กรอก'!BD32='📝 Four-tier กรอก'!BD6,'📝 Four-tier กรอก'!BE32="Y",'📝 Four-tier กรอก'!BF32&lt;&gt;'📝 Four-tier กรอก'!BF6,'📝 Four-tier กรอก'!BG32="Y"),"🎲 Guess",IF(AND('📝 Four-tier กรอก'!BD32&lt;&gt;'📝 Four-tier กรอก'!BD6,'📝 Four-tier กรอก'!BE32="Y",'📝 Four-tier กรอก'!BF32&lt;&gt;'📝 Four-tier กรอก'!BF6,'📝 Four-tier กรอก'!BG32="Y"),"❌ Misc.",IF(AND('📝 Four-tier กรอก'!BD32&lt;&gt;'📝 Four-tier กรอก'!BD6,'📝 Four-tier กรอก'!BE32="N",'📝 Four-tier กรอก'!BF32&lt;&gt;'📝 Four-tier กรอก'!BF6,'📝 Four-tier กรอก'!BG32="N"),"❓ NoK","🤔 Partial")))))</f>
        <v/>
      </c>
      <c r="R30" s="68">
        <f>IF(OR('📝 Four-tier กรอก'!BH32="",'📝 Four-tier กรอก'!BJ32=""),"—",IF(AND('📝 Four-tier กรอก'!BH32='📝 Four-tier กรอก'!BH6,'📝 Four-tier กรอก'!BI32="Y",'📝 Four-tier กรอก'!BJ32='📝 Four-tier กรอก'!BJ6,'📝 Four-tier กรอก'!BK32="Y"),"✅ Sound",IF(AND('📝 Four-tier กรอก'!BH32='📝 Four-tier กรอก'!BH6,'📝 Four-tier กรอก'!BI32="Y",'📝 Four-tier กรอก'!BJ32&lt;&gt;'📝 Four-tier กรอก'!BJ6,'📝 Four-tier กรอก'!BK32="Y"),"🎲 Guess",IF(AND('📝 Four-tier กรอก'!BH32&lt;&gt;'📝 Four-tier กรอก'!BH6,'📝 Four-tier กรอก'!BI32="Y",'📝 Four-tier กรอก'!BJ32&lt;&gt;'📝 Four-tier กรอก'!BJ6,'📝 Four-tier กรอก'!BK32="Y"),"❌ Misc.",IF(AND('📝 Four-tier กรอก'!BH32&lt;&gt;'📝 Four-tier กรอก'!BH6,'📝 Four-tier กรอก'!BI32="N",'📝 Four-tier กรอก'!BJ32&lt;&gt;'📝 Four-tier กรอก'!BJ6,'📝 Four-tier กรอก'!BK32="N"),"❓ NoK","🤔 Partial")))))</f>
        <v/>
      </c>
      <c r="S30" s="68">
        <f>IF(OR('📝 Four-tier กรอก'!BL32="",'📝 Four-tier กรอก'!BN32=""),"—",IF(AND('📝 Four-tier กรอก'!BL32='📝 Four-tier กรอก'!BL6,'📝 Four-tier กรอก'!BM32="Y",'📝 Four-tier กรอก'!BN32='📝 Four-tier กรอก'!BN6,'📝 Four-tier กรอก'!BO32="Y"),"✅ Sound",IF(AND('📝 Four-tier กรอก'!BL32='📝 Four-tier กรอก'!BL6,'📝 Four-tier กรอก'!BM32="Y",'📝 Four-tier กรอก'!BN32&lt;&gt;'📝 Four-tier กรอก'!BN6,'📝 Four-tier กรอก'!BO32="Y"),"🎲 Guess",IF(AND('📝 Four-tier กรอก'!BL32&lt;&gt;'📝 Four-tier กรอก'!BL6,'📝 Four-tier กรอก'!BM32="Y",'📝 Four-tier กรอก'!BN32&lt;&gt;'📝 Four-tier กรอก'!BN6,'📝 Four-tier กรอก'!BO32="Y"),"❌ Misc.",IF(AND('📝 Four-tier กรอก'!BL32&lt;&gt;'📝 Four-tier กรอก'!BL6,'📝 Four-tier กรอก'!BM32="N",'📝 Four-tier กรอก'!BN32&lt;&gt;'📝 Four-tier กรอก'!BN6,'📝 Four-tier กรอก'!BO32="N"),"❓ NoK","🤔 Partial")))))</f>
        <v/>
      </c>
      <c r="T30" s="68">
        <f>IF(OR('📝 Four-tier กรอก'!BP32="",'📝 Four-tier กรอก'!BR32=""),"—",IF(AND('📝 Four-tier กรอก'!BP32='📝 Four-tier กรอก'!BP6,'📝 Four-tier กรอก'!BQ32="Y",'📝 Four-tier กรอก'!BR32='📝 Four-tier กรอก'!BR6,'📝 Four-tier กรอก'!BS32="Y"),"✅ Sound",IF(AND('📝 Four-tier กรอก'!BP32='📝 Four-tier กรอก'!BP6,'📝 Four-tier กรอก'!BQ32="Y",'📝 Four-tier กรอก'!BR32&lt;&gt;'📝 Four-tier กรอก'!BR6,'📝 Four-tier กรอก'!BS32="Y"),"🎲 Guess",IF(AND('📝 Four-tier กรอก'!BP32&lt;&gt;'📝 Four-tier กรอก'!BP6,'📝 Four-tier กรอก'!BQ32="Y",'📝 Four-tier กรอก'!BR32&lt;&gt;'📝 Four-tier กรอก'!BR6,'📝 Four-tier กรอก'!BS32="Y"),"❌ Misc.",IF(AND('📝 Four-tier กรอก'!BP32&lt;&gt;'📝 Four-tier กรอก'!BP6,'📝 Four-tier กรอก'!BQ32="N",'📝 Four-tier กรอก'!BR32&lt;&gt;'📝 Four-tier กรอก'!BR6,'📝 Four-tier กรอก'!BS32="N"),"❓ NoK","🤔 Partial")))))</f>
        <v/>
      </c>
      <c r="U30" s="68">
        <f>IF(OR('📝 Four-tier กรอก'!BT32="",'📝 Four-tier กรอก'!BV32=""),"—",IF(AND('📝 Four-tier กรอก'!BT32='📝 Four-tier กรอก'!BT6,'📝 Four-tier กรอก'!BU32="Y",'📝 Four-tier กรอก'!BV32='📝 Four-tier กรอก'!BV6,'📝 Four-tier กรอก'!BW32="Y"),"✅ Sound",IF(AND('📝 Four-tier กรอก'!BT32='📝 Four-tier กรอก'!BT6,'📝 Four-tier กรอก'!BU32="Y",'📝 Four-tier กรอก'!BV32&lt;&gt;'📝 Four-tier กรอก'!BV6,'📝 Four-tier กรอก'!BW32="Y"),"🎲 Guess",IF(AND('📝 Four-tier กรอก'!BT32&lt;&gt;'📝 Four-tier กรอก'!BT6,'📝 Four-tier กรอก'!BU32="Y",'📝 Four-tier กรอก'!BV32&lt;&gt;'📝 Four-tier กรอก'!BV6,'📝 Four-tier กรอก'!BW32="Y"),"❌ Misc.",IF(AND('📝 Four-tier กรอก'!BT32&lt;&gt;'📝 Four-tier กรอก'!BT6,'📝 Four-tier กรอก'!BU32="N",'📝 Four-tier กรอก'!BV32&lt;&gt;'📝 Four-tier กรอก'!BV6,'📝 Four-tier กรอก'!BW32="N"),"❓ NoK","🤔 Partial")))))</f>
        <v/>
      </c>
      <c r="V30" s="68">
        <f>IF(OR('📝 Four-tier กรอก'!BX32="",'📝 Four-tier กรอก'!BZ32=""),"—",IF(AND('📝 Four-tier กรอก'!BX32='📝 Four-tier กรอก'!BX6,'📝 Four-tier กรอก'!BY32="Y",'📝 Four-tier กรอก'!BZ32='📝 Four-tier กรอก'!BZ6,'📝 Four-tier กรอก'!CA32="Y"),"✅ Sound",IF(AND('📝 Four-tier กรอก'!BX32='📝 Four-tier กรอก'!BX6,'📝 Four-tier กรอก'!BY32="Y",'📝 Four-tier กรอก'!BZ32&lt;&gt;'📝 Four-tier กรอก'!BZ6,'📝 Four-tier กรอก'!CA32="Y"),"🎲 Guess",IF(AND('📝 Four-tier กรอก'!BX32&lt;&gt;'📝 Four-tier กรอก'!BX6,'📝 Four-tier กรอก'!BY32="Y",'📝 Four-tier กรอก'!BZ32&lt;&gt;'📝 Four-tier กรอก'!BZ6,'📝 Four-tier กรอก'!CA32="Y"),"❌ Misc.",IF(AND('📝 Four-tier กรอก'!BX32&lt;&gt;'📝 Four-tier กรอก'!BX6,'📝 Four-tier กรอก'!BY32="N",'📝 Four-tier กรอก'!BZ32&lt;&gt;'📝 Four-tier กรอก'!BZ6,'📝 Four-tier กรอก'!CA32="N"),"❓ NoK","🤔 Partial")))))</f>
        <v/>
      </c>
      <c r="W30" s="68">
        <f>IF(OR('📝 Four-tier กรอก'!CB32="",'📝 Four-tier กรอก'!CD32=""),"—",IF(AND('📝 Four-tier กรอก'!CB32='📝 Four-tier กรอก'!CB6,'📝 Four-tier กรอก'!CC32="Y",'📝 Four-tier กรอก'!CD32='📝 Four-tier กรอก'!CD6,'📝 Four-tier กรอก'!CE32="Y"),"✅ Sound",IF(AND('📝 Four-tier กรอก'!CB32='📝 Four-tier กรอก'!CB6,'📝 Four-tier กรอก'!CC32="Y",'📝 Four-tier กรอก'!CD32&lt;&gt;'📝 Four-tier กรอก'!CD6,'📝 Four-tier กรอก'!CE32="Y"),"🎲 Guess",IF(AND('📝 Four-tier กรอก'!CB32&lt;&gt;'📝 Four-tier กรอก'!CB6,'📝 Four-tier กรอก'!CC32="Y",'📝 Four-tier กรอก'!CD32&lt;&gt;'📝 Four-tier กรอก'!CD6,'📝 Four-tier กรอก'!CE32="Y"),"❌ Misc.",IF(AND('📝 Four-tier กรอก'!CB32&lt;&gt;'📝 Four-tier กรอก'!CB6,'📝 Four-tier กรอก'!CC32="N",'📝 Four-tier กรอก'!CD32&lt;&gt;'📝 Four-tier กรอก'!CD6,'📝 Four-tier กรอก'!CE32="N"),"❓ NoK","🤔 Partial")))))</f>
        <v/>
      </c>
      <c r="X30" s="37">
        <f>COUNTIF(D30:W30,"✅ Sound")</f>
        <v/>
      </c>
      <c r="Y30" s="37">
        <f>COUNTIF(D30:W30,"❌ Misc.")</f>
        <v/>
      </c>
      <c r="Z30" s="37">
        <f>COUNTIF(D30:W30,"🎲 Guess")</f>
        <v/>
      </c>
      <c r="AA30" s="37">
        <f>COUNTIF(D30:W30,"❓ NoK")</f>
        <v/>
      </c>
    </row>
    <row r="31" ht="18" customHeight="1">
      <c r="B31" s="46">
        <f>'📝 Four-tier กรอก'!B33</f>
        <v/>
      </c>
      <c r="C31" s="47">
        <f>'📝 Four-tier กรอก'!C33</f>
        <v/>
      </c>
      <c r="D31" s="67">
        <f>IF(OR('📝 Four-tier กรอก'!D33="",'📝 Four-tier กรอก'!F33=""),"—",IF(AND('📝 Four-tier กรอก'!D33='📝 Four-tier กรอก'!D6,'📝 Four-tier กรอก'!E33="Y",'📝 Four-tier กรอก'!F33='📝 Four-tier กรอก'!F6,'📝 Four-tier กรอก'!G33="Y"),"✅ Sound",IF(AND('📝 Four-tier กรอก'!D33='📝 Four-tier กรอก'!D6,'📝 Four-tier กรอก'!E33="Y",'📝 Four-tier กรอก'!F33&lt;&gt;'📝 Four-tier กรอก'!F6,'📝 Four-tier กรอก'!G33="Y"),"🎲 Guess",IF(AND('📝 Four-tier กรอก'!D33&lt;&gt;'📝 Four-tier กรอก'!D6,'📝 Four-tier กรอก'!E33="Y",'📝 Four-tier กรอก'!F33&lt;&gt;'📝 Four-tier กรอก'!F6,'📝 Four-tier กรอก'!G33="Y"),"❌ Misc.",IF(AND('📝 Four-tier กรอก'!D33&lt;&gt;'📝 Four-tier กรอก'!D6,'📝 Four-tier กรอก'!E33="N",'📝 Four-tier กรอก'!F33&lt;&gt;'📝 Four-tier กรอก'!F6,'📝 Four-tier กรอก'!G33="N"),"❓ NoK","🤔 Partial")))))</f>
        <v/>
      </c>
      <c r="E31" s="67">
        <f>IF(OR('📝 Four-tier กรอก'!H33="",'📝 Four-tier กรอก'!J33=""),"—",IF(AND('📝 Four-tier กรอก'!H33='📝 Four-tier กรอก'!H6,'📝 Four-tier กรอก'!I33="Y",'📝 Four-tier กรอก'!J33='📝 Four-tier กรอก'!J6,'📝 Four-tier กรอก'!K33="Y"),"✅ Sound",IF(AND('📝 Four-tier กรอก'!H33='📝 Four-tier กรอก'!H6,'📝 Four-tier กรอก'!I33="Y",'📝 Four-tier กรอก'!J33&lt;&gt;'📝 Four-tier กรอก'!J6,'📝 Four-tier กรอก'!K33="Y"),"🎲 Guess",IF(AND('📝 Four-tier กรอก'!H33&lt;&gt;'📝 Four-tier กรอก'!H6,'📝 Four-tier กรอก'!I33="Y",'📝 Four-tier กรอก'!J33&lt;&gt;'📝 Four-tier กรอก'!J6,'📝 Four-tier กรอก'!K33="Y"),"❌ Misc.",IF(AND('📝 Four-tier กรอก'!H33&lt;&gt;'📝 Four-tier กรอก'!H6,'📝 Four-tier กรอก'!I33="N",'📝 Four-tier กรอก'!J33&lt;&gt;'📝 Four-tier กรอก'!J6,'📝 Four-tier กรอก'!K33="N"),"❓ NoK","🤔 Partial")))))</f>
        <v/>
      </c>
      <c r="F31" s="67">
        <f>IF(OR('📝 Four-tier กรอก'!L33="",'📝 Four-tier กรอก'!N33=""),"—",IF(AND('📝 Four-tier กรอก'!L33='📝 Four-tier กรอก'!L6,'📝 Four-tier กรอก'!M33="Y",'📝 Four-tier กรอก'!N33='📝 Four-tier กรอก'!N6,'📝 Four-tier กรอก'!O33="Y"),"✅ Sound",IF(AND('📝 Four-tier กรอก'!L33='📝 Four-tier กรอก'!L6,'📝 Four-tier กรอก'!M33="Y",'📝 Four-tier กรอก'!N33&lt;&gt;'📝 Four-tier กรอก'!N6,'📝 Four-tier กรอก'!O33="Y"),"🎲 Guess",IF(AND('📝 Four-tier กรอก'!L33&lt;&gt;'📝 Four-tier กรอก'!L6,'📝 Four-tier กรอก'!M33="Y",'📝 Four-tier กรอก'!N33&lt;&gt;'📝 Four-tier กรอก'!N6,'📝 Four-tier กรอก'!O33="Y"),"❌ Misc.",IF(AND('📝 Four-tier กรอก'!L33&lt;&gt;'📝 Four-tier กรอก'!L6,'📝 Four-tier กรอก'!M33="N",'📝 Four-tier กรอก'!N33&lt;&gt;'📝 Four-tier กรอก'!N6,'📝 Four-tier กรอก'!O33="N"),"❓ NoK","🤔 Partial")))))</f>
        <v/>
      </c>
      <c r="G31" s="67">
        <f>IF(OR('📝 Four-tier กรอก'!P33="",'📝 Four-tier กรอก'!R33=""),"—",IF(AND('📝 Four-tier กรอก'!P33='📝 Four-tier กรอก'!P6,'📝 Four-tier กรอก'!Q33="Y",'📝 Four-tier กรอก'!R33='📝 Four-tier กรอก'!R6,'📝 Four-tier กรอก'!S33="Y"),"✅ Sound",IF(AND('📝 Four-tier กรอก'!P33='📝 Four-tier กรอก'!P6,'📝 Four-tier กรอก'!Q33="Y",'📝 Four-tier กรอก'!R33&lt;&gt;'📝 Four-tier กรอก'!R6,'📝 Four-tier กรอก'!S33="Y"),"🎲 Guess",IF(AND('📝 Four-tier กรอก'!P33&lt;&gt;'📝 Four-tier กรอก'!P6,'📝 Four-tier กรอก'!Q33="Y",'📝 Four-tier กรอก'!R33&lt;&gt;'📝 Four-tier กรอก'!R6,'📝 Four-tier กรอก'!S33="Y"),"❌ Misc.",IF(AND('📝 Four-tier กรอก'!P33&lt;&gt;'📝 Four-tier กรอก'!P6,'📝 Four-tier กรอก'!Q33="N",'📝 Four-tier กรอก'!R33&lt;&gt;'📝 Four-tier กรอก'!R6,'📝 Four-tier กรอก'!S33="N"),"❓ NoK","🤔 Partial")))))</f>
        <v/>
      </c>
      <c r="H31" s="67">
        <f>IF(OR('📝 Four-tier กรอก'!T33="",'📝 Four-tier กรอก'!V33=""),"—",IF(AND('📝 Four-tier กรอก'!T33='📝 Four-tier กรอก'!T6,'📝 Four-tier กรอก'!U33="Y",'📝 Four-tier กรอก'!V33='📝 Four-tier กรอก'!V6,'📝 Four-tier กรอก'!W33="Y"),"✅ Sound",IF(AND('📝 Four-tier กรอก'!T33='📝 Four-tier กรอก'!T6,'📝 Four-tier กรอก'!U33="Y",'📝 Four-tier กรอก'!V33&lt;&gt;'📝 Four-tier กรอก'!V6,'📝 Four-tier กรอก'!W33="Y"),"🎲 Guess",IF(AND('📝 Four-tier กรอก'!T33&lt;&gt;'📝 Four-tier กรอก'!T6,'📝 Four-tier กรอก'!U33="Y",'📝 Four-tier กรอก'!V33&lt;&gt;'📝 Four-tier กรอก'!V6,'📝 Four-tier กรอก'!W33="Y"),"❌ Misc.",IF(AND('📝 Four-tier กรอก'!T33&lt;&gt;'📝 Four-tier กรอก'!T6,'📝 Four-tier กรอก'!U33="N",'📝 Four-tier กรอก'!V33&lt;&gt;'📝 Four-tier กรอก'!V6,'📝 Four-tier กรอก'!W33="N"),"❓ NoK","🤔 Partial")))))</f>
        <v/>
      </c>
      <c r="I31" s="67">
        <f>IF(OR('📝 Four-tier กรอก'!X33="",'📝 Four-tier กรอก'!Z33=""),"—",IF(AND('📝 Four-tier กรอก'!X33='📝 Four-tier กรอก'!X6,'📝 Four-tier กรอก'!Y33="Y",'📝 Four-tier กรอก'!Z33='📝 Four-tier กรอก'!Z6,'📝 Four-tier กรอก'!AA33="Y"),"✅ Sound",IF(AND('📝 Four-tier กรอก'!X33='📝 Four-tier กรอก'!X6,'📝 Four-tier กรอก'!Y33="Y",'📝 Four-tier กรอก'!Z33&lt;&gt;'📝 Four-tier กรอก'!Z6,'📝 Four-tier กรอก'!AA33="Y"),"🎲 Guess",IF(AND('📝 Four-tier กรอก'!X33&lt;&gt;'📝 Four-tier กรอก'!X6,'📝 Four-tier กรอก'!Y33="Y",'📝 Four-tier กรอก'!Z33&lt;&gt;'📝 Four-tier กรอก'!Z6,'📝 Four-tier กรอก'!AA33="Y"),"❌ Misc.",IF(AND('📝 Four-tier กรอก'!X33&lt;&gt;'📝 Four-tier กรอก'!X6,'📝 Four-tier กรอก'!Y33="N",'📝 Four-tier กรอก'!Z33&lt;&gt;'📝 Four-tier กรอก'!Z6,'📝 Four-tier กรอก'!AA33="N"),"❓ NoK","🤔 Partial")))))</f>
        <v/>
      </c>
      <c r="J31" s="67">
        <f>IF(OR('📝 Four-tier กรอก'!AB33="",'📝 Four-tier กรอก'!AD33=""),"—",IF(AND('📝 Four-tier กรอก'!AB33='📝 Four-tier กรอก'!AB6,'📝 Four-tier กรอก'!AC33="Y",'📝 Four-tier กรอก'!AD33='📝 Four-tier กรอก'!AD6,'📝 Four-tier กรอก'!AE33="Y"),"✅ Sound",IF(AND('📝 Four-tier กรอก'!AB33='📝 Four-tier กรอก'!AB6,'📝 Four-tier กรอก'!AC33="Y",'📝 Four-tier กรอก'!AD33&lt;&gt;'📝 Four-tier กรอก'!AD6,'📝 Four-tier กรอก'!AE33="Y"),"🎲 Guess",IF(AND('📝 Four-tier กรอก'!AB33&lt;&gt;'📝 Four-tier กรอก'!AB6,'📝 Four-tier กรอก'!AC33="Y",'📝 Four-tier กรอก'!AD33&lt;&gt;'📝 Four-tier กรอก'!AD6,'📝 Four-tier กรอก'!AE33="Y"),"❌ Misc.",IF(AND('📝 Four-tier กรอก'!AB33&lt;&gt;'📝 Four-tier กรอก'!AB6,'📝 Four-tier กรอก'!AC33="N",'📝 Four-tier กรอก'!AD33&lt;&gt;'📝 Four-tier กรอก'!AD6,'📝 Four-tier กรอก'!AE33="N"),"❓ NoK","🤔 Partial")))))</f>
        <v/>
      </c>
      <c r="K31" s="67">
        <f>IF(OR('📝 Four-tier กรอก'!AF33="",'📝 Four-tier กรอก'!AH33=""),"—",IF(AND('📝 Four-tier กรอก'!AF33='📝 Four-tier กรอก'!AF6,'📝 Four-tier กรอก'!AG33="Y",'📝 Four-tier กรอก'!AH33='📝 Four-tier กรอก'!AH6,'📝 Four-tier กรอก'!AI33="Y"),"✅ Sound",IF(AND('📝 Four-tier กรอก'!AF33='📝 Four-tier กรอก'!AF6,'📝 Four-tier กรอก'!AG33="Y",'📝 Four-tier กรอก'!AH33&lt;&gt;'📝 Four-tier กรอก'!AH6,'📝 Four-tier กรอก'!AI33="Y"),"🎲 Guess",IF(AND('📝 Four-tier กรอก'!AF33&lt;&gt;'📝 Four-tier กรอก'!AF6,'📝 Four-tier กรอก'!AG33="Y",'📝 Four-tier กรอก'!AH33&lt;&gt;'📝 Four-tier กรอก'!AH6,'📝 Four-tier กรอก'!AI33="Y"),"❌ Misc.",IF(AND('📝 Four-tier กรอก'!AF33&lt;&gt;'📝 Four-tier กรอก'!AF6,'📝 Four-tier กรอก'!AG33="N",'📝 Four-tier กรอก'!AH33&lt;&gt;'📝 Four-tier กรอก'!AH6,'📝 Four-tier กรอก'!AI33="N"),"❓ NoK","🤔 Partial")))))</f>
        <v/>
      </c>
      <c r="L31" s="67">
        <f>IF(OR('📝 Four-tier กรอก'!AJ33="",'📝 Four-tier กรอก'!AL33=""),"—",IF(AND('📝 Four-tier กรอก'!AJ33='📝 Four-tier กรอก'!AJ6,'📝 Four-tier กรอก'!AK33="Y",'📝 Four-tier กรอก'!AL33='📝 Four-tier กรอก'!AL6,'📝 Four-tier กรอก'!AM33="Y"),"✅ Sound",IF(AND('📝 Four-tier กรอก'!AJ33='📝 Four-tier กรอก'!AJ6,'📝 Four-tier กรอก'!AK33="Y",'📝 Four-tier กรอก'!AL33&lt;&gt;'📝 Four-tier กรอก'!AL6,'📝 Four-tier กรอก'!AM33="Y"),"🎲 Guess",IF(AND('📝 Four-tier กรอก'!AJ33&lt;&gt;'📝 Four-tier กรอก'!AJ6,'📝 Four-tier กรอก'!AK33="Y",'📝 Four-tier กรอก'!AL33&lt;&gt;'📝 Four-tier กรอก'!AL6,'📝 Four-tier กรอก'!AM33="Y"),"❌ Misc.",IF(AND('📝 Four-tier กรอก'!AJ33&lt;&gt;'📝 Four-tier กรอก'!AJ6,'📝 Four-tier กรอก'!AK33="N",'📝 Four-tier กรอก'!AL33&lt;&gt;'📝 Four-tier กรอก'!AL6,'📝 Four-tier กรอก'!AM33="N"),"❓ NoK","🤔 Partial")))))</f>
        <v/>
      </c>
      <c r="M31" s="67">
        <f>IF(OR('📝 Four-tier กรอก'!AN33="",'📝 Four-tier กรอก'!AP33=""),"—",IF(AND('📝 Four-tier กรอก'!AN33='📝 Four-tier กรอก'!AN6,'📝 Four-tier กรอก'!AO33="Y",'📝 Four-tier กรอก'!AP33='📝 Four-tier กรอก'!AP6,'📝 Four-tier กรอก'!AQ33="Y"),"✅ Sound",IF(AND('📝 Four-tier กรอก'!AN33='📝 Four-tier กรอก'!AN6,'📝 Four-tier กรอก'!AO33="Y",'📝 Four-tier กรอก'!AP33&lt;&gt;'📝 Four-tier กรอก'!AP6,'📝 Four-tier กรอก'!AQ33="Y"),"🎲 Guess",IF(AND('📝 Four-tier กรอก'!AN33&lt;&gt;'📝 Four-tier กรอก'!AN6,'📝 Four-tier กรอก'!AO33="Y",'📝 Four-tier กรอก'!AP33&lt;&gt;'📝 Four-tier กรอก'!AP6,'📝 Four-tier กรอก'!AQ33="Y"),"❌ Misc.",IF(AND('📝 Four-tier กรอก'!AN33&lt;&gt;'📝 Four-tier กรอก'!AN6,'📝 Four-tier กรอก'!AO33="N",'📝 Four-tier กรอก'!AP33&lt;&gt;'📝 Four-tier กรอก'!AP6,'📝 Four-tier กรอก'!AQ33="N"),"❓ NoK","🤔 Partial")))))</f>
        <v/>
      </c>
      <c r="N31" s="67">
        <f>IF(OR('📝 Four-tier กรอก'!AR33="",'📝 Four-tier กรอก'!AT33=""),"—",IF(AND('📝 Four-tier กรอก'!AR33='📝 Four-tier กรอก'!AR6,'📝 Four-tier กรอก'!AS33="Y",'📝 Four-tier กรอก'!AT33='📝 Four-tier กรอก'!AT6,'📝 Four-tier กรอก'!AU33="Y"),"✅ Sound",IF(AND('📝 Four-tier กรอก'!AR33='📝 Four-tier กรอก'!AR6,'📝 Four-tier กรอก'!AS33="Y",'📝 Four-tier กรอก'!AT33&lt;&gt;'📝 Four-tier กรอก'!AT6,'📝 Four-tier กรอก'!AU33="Y"),"🎲 Guess",IF(AND('📝 Four-tier กรอก'!AR33&lt;&gt;'📝 Four-tier กรอก'!AR6,'📝 Four-tier กรอก'!AS33="Y",'📝 Four-tier กรอก'!AT33&lt;&gt;'📝 Four-tier กรอก'!AT6,'📝 Four-tier กรอก'!AU33="Y"),"❌ Misc.",IF(AND('📝 Four-tier กรอก'!AR33&lt;&gt;'📝 Four-tier กรอก'!AR6,'📝 Four-tier กรอก'!AS33="N",'📝 Four-tier กรอก'!AT33&lt;&gt;'📝 Four-tier กรอก'!AT6,'📝 Four-tier กรอก'!AU33="N"),"❓ NoK","🤔 Partial")))))</f>
        <v/>
      </c>
      <c r="O31" s="67">
        <f>IF(OR('📝 Four-tier กรอก'!AV33="",'📝 Four-tier กรอก'!AX33=""),"—",IF(AND('📝 Four-tier กรอก'!AV33='📝 Four-tier กรอก'!AV6,'📝 Four-tier กรอก'!AW33="Y",'📝 Four-tier กรอก'!AX33='📝 Four-tier กรอก'!AX6,'📝 Four-tier กรอก'!AY33="Y"),"✅ Sound",IF(AND('📝 Four-tier กรอก'!AV33='📝 Four-tier กรอก'!AV6,'📝 Four-tier กรอก'!AW33="Y",'📝 Four-tier กรอก'!AX33&lt;&gt;'📝 Four-tier กรอก'!AX6,'📝 Four-tier กรอก'!AY33="Y"),"🎲 Guess",IF(AND('📝 Four-tier กรอก'!AV33&lt;&gt;'📝 Four-tier กรอก'!AV6,'📝 Four-tier กรอก'!AW33="Y",'📝 Four-tier กรอก'!AX33&lt;&gt;'📝 Four-tier กรอก'!AX6,'📝 Four-tier กรอก'!AY33="Y"),"❌ Misc.",IF(AND('📝 Four-tier กรอก'!AV33&lt;&gt;'📝 Four-tier กรอก'!AV6,'📝 Four-tier กรอก'!AW33="N",'📝 Four-tier กรอก'!AX33&lt;&gt;'📝 Four-tier กรอก'!AX6,'📝 Four-tier กรอก'!AY33="N"),"❓ NoK","🤔 Partial")))))</f>
        <v/>
      </c>
      <c r="P31" s="67">
        <f>IF(OR('📝 Four-tier กรอก'!AZ33="",'📝 Four-tier กรอก'!BB33=""),"—",IF(AND('📝 Four-tier กรอก'!AZ33='📝 Four-tier กรอก'!AZ6,'📝 Four-tier กรอก'!BA33="Y",'📝 Four-tier กรอก'!BB33='📝 Four-tier กรอก'!BB6,'📝 Four-tier กรอก'!BC33="Y"),"✅ Sound",IF(AND('📝 Four-tier กรอก'!AZ33='📝 Four-tier กรอก'!AZ6,'📝 Four-tier กรอก'!BA33="Y",'📝 Four-tier กรอก'!BB33&lt;&gt;'📝 Four-tier กรอก'!BB6,'📝 Four-tier กรอก'!BC33="Y"),"🎲 Guess",IF(AND('📝 Four-tier กรอก'!AZ33&lt;&gt;'📝 Four-tier กรอก'!AZ6,'📝 Four-tier กรอก'!BA33="Y",'📝 Four-tier กรอก'!BB33&lt;&gt;'📝 Four-tier กรอก'!BB6,'📝 Four-tier กรอก'!BC33="Y"),"❌ Misc.",IF(AND('📝 Four-tier กรอก'!AZ33&lt;&gt;'📝 Four-tier กรอก'!AZ6,'📝 Four-tier กรอก'!BA33="N",'📝 Four-tier กรอก'!BB33&lt;&gt;'📝 Four-tier กรอก'!BB6,'📝 Four-tier กรอก'!BC33="N"),"❓ NoK","🤔 Partial")))))</f>
        <v/>
      </c>
      <c r="Q31" s="67">
        <f>IF(OR('📝 Four-tier กรอก'!BD33="",'📝 Four-tier กรอก'!BF33=""),"—",IF(AND('📝 Four-tier กรอก'!BD33='📝 Four-tier กรอก'!BD6,'📝 Four-tier กรอก'!BE33="Y",'📝 Four-tier กรอก'!BF33='📝 Four-tier กรอก'!BF6,'📝 Four-tier กรอก'!BG33="Y"),"✅ Sound",IF(AND('📝 Four-tier กรอก'!BD33='📝 Four-tier กรอก'!BD6,'📝 Four-tier กรอก'!BE33="Y",'📝 Four-tier กรอก'!BF33&lt;&gt;'📝 Four-tier กรอก'!BF6,'📝 Four-tier กรอก'!BG33="Y"),"🎲 Guess",IF(AND('📝 Four-tier กรอก'!BD33&lt;&gt;'📝 Four-tier กรอก'!BD6,'📝 Four-tier กรอก'!BE33="Y",'📝 Four-tier กรอก'!BF33&lt;&gt;'📝 Four-tier กรอก'!BF6,'📝 Four-tier กรอก'!BG33="Y"),"❌ Misc.",IF(AND('📝 Four-tier กรอก'!BD33&lt;&gt;'📝 Four-tier กรอก'!BD6,'📝 Four-tier กรอก'!BE33="N",'📝 Four-tier กรอก'!BF33&lt;&gt;'📝 Four-tier กรอก'!BF6,'📝 Four-tier กรอก'!BG33="N"),"❓ NoK","🤔 Partial")))))</f>
        <v/>
      </c>
      <c r="R31" s="67">
        <f>IF(OR('📝 Four-tier กรอก'!BH33="",'📝 Four-tier กรอก'!BJ33=""),"—",IF(AND('📝 Four-tier กรอก'!BH33='📝 Four-tier กรอก'!BH6,'📝 Four-tier กรอก'!BI33="Y",'📝 Four-tier กรอก'!BJ33='📝 Four-tier กรอก'!BJ6,'📝 Four-tier กรอก'!BK33="Y"),"✅ Sound",IF(AND('📝 Four-tier กรอก'!BH33='📝 Four-tier กรอก'!BH6,'📝 Four-tier กรอก'!BI33="Y",'📝 Four-tier กรอก'!BJ33&lt;&gt;'📝 Four-tier กรอก'!BJ6,'📝 Four-tier กรอก'!BK33="Y"),"🎲 Guess",IF(AND('📝 Four-tier กรอก'!BH33&lt;&gt;'📝 Four-tier กรอก'!BH6,'📝 Four-tier กรอก'!BI33="Y",'📝 Four-tier กรอก'!BJ33&lt;&gt;'📝 Four-tier กรอก'!BJ6,'📝 Four-tier กรอก'!BK33="Y"),"❌ Misc.",IF(AND('📝 Four-tier กรอก'!BH33&lt;&gt;'📝 Four-tier กรอก'!BH6,'📝 Four-tier กรอก'!BI33="N",'📝 Four-tier กรอก'!BJ33&lt;&gt;'📝 Four-tier กรอก'!BJ6,'📝 Four-tier กรอก'!BK33="N"),"❓ NoK","🤔 Partial")))))</f>
        <v/>
      </c>
      <c r="S31" s="67">
        <f>IF(OR('📝 Four-tier กรอก'!BL33="",'📝 Four-tier กรอก'!BN33=""),"—",IF(AND('📝 Four-tier กรอก'!BL33='📝 Four-tier กรอก'!BL6,'📝 Four-tier กรอก'!BM33="Y",'📝 Four-tier กรอก'!BN33='📝 Four-tier กรอก'!BN6,'📝 Four-tier กรอก'!BO33="Y"),"✅ Sound",IF(AND('📝 Four-tier กรอก'!BL33='📝 Four-tier กรอก'!BL6,'📝 Four-tier กรอก'!BM33="Y",'📝 Four-tier กรอก'!BN33&lt;&gt;'📝 Four-tier กรอก'!BN6,'📝 Four-tier กรอก'!BO33="Y"),"🎲 Guess",IF(AND('📝 Four-tier กรอก'!BL33&lt;&gt;'📝 Four-tier กรอก'!BL6,'📝 Four-tier กรอก'!BM33="Y",'📝 Four-tier กรอก'!BN33&lt;&gt;'📝 Four-tier กรอก'!BN6,'📝 Four-tier กรอก'!BO33="Y"),"❌ Misc.",IF(AND('📝 Four-tier กรอก'!BL33&lt;&gt;'📝 Four-tier กรอก'!BL6,'📝 Four-tier กรอก'!BM33="N",'📝 Four-tier กรอก'!BN33&lt;&gt;'📝 Four-tier กรอก'!BN6,'📝 Four-tier กรอก'!BO33="N"),"❓ NoK","🤔 Partial")))))</f>
        <v/>
      </c>
      <c r="T31" s="67">
        <f>IF(OR('📝 Four-tier กรอก'!BP33="",'📝 Four-tier กรอก'!BR33=""),"—",IF(AND('📝 Four-tier กรอก'!BP33='📝 Four-tier กรอก'!BP6,'📝 Four-tier กรอก'!BQ33="Y",'📝 Four-tier กรอก'!BR33='📝 Four-tier กรอก'!BR6,'📝 Four-tier กรอก'!BS33="Y"),"✅ Sound",IF(AND('📝 Four-tier กรอก'!BP33='📝 Four-tier กรอก'!BP6,'📝 Four-tier กรอก'!BQ33="Y",'📝 Four-tier กรอก'!BR33&lt;&gt;'📝 Four-tier กรอก'!BR6,'📝 Four-tier กรอก'!BS33="Y"),"🎲 Guess",IF(AND('📝 Four-tier กรอก'!BP33&lt;&gt;'📝 Four-tier กรอก'!BP6,'📝 Four-tier กรอก'!BQ33="Y",'📝 Four-tier กรอก'!BR33&lt;&gt;'📝 Four-tier กรอก'!BR6,'📝 Four-tier กรอก'!BS33="Y"),"❌ Misc.",IF(AND('📝 Four-tier กรอก'!BP33&lt;&gt;'📝 Four-tier กรอก'!BP6,'📝 Four-tier กรอก'!BQ33="N",'📝 Four-tier กรอก'!BR33&lt;&gt;'📝 Four-tier กรอก'!BR6,'📝 Four-tier กรอก'!BS33="N"),"❓ NoK","🤔 Partial")))))</f>
        <v/>
      </c>
      <c r="U31" s="67">
        <f>IF(OR('📝 Four-tier กรอก'!BT33="",'📝 Four-tier กรอก'!BV33=""),"—",IF(AND('📝 Four-tier กรอก'!BT33='📝 Four-tier กรอก'!BT6,'📝 Four-tier กรอก'!BU33="Y",'📝 Four-tier กรอก'!BV33='📝 Four-tier กรอก'!BV6,'📝 Four-tier กรอก'!BW33="Y"),"✅ Sound",IF(AND('📝 Four-tier กรอก'!BT33='📝 Four-tier กรอก'!BT6,'📝 Four-tier กรอก'!BU33="Y",'📝 Four-tier กรอก'!BV33&lt;&gt;'📝 Four-tier กรอก'!BV6,'📝 Four-tier กรอก'!BW33="Y"),"🎲 Guess",IF(AND('📝 Four-tier กรอก'!BT33&lt;&gt;'📝 Four-tier กรอก'!BT6,'📝 Four-tier กรอก'!BU33="Y",'📝 Four-tier กรอก'!BV33&lt;&gt;'📝 Four-tier กรอก'!BV6,'📝 Four-tier กรอก'!BW33="Y"),"❌ Misc.",IF(AND('📝 Four-tier กรอก'!BT33&lt;&gt;'📝 Four-tier กรอก'!BT6,'📝 Four-tier กรอก'!BU33="N",'📝 Four-tier กรอก'!BV33&lt;&gt;'📝 Four-tier กรอก'!BV6,'📝 Four-tier กรอก'!BW33="N"),"❓ NoK","🤔 Partial")))))</f>
        <v/>
      </c>
      <c r="V31" s="67">
        <f>IF(OR('📝 Four-tier กรอก'!BX33="",'📝 Four-tier กรอก'!BZ33=""),"—",IF(AND('📝 Four-tier กรอก'!BX33='📝 Four-tier กรอก'!BX6,'📝 Four-tier กรอก'!BY33="Y",'📝 Four-tier กรอก'!BZ33='📝 Four-tier กรอก'!BZ6,'📝 Four-tier กรอก'!CA33="Y"),"✅ Sound",IF(AND('📝 Four-tier กรอก'!BX33='📝 Four-tier กรอก'!BX6,'📝 Four-tier กรอก'!BY33="Y",'📝 Four-tier กรอก'!BZ33&lt;&gt;'📝 Four-tier กรอก'!BZ6,'📝 Four-tier กรอก'!CA33="Y"),"🎲 Guess",IF(AND('📝 Four-tier กรอก'!BX33&lt;&gt;'📝 Four-tier กรอก'!BX6,'📝 Four-tier กรอก'!BY33="Y",'📝 Four-tier กรอก'!BZ33&lt;&gt;'📝 Four-tier กรอก'!BZ6,'📝 Four-tier กรอก'!CA33="Y"),"❌ Misc.",IF(AND('📝 Four-tier กรอก'!BX33&lt;&gt;'📝 Four-tier กรอก'!BX6,'📝 Four-tier กรอก'!BY33="N",'📝 Four-tier กรอก'!BZ33&lt;&gt;'📝 Four-tier กรอก'!BZ6,'📝 Four-tier กรอก'!CA33="N"),"❓ NoK","🤔 Partial")))))</f>
        <v/>
      </c>
      <c r="W31" s="67">
        <f>IF(OR('📝 Four-tier กรอก'!CB33="",'📝 Four-tier กรอก'!CD33=""),"—",IF(AND('📝 Four-tier กรอก'!CB33='📝 Four-tier กรอก'!CB6,'📝 Four-tier กรอก'!CC33="Y",'📝 Four-tier กรอก'!CD33='📝 Four-tier กรอก'!CD6,'📝 Four-tier กรอก'!CE33="Y"),"✅ Sound",IF(AND('📝 Four-tier กรอก'!CB33='📝 Four-tier กรอก'!CB6,'📝 Four-tier กรอก'!CC33="Y",'📝 Four-tier กรอก'!CD33&lt;&gt;'📝 Four-tier กรอก'!CD6,'📝 Four-tier กรอก'!CE33="Y"),"🎲 Guess",IF(AND('📝 Four-tier กรอก'!CB33&lt;&gt;'📝 Four-tier กรอก'!CB6,'📝 Four-tier กรอก'!CC33="Y",'📝 Four-tier กรอก'!CD33&lt;&gt;'📝 Four-tier กรอก'!CD6,'📝 Four-tier กรอก'!CE33="Y"),"❌ Misc.",IF(AND('📝 Four-tier กรอก'!CB33&lt;&gt;'📝 Four-tier กรอก'!CB6,'📝 Four-tier กรอก'!CC33="N",'📝 Four-tier กรอก'!CD33&lt;&gt;'📝 Four-tier กรอก'!CD6,'📝 Four-tier กรอก'!CE33="N"),"❓ NoK","🤔 Partial")))))</f>
        <v/>
      </c>
      <c r="X31" s="37">
        <f>COUNTIF(D31:W31,"✅ Sound")</f>
        <v/>
      </c>
      <c r="Y31" s="37">
        <f>COUNTIF(D31:W31,"❌ Misc.")</f>
        <v/>
      </c>
      <c r="Z31" s="37">
        <f>COUNTIF(D31:W31,"🎲 Guess")</f>
        <v/>
      </c>
      <c r="AA31" s="37">
        <f>COUNTIF(D31:W31,"❓ NoK")</f>
        <v/>
      </c>
    </row>
    <row r="32" ht="18" customHeight="1">
      <c r="B32" s="46">
        <f>'📝 Four-tier กรอก'!B34</f>
        <v/>
      </c>
      <c r="C32" s="51">
        <f>'📝 Four-tier กรอก'!C34</f>
        <v/>
      </c>
      <c r="D32" s="68">
        <f>IF(OR('📝 Four-tier กรอก'!D34="",'📝 Four-tier กรอก'!F34=""),"—",IF(AND('📝 Four-tier กรอก'!D34='📝 Four-tier กรอก'!D6,'📝 Four-tier กรอก'!E34="Y",'📝 Four-tier กรอก'!F34='📝 Four-tier กรอก'!F6,'📝 Four-tier กรอก'!G34="Y"),"✅ Sound",IF(AND('📝 Four-tier กรอก'!D34='📝 Four-tier กรอก'!D6,'📝 Four-tier กรอก'!E34="Y",'📝 Four-tier กรอก'!F34&lt;&gt;'📝 Four-tier กรอก'!F6,'📝 Four-tier กรอก'!G34="Y"),"🎲 Guess",IF(AND('📝 Four-tier กรอก'!D34&lt;&gt;'📝 Four-tier กรอก'!D6,'📝 Four-tier กรอก'!E34="Y",'📝 Four-tier กรอก'!F34&lt;&gt;'📝 Four-tier กรอก'!F6,'📝 Four-tier กรอก'!G34="Y"),"❌ Misc.",IF(AND('📝 Four-tier กรอก'!D34&lt;&gt;'📝 Four-tier กรอก'!D6,'📝 Four-tier กรอก'!E34="N",'📝 Four-tier กรอก'!F34&lt;&gt;'📝 Four-tier กรอก'!F6,'📝 Four-tier กรอก'!G34="N"),"❓ NoK","🤔 Partial")))))</f>
        <v/>
      </c>
      <c r="E32" s="68">
        <f>IF(OR('📝 Four-tier กรอก'!H34="",'📝 Four-tier กรอก'!J34=""),"—",IF(AND('📝 Four-tier กรอก'!H34='📝 Four-tier กรอก'!H6,'📝 Four-tier กรอก'!I34="Y",'📝 Four-tier กรอก'!J34='📝 Four-tier กรอก'!J6,'📝 Four-tier กรอก'!K34="Y"),"✅ Sound",IF(AND('📝 Four-tier กรอก'!H34='📝 Four-tier กรอก'!H6,'📝 Four-tier กรอก'!I34="Y",'📝 Four-tier กรอก'!J34&lt;&gt;'📝 Four-tier กรอก'!J6,'📝 Four-tier กรอก'!K34="Y"),"🎲 Guess",IF(AND('📝 Four-tier กรอก'!H34&lt;&gt;'📝 Four-tier กรอก'!H6,'📝 Four-tier กรอก'!I34="Y",'📝 Four-tier กรอก'!J34&lt;&gt;'📝 Four-tier กรอก'!J6,'📝 Four-tier กรอก'!K34="Y"),"❌ Misc.",IF(AND('📝 Four-tier กรอก'!H34&lt;&gt;'📝 Four-tier กรอก'!H6,'📝 Four-tier กรอก'!I34="N",'📝 Four-tier กรอก'!J34&lt;&gt;'📝 Four-tier กรอก'!J6,'📝 Four-tier กรอก'!K34="N"),"❓ NoK","🤔 Partial")))))</f>
        <v/>
      </c>
      <c r="F32" s="68">
        <f>IF(OR('📝 Four-tier กรอก'!L34="",'📝 Four-tier กรอก'!N34=""),"—",IF(AND('📝 Four-tier กรอก'!L34='📝 Four-tier กรอก'!L6,'📝 Four-tier กรอก'!M34="Y",'📝 Four-tier กรอก'!N34='📝 Four-tier กรอก'!N6,'📝 Four-tier กรอก'!O34="Y"),"✅ Sound",IF(AND('📝 Four-tier กรอก'!L34='📝 Four-tier กรอก'!L6,'📝 Four-tier กรอก'!M34="Y",'📝 Four-tier กรอก'!N34&lt;&gt;'📝 Four-tier กรอก'!N6,'📝 Four-tier กรอก'!O34="Y"),"🎲 Guess",IF(AND('📝 Four-tier กรอก'!L34&lt;&gt;'📝 Four-tier กรอก'!L6,'📝 Four-tier กรอก'!M34="Y",'📝 Four-tier กรอก'!N34&lt;&gt;'📝 Four-tier กรอก'!N6,'📝 Four-tier กรอก'!O34="Y"),"❌ Misc.",IF(AND('📝 Four-tier กรอก'!L34&lt;&gt;'📝 Four-tier กรอก'!L6,'📝 Four-tier กรอก'!M34="N",'📝 Four-tier กรอก'!N34&lt;&gt;'📝 Four-tier กรอก'!N6,'📝 Four-tier กรอก'!O34="N"),"❓ NoK","🤔 Partial")))))</f>
        <v/>
      </c>
      <c r="G32" s="68">
        <f>IF(OR('📝 Four-tier กรอก'!P34="",'📝 Four-tier กรอก'!R34=""),"—",IF(AND('📝 Four-tier กรอก'!P34='📝 Four-tier กรอก'!P6,'📝 Four-tier กรอก'!Q34="Y",'📝 Four-tier กรอก'!R34='📝 Four-tier กรอก'!R6,'📝 Four-tier กรอก'!S34="Y"),"✅ Sound",IF(AND('📝 Four-tier กรอก'!P34='📝 Four-tier กรอก'!P6,'📝 Four-tier กรอก'!Q34="Y",'📝 Four-tier กรอก'!R34&lt;&gt;'📝 Four-tier กรอก'!R6,'📝 Four-tier กรอก'!S34="Y"),"🎲 Guess",IF(AND('📝 Four-tier กรอก'!P34&lt;&gt;'📝 Four-tier กรอก'!P6,'📝 Four-tier กรอก'!Q34="Y",'📝 Four-tier กรอก'!R34&lt;&gt;'📝 Four-tier กรอก'!R6,'📝 Four-tier กรอก'!S34="Y"),"❌ Misc.",IF(AND('📝 Four-tier กรอก'!P34&lt;&gt;'📝 Four-tier กรอก'!P6,'📝 Four-tier กรอก'!Q34="N",'📝 Four-tier กรอก'!R34&lt;&gt;'📝 Four-tier กรอก'!R6,'📝 Four-tier กรอก'!S34="N"),"❓ NoK","🤔 Partial")))))</f>
        <v/>
      </c>
      <c r="H32" s="68">
        <f>IF(OR('📝 Four-tier กรอก'!T34="",'📝 Four-tier กรอก'!V34=""),"—",IF(AND('📝 Four-tier กรอก'!T34='📝 Four-tier กรอก'!T6,'📝 Four-tier กรอก'!U34="Y",'📝 Four-tier กรอก'!V34='📝 Four-tier กรอก'!V6,'📝 Four-tier กรอก'!W34="Y"),"✅ Sound",IF(AND('📝 Four-tier กรอก'!T34='📝 Four-tier กรอก'!T6,'📝 Four-tier กรอก'!U34="Y",'📝 Four-tier กรอก'!V34&lt;&gt;'📝 Four-tier กรอก'!V6,'📝 Four-tier กรอก'!W34="Y"),"🎲 Guess",IF(AND('📝 Four-tier กรอก'!T34&lt;&gt;'📝 Four-tier กรอก'!T6,'📝 Four-tier กรอก'!U34="Y",'📝 Four-tier กรอก'!V34&lt;&gt;'📝 Four-tier กรอก'!V6,'📝 Four-tier กรอก'!W34="Y"),"❌ Misc.",IF(AND('📝 Four-tier กรอก'!T34&lt;&gt;'📝 Four-tier กรอก'!T6,'📝 Four-tier กรอก'!U34="N",'📝 Four-tier กรอก'!V34&lt;&gt;'📝 Four-tier กรอก'!V6,'📝 Four-tier กรอก'!W34="N"),"❓ NoK","🤔 Partial")))))</f>
        <v/>
      </c>
      <c r="I32" s="68">
        <f>IF(OR('📝 Four-tier กรอก'!X34="",'📝 Four-tier กรอก'!Z34=""),"—",IF(AND('📝 Four-tier กรอก'!X34='📝 Four-tier กรอก'!X6,'📝 Four-tier กรอก'!Y34="Y",'📝 Four-tier กรอก'!Z34='📝 Four-tier กรอก'!Z6,'📝 Four-tier กรอก'!AA34="Y"),"✅ Sound",IF(AND('📝 Four-tier กรอก'!X34='📝 Four-tier กรอก'!X6,'📝 Four-tier กรอก'!Y34="Y",'📝 Four-tier กรอก'!Z34&lt;&gt;'📝 Four-tier กรอก'!Z6,'📝 Four-tier กรอก'!AA34="Y"),"🎲 Guess",IF(AND('📝 Four-tier กรอก'!X34&lt;&gt;'📝 Four-tier กรอก'!X6,'📝 Four-tier กรอก'!Y34="Y",'📝 Four-tier กรอก'!Z34&lt;&gt;'📝 Four-tier กรอก'!Z6,'📝 Four-tier กรอก'!AA34="Y"),"❌ Misc.",IF(AND('📝 Four-tier กรอก'!X34&lt;&gt;'📝 Four-tier กรอก'!X6,'📝 Four-tier กรอก'!Y34="N",'📝 Four-tier กรอก'!Z34&lt;&gt;'📝 Four-tier กรอก'!Z6,'📝 Four-tier กรอก'!AA34="N"),"❓ NoK","🤔 Partial")))))</f>
        <v/>
      </c>
      <c r="J32" s="68">
        <f>IF(OR('📝 Four-tier กรอก'!AB34="",'📝 Four-tier กรอก'!AD34=""),"—",IF(AND('📝 Four-tier กรอก'!AB34='📝 Four-tier กรอก'!AB6,'📝 Four-tier กรอก'!AC34="Y",'📝 Four-tier กรอก'!AD34='📝 Four-tier กรอก'!AD6,'📝 Four-tier กรอก'!AE34="Y"),"✅ Sound",IF(AND('📝 Four-tier กรอก'!AB34='📝 Four-tier กรอก'!AB6,'📝 Four-tier กรอก'!AC34="Y",'📝 Four-tier กรอก'!AD34&lt;&gt;'📝 Four-tier กรอก'!AD6,'📝 Four-tier กรอก'!AE34="Y"),"🎲 Guess",IF(AND('📝 Four-tier กรอก'!AB34&lt;&gt;'📝 Four-tier กรอก'!AB6,'📝 Four-tier กรอก'!AC34="Y",'📝 Four-tier กรอก'!AD34&lt;&gt;'📝 Four-tier กรอก'!AD6,'📝 Four-tier กรอก'!AE34="Y"),"❌ Misc.",IF(AND('📝 Four-tier กรอก'!AB34&lt;&gt;'📝 Four-tier กรอก'!AB6,'📝 Four-tier กรอก'!AC34="N",'📝 Four-tier กรอก'!AD34&lt;&gt;'📝 Four-tier กรอก'!AD6,'📝 Four-tier กรอก'!AE34="N"),"❓ NoK","🤔 Partial")))))</f>
        <v/>
      </c>
      <c r="K32" s="68">
        <f>IF(OR('📝 Four-tier กรอก'!AF34="",'📝 Four-tier กรอก'!AH34=""),"—",IF(AND('📝 Four-tier กรอก'!AF34='📝 Four-tier กรอก'!AF6,'📝 Four-tier กรอก'!AG34="Y",'📝 Four-tier กรอก'!AH34='📝 Four-tier กรอก'!AH6,'📝 Four-tier กรอก'!AI34="Y"),"✅ Sound",IF(AND('📝 Four-tier กรอก'!AF34='📝 Four-tier กรอก'!AF6,'📝 Four-tier กรอก'!AG34="Y",'📝 Four-tier กรอก'!AH34&lt;&gt;'📝 Four-tier กรอก'!AH6,'📝 Four-tier กรอก'!AI34="Y"),"🎲 Guess",IF(AND('📝 Four-tier กรอก'!AF34&lt;&gt;'📝 Four-tier กรอก'!AF6,'📝 Four-tier กรอก'!AG34="Y",'📝 Four-tier กรอก'!AH34&lt;&gt;'📝 Four-tier กรอก'!AH6,'📝 Four-tier กรอก'!AI34="Y"),"❌ Misc.",IF(AND('📝 Four-tier กรอก'!AF34&lt;&gt;'📝 Four-tier กรอก'!AF6,'📝 Four-tier กรอก'!AG34="N",'📝 Four-tier กรอก'!AH34&lt;&gt;'📝 Four-tier กรอก'!AH6,'📝 Four-tier กรอก'!AI34="N"),"❓ NoK","🤔 Partial")))))</f>
        <v/>
      </c>
      <c r="L32" s="68">
        <f>IF(OR('📝 Four-tier กรอก'!AJ34="",'📝 Four-tier กรอก'!AL34=""),"—",IF(AND('📝 Four-tier กรอก'!AJ34='📝 Four-tier กรอก'!AJ6,'📝 Four-tier กรอก'!AK34="Y",'📝 Four-tier กรอก'!AL34='📝 Four-tier กรอก'!AL6,'📝 Four-tier กรอก'!AM34="Y"),"✅ Sound",IF(AND('📝 Four-tier กรอก'!AJ34='📝 Four-tier กรอก'!AJ6,'📝 Four-tier กรอก'!AK34="Y",'📝 Four-tier กรอก'!AL34&lt;&gt;'📝 Four-tier กรอก'!AL6,'📝 Four-tier กรอก'!AM34="Y"),"🎲 Guess",IF(AND('📝 Four-tier กรอก'!AJ34&lt;&gt;'📝 Four-tier กรอก'!AJ6,'📝 Four-tier กรอก'!AK34="Y",'📝 Four-tier กรอก'!AL34&lt;&gt;'📝 Four-tier กรอก'!AL6,'📝 Four-tier กรอก'!AM34="Y"),"❌ Misc.",IF(AND('📝 Four-tier กรอก'!AJ34&lt;&gt;'📝 Four-tier กรอก'!AJ6,'📝 Four-tier กรอก'!AK34="N",'📝 Four-tier กรอก'!AL34&lt;&gt;'📝 Four-tier กรอก'!AL6,'📝 Four-tier กรอก'!AM34="N"),"❓ NoK","🤔 Partial")))))</f>
        <v/>
      </c>
      <c r="M32" s="68">
        <f>IF(OR('📝 Four-tier กรอก'!AN34="",'📝 Four-tier กรอก'!AP34=""),"—",IF(AND('📝 Four-tier กรอก'!AN34='📝 Four-tier กรอก'!AN6,'📝 Four-tier กรอก'!AO34="Y",'📝 Four-tier กรอก'!AP34='📝 Four-tier กรอก'!AP6,'📝 Four-tier กรอก'!AQ34="Y"),"✅ Sound",IF(AND('📝 Four-tier กรอก'!AN34='📝 Four-tier กรอก'!AN6,'📝 Four-tier กรอก'!AO34="Y",'📝 Four-tier กรอก'!AP34&lt;&gt;'📝 Four-tier กรอก'!AP6,'📝 Four-tier กรอก'!AQ34="Y"),"🎲 Guess",IF(AND('📝 Four-tier กรอก'!AN34&lt;&gt;'📝 Four-tier กรอก'!AN6,'📝 Four-tier กรอก'!AO34="Y",'📝 Four-tier กรอก'!AP34&lt;&gt;'📝 Four-tier กรอก'!AP6,'📝 Four-tier กรอก'!AQ34="Y"),"❌ Misc.",IF(AND('📝 Four-tier กรอก'!AN34&lt;&gt;'📝 Four-tier กรอก'!AN6,'📝 Four-tier กรอก'!AO34="N",'📝 Four-tier กรอก'!AP34&lt;&gt;'📝 Four-tier กรอก'!AP6,'📝 Four-tier กรอก'!AQ34="N"),"❓ NoK","🤔 Partial")))))</f>
        <v/>
      </c>
      <c r="N32" s="68">
        <f>IF(OR('📝 Four-tier กรอก'!AR34="",'📝 Four-tier กรอก'!AT34=""),"—",IF(AND('📝 Four-tier กรอก'!AR34='📝 Four-tier กรอก'!AR6,'📝 Four-tier กรอก'!AS34="Y",'📝 Four-tier กรอก'!AT34='📝 Four-tier กรอก'!AT6,'📝 Four-tier กรอก'!AU34="Y"),"✅ Sound",IF(AND('📝 Four-tier กรอก'!AR34='📝 Four-tier กรอก'!AR6,'📝 Four-tier กรอก'!AS34="Y",'📝 Four-tier กรอก'!AT34&lt;&gt;'📝 Four-tier กรอก'!AT6,'📝 Four-tier กรอก'!AU34="Y"),"🎲 Guess",IF(AND('📝 Four-tier กรอก'!AR34&lt;&gt;'📝 Four-tier กรอก'!AR6,'📝 Four-tier กรอก'!AS34="Y",'📝 Four-tier กรอก'!AT34&lt;&gt;'📝 Four-tier กรอก'!AT6,'📝 Four-tier กรอก'!AU34="Y"),"❌ Misc.",IF(AND('📝 Four-tier กรอก'!AR34&lt;&gt;'📝 Four-tier กรอก'!AR6,'📝 Four-tier กรอก'!AS34="N",'📝 Four-tier กรอก'!AT34&lt;&gt;'📝 Four-tier กรอก'!AT6,'📝 Four-tier กรอก'!AU34="N"),"❓ NoK","🤔 Partial")))))</f>
        <v/>
      </c>
      <c r="O32" s="68">
        <f>IF(OR('📝 Four-tier กรอก'!AV34="",'📝 Four-tier กรอก'!AX34=""),"—",IF(AND('📝 Four-tier กรอก'!AV34='📝 Four-tier กรอก'!AV6,'📝 Four-tier กรอก'!AW34="Y",'📝 Four-tier กรอก'!AX34='📝 Four-tier กรอก'!AX6,'📝 Four-tier กรอก'!AY34="Y"),"✅ Sound",IF(AND('📝 Four-tier กรอก'!AV34='📝 Four-tier กรอก'!AV6,'📝 Four-tier กรอก'!AW34="Y",'📝 Four-tier กรอก'!AX34&lt;&gt;'📝 Four-tier กรอก'!AX6,'📝 Four-tier กรอก'!AY34="Y"),"🎲 Guess",IF(AND('📝 Four-tier กรอก'!AV34&lt;&gt;'📝 Four-tier กรอก'!AV6,'📝 Four-tier กรอก'!AW34="Y",'📝 Four-tier กรอก'!AX34&lt;&gt;'📝 Four-tier กรอก'!AX6,'📝 Four-tier กรอก'!AY34="Y"),"❌ Misc.",IF(AND('📝 Four-tier กรอก'!AV34&lt;&gt;'📝 Four-tier กรอก'!AV6,'📝 Four-tier กรอก'!AW34="N",'📝 Four-tier กรอก'!AX34&lt;&gt;'📝 Four-tier กรอก'!AX6,'📝 Four-tier กรอก'!AY34="N"),"❓ NoK","🤔 Partial")))))</f>
        <v/>
      </c>
      <c r="P32" s="68">
        <f>IF(OR('📝 Four-tier กรอก'!AZ34="",'📝 Four-tier กรอก'!BB34=""),"—",IF(AND('📝 Four-tier กรอก'!AZ34='📝 Four-tier กรอก'!AZ6,'📝 Four-tier กรอก'!BA34="Y",'📝 Four-tier กรอก'!BB34='📝 Four-tier กรอก'!BB6,'📝 Four-tier กรอก'!BC34="Y"),"✅ Sound",IF(AND('📝 Four-tier กรอก'!AZ34='📝 Four-tier กรอก'!AZ6,'📝 Four-tier กรอก'!BA34="Y",'📝 Four-tier กรอก'!BB34&lt;&gt;'📝 Four-tier กรอก'!BB6,'📝 Four-tier กรอก'!BC34="Y"),"🎲 Guess",IF(AND('📝 Four-tier กรอก'!AZ34&lt;&gt;'📝 Four-tier กรอก'!AZ6,'📝 Four-tier กรอก'!BA34="Y",'📝 Four-tier กรอก'!BB34&lt;&gt;'📝 Four-tier กรอก'!BB6,'📝 Four-tier กรอก'!BC34="Y"),"❌ Misc.",IF(AND('📝 Four-tier กรอก'!AZ34&lt;&gt;'📝 Four-tier กรอก'!AZ6,'📝 Four-tier กรอก'!BA34="N",'📝 Four-tier กรอก'!BB34&lt;&gt;'📝 Four-tier กรอก'!BB6,'📝 Four-tier กรอก'!BC34="N"),"❓ NoK","🤔 Partial")))))</f>
        <v/>
      </c>
      <c r="Q32" s="68">
        <f>IF(OR('📝 Four-tier กรอก'!BD34="",'📝 Four-tier กรอก'!BF34=""),"—",IF(AND('📝 Four-tier กรอก'!BD34='📝 Four-tier กรอก'!BD6,'📝 Four-tier กรอก'!BE34="Y",'📝 Four-tier กรอก'!BF34='📝 Four-tier กรอก'!BF6,'📝 Four-tier กรอก'!BG34="Y"),"✅ Sound",IF(AND('📝 Four-tier กรอก'!BD34='📝 Four-tier กรอก'!BD6,'📝 Four-tier กรอก'!BE34="Y",'📝 Four-tier กรอก'!BF34&lt;&gt;'📝 Four-tier กรอก'!BF6,'📝 Four-tier กรอก'!BG34="Y"),"🎲 Guess",IF(AND('📝 Four-tier กรอก'!BD34&lt;&gt;'📝 Four-tier กรอก'!BD6,'📝 Four-tier กรอก'!BE34="Y",'📝 Four-tier กรอก'!BF34&lt;&gt;'📝 Four-tier กรอก'!BF6,'📝 Four-tier กรอก'!BG34="Y"),"❌ Misc.",IF(AND('📝 Four-tier กรอก'!BD34&lt;&gt;'📝 Four-tier กรอก'!BD6,'📝 Four-tier กรอก'!BE34="N",'📝 Four-tier กรอก'!BF34&lt;&gt;'📝 Four-tier กรอก'!BF6,'📝 Four-tier กรอก'!BG34="N"),"❓ NoK","🤔 Partial")))))</f>
        <v/>
      </c>
      <c r="R32" s="68">
        <f>IF(OR('📝 Four-tier กรอก'!BH34="",'📝 Four-tier กรอก'!BJ34=""),"—",IF(AND('📝 Four-tier กรอก'!BH34='📝 Four-tier กรอก'!BH6,'📝 Four-tier กรอก'!BI34="Y",'📝 Four-tier กรอก'!BJ34='📝 Four-tier กรอก'!BJ6,'📝 Four-tier กรอก'!BK34="Y"),"✅ Sound",IF(AND('📝 Four-tier กรอก'!BH34='📝 Four-tier กรอก'!BH6,'📝 Four-tier กรอก'!BI34="Y",'📝 Four-tier กรอก'!BJ34&lt;&gt;'📝 Four-tier กรอก'!BJ6,'📝 Four-tier กรอก'!BK34="Y"),"🎲 Guess",IF(AND('📝 Four-tier กรอก'!BH34&lt;&gt;'📝 Four-tier กรอก'!BH6,'📝 Four-tier กรอก'!BI34="Y",'📝 Four-tier กรอก'!BJ34&lt;&gt;'📝 Four-tier กรอก'!BJ6,'📝 Four-tier กรอก'!BK34="Y"),"❌ Misc.",IF(AND('📝 Four-tier กรอก'!BH34&lt;&gt;'📝 Four-tier กรอก'!BH6,'📝 Four-tier กรอก'!BI34="N",'📝 Four-tier กรอก'!BJ34&lt;&gt;'📝 Four-tier กรอก'!BJ6,'📝 Four-tier กรอก'!BK34="N"),"❓ NoK","🤔 Partial")))))</f>
        <v/>
      </c>
      <c r="S32" s="68">
        <f>IF(OR('📝 Four-tier กรอก'!BL34="",'📝 Four-tier กรอก'!BN34=""),"—",IF(AND('📝 Four-tier กรอก'!BL34='📝 Four-tier กรอก'!BL6,'📝 Four-tier กรอก'!BM34="Y",'📝 Four-tier กรอก'!BN34='📝 Four-tier กรอก'!BN6,'📝 Four-tier กรอก'!BO34="Y"),"✅ Sound",IF(AND('📝 Four-tier กรอก'!BL34='📝 Four-tier กรอก'!BL6,'📝 Four-tier กรอก'!BM34="Y",'📝 Four-tier กรอก'!BN34&lt;&gt;'📝 Four-tier กรอก'!BN6,'📝 Four-tier กรอก'!BO34="Y"),"🎲 Guess",IF(AND('📝 Four-tier กรอก'!BL34&lt;&gt;'📝 Four-tier กรอก'!BL6,'📝 Four-tier กรอก'!BM34="Y",'📝 Four-tier กรอก'!BN34&lt;&gt;'📝 Four-tier กรอก'!BN6,'📝 Four-tier กรอก'!BO34="Y"),"❌ Misc.",IF(AND('📝 Four-tier กรอก'!BL34&lt;&gt;'📝 Four-tier กรอก'!BL6,'📝 Four-tier กรอก'!BM34="N",'📝 Four-tier กรอก'!BN34&lt;&gt;'📝 Four-tier กรอก'!BN6,'📝 Four-tier กรอก'!BO34="N"),"❓ NoK","🤔 Partial")))))</f>
        <v/>
      </c>
      <c r="T32" s="68">
        <f>IF(OR('📝 Four-tier กรอก'!BP34="",'📝 Four-tier กรอก'!BR34=""),"—",IF(AND('📝 Four-tier กรอก'!BP34='📝 Four-tier กรอก'!BP6,'📝 Four-tier กรอก'!BQ34="Y",'📝 Four-tier กรอก'!BR34='📝 Four-tier กรอก'!BR6,'📝 Four-tier กรอก'!BS34="Y"),"✅ Sound",IF(AND('📝 Four-tier กรอก'!BP34='📝 Four-tier กรอก'!BP6,'📝 Four-tier กรอก'!BQ34="Y",'📝 Four-tier กรอก'!BR34&lt;&gt;'📝 Four-tier กรอก'!BR6,'📝 Four-tier กรอก'!BS34="Y"),"🎲 Guess",IF(AND('📝 Four-tier กรอก'!BP34&lt;&gt;'📝 Four-tier กรอก'!BP6,'📝 Four-tier กรอก'!BQ34="Y",'📝 Four-tier กรอก'!BR34&lt;&gt;'📝 Four-tier กรอก'!BR6,'📝 Four-tier กรอก'!BS34="Y"),"❌ Misc.",IF(AND('📝 Four-tier กรอก'!BP34&lt;&gt;'📝 Four-tier กรอก'!BP6,'📝 Four-tier กรอก'!BQ34="N",'📝 Four-tier กรอก'!BR34&lt;&gt;'📝 Four-tier กรอก'!BR6,'📝 Four-tier กรอก'!BS34="N"),"❓ NoK","🤔 Partial")))))</f>
        <v/>
      </c>
      <c r="U32" s="68">
        <f>IF(OR('📝 Four-tier กรอก'!BT34="",'📝 Four-tier กรอก'!BV34=""),"—",IF(AND('📝 Four-tier กรอก'!BT34='📝 Four-tier กรอก'!BT6,'📝 Four-tier กรอก'!BU34="Y",'📝 Four-tier กรอก'!BV34='📝 Four-tier กรอก'!BV6,'📝 Four-tier กรอก'!BW34="Y"),"✅ Sound",IF(AND('📝 Four-tier กรอก'!BT34='📝 Four-tier กรอก'!BT6,'📝 Four-tier กรอก'!BU34="Y",'📝 Four-tier กรอก'!BV34&lt;&gt;'📝 Four-tier กรอก'!BV6,'📝 Four-tier กรอก'!BW34="Y"),"🎲 Guess",IF(AND('📝 Four-tier กรอก'!BT34&lt;&gt;'📝 Four-tier กรอก'!BT6,'📝 Four-tier กรอก'!BU34="Y",'📝 Four-tier กรอก'!BV34&lt;&gt;'📝 Four-tier กรอก'!BV6,'📝 Four-tier กรอก'!BW34="Y"),"❌ Misc.",IF(AND('📝 Four-tier กรอก'!BT34&lt;&gt;'📝 Four-tier กรอก'!BT6,'📝 Four-tier กรอก'!BU34="N",'📝 Four-tier กรอก'!BV34&lt;&gt;'📝 Four-tier กรอก'!BV6,'📝 Four-tier กรอก'!BW34="N"),"❓ NoK","🤔 Partial")))))</f>
        <v/>
      </c>
      <c r="V32" s="68">
        <f>IF(OR('📝 Four-tier กรอก'!BX34="",'📝 Four-tier กรอก'!BZ34=""),"—",IF(AND('📝 Four-tier กรอก'!BX34='📝 Four-tier กรอก'!BX6,'📝 Four-tier กรอก'!BY34="Y",'📝 Four-tier กรอก'!BZ34='📝 Four-tier กรอก'!BZ6,'📝 Four-tier กรอก'!CA34="Y"),"✅ Sound",IF(AND('📝 Four-tier กรอก'!BX34='📝 Four-tier กรอก'!BX6,'📝 Four-tier กรอก'!BY34="Y",'📝 Four-tier กรอก'!BZ34&lt;&gt;'📝 Four-tier กรอก'!BZ6,'📝 Four-tier กรอก'!CA34="Y"),"🎲 Guess",IF(AND('📝 Four-tier กรอก'!BX34&lt;&gt;'📝 Four-tier กรอก'!BX6,'📝 Four-tier กรอก'!BY34="Y",'📝 Four-tier กรอก'!BZ34&lt;&gt;'📝 Four-tier กรอก'!BZ6,'📝 Four-tier กรอก'!CA34="Y"),"❌ Misc.",IF(AND('📝 Four-tier กรอก'!BX34&lt;&gt;'📝 Four-tier กรอก'!BX6,'📝 Four-tier กรอก'!BY34="N",'📝 Four-tier กรอก'!BZ34&lt;&gt;'📝 Four-tier กรอก'!BZ6,'📝 Four-tier กรอก'!CA34="N"),"❓ NoK","🤔 Partial")))))</f>
        <v/>
      </c>
      <c r="W32" s="68">
        <f>IF(OR('📝 Four-tier กรอก'!CB34="",'📝 Four-tier กรอก'!CD34=""),"—",IF(AND('📝 Four-tier กรอก'!CB34='📝 Four-tier กรอก'!CB6,'📝 Four-tier กรอก'!CC34="Y",'📝 Four-tier กรอก'!CD34='📝 Four-tier กรอก'!CD6,'📝 Four-tier กรอก'!CE34="Y"),"✅ Sound",IF(AND('📝 Four-tier กรอก'!CB34='📝 Four-tier กรอก'!CB6,'📝 Four-tier กรอก'!CC34="Y",'📝 Four-tier กรอก'!CD34&lt;&gt;'📝 Four-tier กรอก'!CD6,'📝 Four-tier กรอก'!CE34="Y"),"🎲 Guess",IF(AND('📝 Four-tier กรอก'!CB34&lt;&gt;'📝 Four-tier กรอก'!CB6,'📝 Four-tier กรอก'!CC34="Y",'📝 Four-tier กรอก'!CD34&lt;&gt;'📝 Four-tier กรอก'!CD6,'📝 Four-tier กรอก'!CE34="Y"),"❌ Misc.",IF(AND('📝 Four-tier กรอก'!CB34&lt;&gt;'📝 Four-tier กรอก'!CB6,'📝 Four-tier กรอก'!CC34="N",'📝 Four-tier กรอก'!CD34&lt;&gt;'📝 Four-tier กรอก'!CD6,'📝 Four-tier กรอก'!CE34="N"),"❓ NoK","🤔 Partial")))))</f>
        <v/>
      </c>
      <c r="X32" s="37">
        <f>COUNTIF(D32:W32,"✅ Sound")</f>
        <v/>
      </c>
      <c r="Y32" s="37">
        <f>COUNTIF(D32:W32,"❌ Misc.")</f>
        <v/>
      </c>
      <c r="Z32" s="37">
        <f>COUNTIF(D32:W32,"🎲 Guess")</f>
        <v/>
      </c>
      <c r="AA32" s="37">
        <f>COUNTIF(D32:W32,"❓ NoK")</f>
        <v/>
      </c>
    </row>
    <row r="33" ht="18" customHeight="1">
      <c r="B33" s="46">
        <f>'📝 Four-tier กรอก'!B35</f>
        <v/>
      </c>
      <c r="C33" s="47">
        <f>'📝 Four-tier กรอก'!C35</f>
        <v/>
      </c>
      <c r="D33" s="67">
        <f>IF(OR('📝 Four-tier กรอก'!D35="",'📝 Four-tier กรอก'!F35=""),"—",IF(AND('📝 Four-tier กรอก'!D35='📝 Four-tier กรอก'!D6,'📝 Four-tier กรอก'!E35="Y",'📝 Four-tier กรอก'!F35='📝 Four-tier กรอก'!F6,'📝 Four-tier กรอก'!G35="Y"),"✅ Sound",IF(AND('📝 Four-tier กรอก'!D35='📝 Four-tier กรอก'!D6,'📝 Four-tier กรอก'!E35="Y",'📝 Four-tier กรอก'!F35&lt;&gt;'📝 Four-tier กรอก'!F6,'📝 Four-tier กรอก'!G35="Y"),"🎲 Guess",IF(AND('📝 Four-tier กรอก'!D35&lt;&gt;'📝 Four-tier กรอก'!D6,'📝 Four-tier กรอก'!E35="Y",'📝 Four-tier กรอก'!F35&lt;&gt;'📝 Four-tier กรอก'!F6,'📝 Four-tier กรอก'!G35="Y"),"❌ Misc.",IF(AND('📝 Four-tier กรอก'!D35&lt;&gt;'📝 Four-tier กรอก'!D6,'📝 Four-tier กรอก'!E35="N",'📝 Four-tier กรอก'!F35&lt;&gt;'📝 Four-tier กรอก'!F6,'📝 Four-tier กรอก'!G35="N"),"❓ NoK","🤔 Partial")))))</f>
        <v/>
      </c>
      <c r="E33" s="67">
        <f>IF(OR('📝 Four-tier กรอก'!H35="",'📝 Four-tier กรอก'!J35=""),"—",IF(AND('📝 Four-tier กรอก'!H35='📝 Four-tier กรอก'!H6,'📝 Four-tier กรอก'!I35="Y",'📝 Four-tier กรอก'!J35='📝 Four-tier กรอก'!J6,'📝 Four-tier กรอก'!K35="Y"),"✅ Sound",IF(AND('📝 Four-tier กรอก'!H35='📝 Four-tier กรอก'!H6,'📝 Four-tier กรอก'!I35="Y",'📝 Four-tier กรอก'!J35&lt;&gt;'📝 Four-tier กรอก'!J6,'📝 Four-tier กรอก'!K35="Y"),"🎲 Guess",IF(AND('📝 Four-tier กรอก'!H35&lt;&gt;'📝 Four-tier กรอก'!H6,'📝 Four-tier กรอก'!I35="Y",'📝 Four-tier กรอก'!J35&lt;&gt;'📝 Four-tier กรอก'!J6,'📝 Four-tier กรอก'!K35="Y"),"❌ Misc.",IF(AND('📝 Four-tier กรอก'!H35&lt;&gt;'📝 Four-tier กรอก'!H6,'📝 Four-tier กรอก'!I35="N",'📝 Four-tier กรอก'!J35&lt;&gt;'📝 Four-tier กรอก'!J6,'📝 Four-tier กรอก'!K35="N"),"❓ NoK","🤔 Partial")))))</f>
        <v/>
      </c>
      <c r="F33" s="67">
        <f>IF(OR('📝 Four-tier กรอก'!L35="",'📝 Four-tier กรอก'!N35=""),"—",IF(AND('📝 Four-tier กรอก'!L35='📝 Four-tier กรอก'!L6,'📝 Four-tier กรอก'!M35="Y",'📝 Four-tier กรอก'!N35='📝 Four-tier กรอก'!N6,'📝 Four-tier กรอก'!O35="Y"),"✅ Sound",IF(AND('📝 Four-tier กรอก'!L35='📝 Four-tier กรอก'!L6,'📝 Four-tier กรอก'!M35="Y",'📝 Four-tier กรอก'!N35&lt;&gt;'📝 Four-tier กรอก'!N6,'📝 Four-tier กรอก'!O35="Y"),"🎲 Guess",IF(AND('📝 Four-tier กรอก'!L35&lt;&gt;'📝 Four-tier กรอก'!L6,'📝 Four-tier กรอก'!M35="Y",'📝 Four-tier กรอก'!N35&lt;&gt;'📝 Four-tier กรอก'!N6,'📝 Four-tier กรอก'!O35="Y"),"❌ Misc.",IF(AND('📝 Four-tier กรอก'!L35&lt;&gt;'📝 Four-tier กรอก'!L6,'📝 Four-tier กรอก'!M35="N",'📝 Four-tier กรอก'!N35&lt;&gt;'📝 Four-tier กรอก'!N6,'📝 Four-tier กรอก'!O35="N"),"❓ NoK","🤔 Partial")))))</f>
        <v/>
      </c>
      <c r="G33" s="67">
        <f>IF(OR('📝 Four-tier กรอก'!P35="",'📝 Four-tier กรอก'!R35=""),"—",IF(AND('📝 Four-tier กรอก'!P35='📝 Four-tier กรอก'!P6,'📝 Four-tier กรอก'!Q35="Y",'📝 Four-tier กรอก'!R35='📝 Four-tier กรอก'!R6,'📝 Four-tier กรอก'!S35="Y"),"✅ Sound",IF(AND('📝 Four-tier กรอก'!P35='📝 Four-tier กรอก'!P6,'📝 Four-tier กรอก'!Q35="Y",'📝 Four-tier กรอก'!R35&lt;&gt;'📝 Four-tier กรอก'!R6,'📝 Four-tier กรอก'!S35="Y"),"🎲 Guess",IF(AND('📝 Four-tier กรอก'!P35&lt;&gt;'📝 Four-tier กรอก'!P6,'📝 Four-tier กรอก'!Q35="Y",'📝 Four-tier กรอก'!R35&lt;&gt;'📝 Four-tier กรอก'!R6,'📝 Four-tier กรอก'!S35="Y"),"❌ Misc.",IF(AND('📝 Four-tier กรอก'!P35&lt;&gt;'📝 Four-tier กรอก'!P6,'📝 Four-tier กรอก'!Q35="N",'📝 Four-tier กรอก'!R35&lt;&gt;'📝 Four-tier กรอก'!R6,'📝 Four-tier กรอก'!S35="N"),"❓ NoK","🤔 Partial")))))</f>
        <v/>
      </c>
      <c r="H33" s="67">
        <f>IF(OR('📝 Four-tier กรอก'!T35="",'📝 Four-tier กรอก'!V35=""),"—",IF(AND('📝 Four-tier กรอก'!T35='📝 Four-tier กรอก'!T6,'📝 Four-tier กรอก'!U35="Y",'📝 Four-tier กรอก'!V35='📝 Four-tier กรอก'!V6,'📝 Four-tier กรอก'!W35="Y"),"✅ Sound",IF(AND('📝 Four-tier กรอก'!T35='📝 Four-tier กรอก'!T6,'📝 Four-tier กรอก'!U35="Y",'📝 Four-tier กรอก'!V35&lt;&gt;'📝 Four-tier กรอก'!V6,'📝 Four-tier กรอก'!W35="Y"),"🎲 Guess",IF(AND('📝 Four-tier กรอก'!T35&lt;&gt;'📝 Four-tier กรอก'!T6,'📝 Four-tier กรอก'!U35="Y",'📝 Four-tier กรอก'!V35&lt;&gt;'📝 Four-tier กรอก'!V6,'📝 Four-tier กรอก'!W35="Y"),"❌ Misc.",IF(AND('📝 Four-tier กรอก'!T35&lt;&gt;'📝 Four-tier กรอก'!T6,'📝 Four-tier กรอก'!U35="N",'📝 Four-tier กรอก'!V35&lt;&gt;'📝 Four-tier กรอก'!V6,'📝 Four-tier กรอก'!W35="N"),"❓ NoK","🤔 Partial")))))</f>
        <v/>
      </c>
      <c r="I33" s="67">
        <f>IF(OR('📝 Four-tier กรอก'!X35="",'📝 Four-tier กรอก'!Z35=""),"—",IF(AND('📝 Four-tier กรอก'!X35='📝 Four-tier กรอก'!X6,'📝 Four-tier กรอก'!Y35="Y",'📝 Four-tier กรอก'!Z35='📝 Four-tier กรอก'!Z6,'📝 Four-tier กรอก'!AA35="Y"),"✅ Sound",IF(AND('📝 Four-tier กรอก'!X35='📝 Four-tier กรอก'!X6,'📝 Four-tier กรอก'!Y35="Y",'📝 Four-tier กรอก'!Z35&lt;&gt;'📝 Four-tier กรอก'!Z6,'📝 Four-tier กรอก'!AA35="Y"),"🎲 Guess",IF(AND('📝 Four-tier กรอก'!X35&lt;&gt;'📝 Four-tier กรอก'!X6,'📝 Four-tier กรอก'!Y35="Y",'📝 Four-tier กรอก'!Z35&lt;&gt;'📝 Four-tier กรอก'!Z6,'📝 Four-tier กรอก'!AA35="Y"),"❌ Misc.",IF(AND('📝 Four-tier กรอก'!X35&lt;&gt;'📝 Four-tier กรอก'!X6,'📝 Four-tier กรอก'!Y35="N",'📝 Four-tier กรอก'!Z35&lt;&gt;'📝 Four-tier กรอก'!Z6,'📝 Four-tier กรอก'!AA35="N"),"❓ NoK","🤔 Partial")))))</f>
        <v/>
      </c>
      <c r="J33" s="67">
        <f>IF(OR('📝 Four-tier กรอก'!AB35="",'📝 Four-tier กรอก'!AD35=""),"—",IF(AND('📝 Four-tier กรอก'!AB35='📝 Four-tier กรอก'!AB6,'📝 Four-tier กรอก'!AC35="Y",'📝 Four-tier กรอก'!AD35='📝 Four-tier กรอก'!AD6,'📝 Four-tier กรอก'!AE35="Y"),"✅ Sound",IF(AND('📝 Four-tier กรอก'!AB35='📝 Four-tier กรอก'!AB6,'📝 Four-tier กรอก'!AC35="Y",'📝 Four-tier กรอก'!AD35&lt;&gt;'📝 Four-tier กรอก'!AD6,'📝 Four-tier กรอก'!AE35="Y"),"🎲 Guess",IF(AND('📝 Four-tier กรอก'!AB35&lt;&gt;'📝 Four-tier กรอก'!AB6,'📝 Four-tier กรอก'!AC35="Y",'📝 Four-tier กรอก'!AD35&lt;&gt;'📝 Four-tier กรอก'!AD6,'📝 Four-tier กรอก'!AE35="Y"),"❌ Misc.",IF(AND('📝 Four-tier กรอก'!AB35&lt;&gt;'📝 Four-tier กรอก'!AB6,'📝 Four-tier กรอก'!AC35="N",'📝 Four-tier กรอก'!AD35&lt;&gt;'📝 Four-tier กรอก'!AD6,'📝 Four-tier กรอก'!AE35="N"),"❓ NoK","🤔 Partial")))))</f>
        <v/>
      </c>
      <c r="K33" s="67">
        <f>IF(OR('📝 Four-tier กรอก'!AF35="",'📝 Four-tier กรอก'!AH35=""),"—",IF(AND('📝 Four-tier กรอก'!AF35='📝 Four-tier กรอก'!AF6,'📝 Four-tier กรอก'!AG35="Y",'📝 Four-tier กรอก'!AH35='📝 Four-tier กรอก'!AH6,'📝 Four-tier กรอก'!AI35="Y"),"✅ Sound",IF(AND('📝 Four-tier กรอก'!AF35='📝 Four-tier กรอก'!AF6,'📝 Four-tier กรอก'!AG35="Y",'📝 Four-tier กรอก'!AH35&lt;&gt;'📝 Four-tier กรอก'!AH6,'📝 Four-tier กรอก'!AI35="Y"),"🎲 Guess",IF(AND('📝 Four-tier กรอก'!AF35&lt;&gt;'📝 Four-tier กรอก'!AF6,'📝 Four-tier กรอก'!AG35="Y",'📝 Four-tier กรอก'!AH35&lt;&gt;'📝 Four-tier กรอก'!AH6,'📝 Four-tier กรอก'!AI35="Y"),"❌ Misc.",IF(AND('📝 Four-tier กรอก'!AF35&lt;&gt;'📝 Four-tier กรอก'!AF6,'📝 Four-tier กรอก'!AG35="N",'📝 Four-tier กรอก'!AH35&lt;&gt;'📝 Four-tier กรอก'!AH6,'📝 Four-tier กรอก'!AI35="N"),"❓ NoK","🤔 Partial")))))</f>
        <v/>
      </c>
      <c r="L33" s="67">
        <f>IF(OR('📝 Four-tier กรอก'!AJ35="",'📝 Four-tier กรอก'!AL35=""),"—",IF(AND('📝 Four-tier กรอก'!AJ35='📝 Four-tier กรอก'!AJ6,'📝 Four-tier กรอก'!AK35="Y",'📝 Four-tier กรอก'!AL35='📝 Four-tier กรอก'!AL6,'📝 Four-tier กรอก'!AM35="Y"),"✅ Sound",IF(AND('📝 Four-tier กรอก'!AJ35='📝 Four-tier กรอก'!AJ6,'📝 Four-tier กรอก'!AK35="Y",'📝 Four-tier กรอก'!AL35&lt;&gt;'📝 Four-tier กรอก'!AL6,'📝 Four-tier กรอก'!AM35="Y"),"🎲 Guess",IF(AND('📝 Four-tier กรอก'!AJ35&lt;&gt;'📝 Four-tier กรอก'!AJ6,'📝 Four-tier กรอก'!AK35="Y",'📝 Four-tier กรอก'!AL35&lt;&gt;'📝 Four-tier กรอก'!AL6,'📝 Four-tier กรอก'!AM35="Y"),"❌ Misc.",IF(AND('📝 Four-tier กรอก'!AJ35&lt;&gt;'📝 Four-tier กรอก'!AJ6,'📝 Four-tier กรอก'!AK35="N",'📝 Four-tier กรอก'!AL35&lt;&gt;'📝 Four-tier กรอก'!AL6,'📝 Four-tier กรอก'!AM35="N"),"❓ NoK","🤔 Partial")))))</f>
        <v/>
      </c>
      <c r="M33" s="67">
        <f>IF(OR('📝 Four-tier กรอก'!AN35="",'📝 Four-tier กรอก'!AP35=""),"—",IF(AND('📝 Four-tier กรอก'!AN35='📝 Four-tier กรอก'!AN6,'📝 Four-tier กรอก'!AO35="Y",'📝 Four-tier กรอก'!AP35='📝 Four-tier กรอก'!AP6,'📝 Four-tier กรอก'!AQ35="Y"),"✅ Sound",IF(AND('📝 Four-tier กรอก'!AN35='📝 Four-tier กรอก'!AN6,'📝 Four-tier กรอก'!AO35="Y",'📝 Four-tier กรอก'!AP35&lt;&gt;'📝 Four-tier กรอก'!AP6,'📝 Four-tier กรอก'!AQ35="Y"),"🎲 Guess",IF(AND('📝 Four-tier กรอก'!AN35&lt;&gt;'📝 Four-tier กรอก'!AN6,'📝 Four-tier กรอก'!AO35="Y",'📝 Four-tier กรอก'!AP35&lt;&gt;'📝 Four-tier กรอก'!AP6,'📝 Four-tier กรอก'!AQ35="Y"),"❌ Misc.",IF(AND('📝 Four-tier กรอก'!AN35&lt;&gt;'📝 Four-tier กรอก'!AN6,'📝 Four-tier กรอก'!AO35="N",'📝 Four-tier กรอก'!AP35&lt;&gt;'📝 Four-tier กรอก'!AP6,'📝 Four-tier กรอก'!AQ35="N"),"❓ NoK","🤔 Partial")))))</f>
        <v/>
      </c>
      <c r="N33" s="67">
        <f>IF(OR('📝 Four-tier กรอก'!AR35="",'📝 Four-tier กรอก'!AT35=""),"—",IF(AND('📝 Four-tier กรอก'!AR35='📝 Four-tier กรอก'!AR6,'📝 Four-tier กรอก'!AS35="Y",'📝 Four-tier กรอก'!AT35='📝 Four-tier กรอก'!AT6,'📝 Four-tier กรอก'!AU35="Y"),"✅ Sound",IF(AND('📝 Four-tier กรอก'!AR35='📝 Four-tier กรอก'!AR6,'📝 Four-tier กรอก'!AS35="Y",'📝 Four-tier กรอก'!AT35&lt;&gt;'📝 Four-tier กรอก'!AT6,'📝 Four-tier กรอก'!AU35="Y"),"🎲 Guess",IF(AND('📝 Four-tier กรอก'!AR35&lt;&gt;'📝 Four-tier กรอก'!AR6,'📝 Four-tier กรอก'!AS35="Y",'📝 Four-tier กรอก'!AT35&lt;&gt;'📝 Four-tier กรอก'!AT6,'📝 Four-tier กรอก'!AU35="Y"),"❌ Misc.",IF(AND('📝 Four-tier กรอก'!AR35&lt;&gt;'📝 Four-tier กรอก'!AR6,'📝 Four-tier กรอก'!AS35="N",'📝 Four-tier กรอก'!AT35&lt;&gt;'📝 Four-tier กรอก'!AT6,'📝 Four-tier กรอก'!AU35="N"),"❓ NoK","🤔 Partial")))))</f>
        <v/>
      </c>
      <c r="O33" s="67">
        <f>IF(OR('📝 Four-tier กรอก'!AV35="",'📝 Four-tier กรอก'!AX35=""),"—",IF(AND('📝 Four-tier กรอก'!AV35='📝 Four-tier กรอก'!AV6,'📝 Four-tier กรอก'!AW35="Y",'📝 Four-tier กรอก'!AX35='📝 Four-tier กรอก'!AX6,'📝 Four-tier กรอก'!AY35="Y"),"✅ Sound",IF(AND('📝 Four-tier กรอก'!AV35='📝 Four-tier กรอก'!AV6,'📝 Four-tier กรอก'!AW35="Y",'📝 Four-tier กรอก'!AX35&lt;&gt;'📝 Four-tier กรอก'!AX6,'📝 Four-tier กรอก'!AY35="Y"),"🎲 Guess",IF(AND('📝 Four-tier กรอก'!AV35&lt;&gt;'📝 Four-tier กรอก'!AV6,'📝 Four-tier กรอก'!AW35="Y",'📝 Four-tier กรอก'!AX35&lt;&gt;'📝 Four-tier กรอก'!AX6,'📝 Four-tier กรอก'!AY35="Y"),"❌ Misc.",IF(AND('📝 Four-tier กรอก'!AV35&lt;&gt;'📝 Four-tier กรอก'!AV6,'📝 Four-tier กรอก'!AW35="N",'📝 Four-tier กรอก'!AX35&lt;&gt;'📝 Four-tier กรอก'!AX6,'📝 Four-tier กรอก'!AY35="N"),"❓ NoK","🤔 Partial")))))</f>
        <v/>
      </c>
      <c r="P33" s="67">
        <f>IF(OR('📝 Four-tier กรอก'!AZ35="",'📝 Four-tier กรอก'!BB35=""),"—",IF(AND('📝 Four-tier กรอก'!AZ35='📝 Four-tier กรอก'!AZ6,'📝 Four-tier กรอก'!BA35="Y",'📝 Four-tier กรอก'!BB35='📝 Four-tier กรอก'!BB6,'📝 Four-tier กรอก'!BC35="Y"),"✅ Sound",IF(AND('📝 Four-tier กรอก'!AZ35='📝 Four-tier กรอก'!AZ6,'📝 Four-tier กรอก'!BA35="Y",'📝 Four-tier กรอก'!BB35&lt;&gt;'📝 Four-tier กรอก'!BB6,'📝 Four-tier กรอก'!BC35="Y"),"🎲 Guess",IF(AND('📝 Four-tier กรอก'!AZ35&lt;&gt;'📝 Four-tier กรอก'!AZ6,'📝 Four-tier กรอก'!BA35="Y",'📝 Four-tier กรอก'!BB35&lt;&gt;'📝 Four-tier กรอก'!BB6,'📝 Four-tier กรอก'!BC35="Y"),"❌ Misc.",IF(AND('📝 Four-tier กรอก'!AZ35&lt;&gt;'📝 Four-tier กรอก'!AZ6,'📝 Four-tier กรอก'!BA35="N",'📝 Four-tier กรอก'!BB35&lt;&gt;'📝 Four-tier กรอก'!BB6,'📝 Four-tier กรอก'!BC35="N"),"❓ NoK","🤔 Partial")))))</f>
        <v/>
      </c>
      <c r="Q33" s="67">
        <f>IF(OR('📝 Four-tier กรอก'!BD35="",'📝 Four-tier กรอก'!BF35=""),"—",IF(AND('📝 Four-tier กรอก'!BD35='📝 Four-tier กรอก'!BD6,'📝 Four-tier กรอก'!BE35="Y",'📝 Four-tier กรอก'!BF35='📝 Four-tier กรอก'!BF6,'📝 Four-tier กรอก'!BG35="Y"),"✅ Sound",IF(AND('📝 Four-tier กรอก'!BD35='📝 Four-tier กรอก'!BD6,'📝 Four-tier กรอก'!BE35="Y",'📝 Four-tier กรอก'!BF35&lt;&gt;'📝 Four-tier กรอก'!BF6,'📝 Four-tier กรอก'!BG35="Y"),"🎲 Guess",IF(AND('📝 Four-tier กรอก'!BD35&lt;&gt;'📝 Four-tier กรอก'!BD6,'📝 Four-tier กรอก'!BE35="Y",'📝 Four-tier กรอก'!BF35&lt;&gt;'📝 Four-tier กรอก'!BF6,'📝 Four-tier กรอก'!BG35="Y"),"❌ Misc.",IF(AND('📝 Four-tier กรอก'!BD35&lt;&gt;'📝 Four-tier กรอก'!BD6,'📝 Four-tier กรอก'!BE35="N",'📝 Four-tier กรอก'!BF35&lt;&gt;'📝 Four-tier กรอก'!BF6,'📝 Four-tier กรอก'!BG35="N"),"❓ NoK","🤔 Partial")))))</f>
        <v/>
      </c>
      <c r="R33" s="67">
        <f>IF(OR('📝 Four-tier กรอก'!BH35="",'📝 Four-tier กรอก'!BJ35=""),"—",IF(AND('📝 Four-tier กรอก'!BH35='📝 Four-tier กรอก'!BH6,'📝 Four-tier กรอก'!BI35="Y",'📝 Four-tier กรอก'!BJ35='📝 Four-tier กรอก'!BJ6,'📝 Four-tier กรอก'!BK35="Y"),"✅ Sound",IF(AND('📝 Four-tier กรอก'!BH35='📝 Four-tier กรอก'!BH6,'📝 Four-tier กรอก'!BI35="Y",'📝 Four-tier กรอก'!BJ35&lt;&gt;'📝 Four-tier กรอก'!BJ6,'📝 Four-tier กรอก'!BK35="Y"),"🎲 Guess",IF(AND('📝 Four-tier กรอก'!BH35&lt;&gt;'📝 Four-tier กรอก'!BH6,'📝 Four-tier กรอก'!BI35="Y",'📝 Four-tier กรอก'!BJ35&lt;&gt;'📝 Four-tier กรอก'!BJ6,'📝 Four-tier กรอก'!BK35="Y"),"❌ Misc.",IF(AND('📝 Four-tier กรอก'!BH35&lt;&gt;'📝 Four-tier กรอก'!BH6,'📝 Four-tier กรอก'!BI35="N",'📝 Four-tier กรอก'!BJ35&lt;&gt;'📝 Four-tier กรอก'!BJ6,'📝 Four-tier กรอก'!BK35="N"),"❓ NoK","🤔 Partial")))))</f>
        <v/>
      </c>
      <c r="S33" s="67">
        <f>IF(OR('📝 Four-tier กรอก'!BL35="",'📝 Four-tier กรอก'!BN35=""),"—",IF(AND('📝 Four-tier กรอก'!BL35='📝 Four-tier กรอก'!BL6,'📝 Four-tier กรอก'!BM35="Y",'📝 Four-tier กรอก'!BN35='📝 Four-tier กรอก'!BN6,'📝 Four-tier กรอก'!BO35="Y"),"✅ Sound",IF(AND('📝 Four-tier กรอก'!BL35='📝 Four-tier กรอก'!BL6,'📝 Four-tier กรอก'!BM35="Y",'📝 Four-tier กรอก'!BN35&lt;&gt;'📝 Four-tier กรอก'!BN6,'📝 Four-tier กรอก'!BO35="Y"),"🎲 Guess",IF(AND('📝 Four-tier กรอก'!BL35&lt;&gt;'📝 Four-tier กรอก'!BL6,'📝 Four-tier กรอก'!BM35="Y",'📝 Four-tier กรอก'!BN35&lt;&gt;'📝 Four-tier กรอก'!BN6,'📝 Four-tier กรอก'!BO35="Y"),"❌ Misc.",IF(AND('📝 Four-tier กรอก'!BL35&lt;&gt;'📝 Four-tier กรอก'!BL6,'📝 Four-tier กรอก'!BM35="N",'📝 Four-tier กรอก'!BN35&lt;&gt;'📝 Four-tier กรอก'!BN6,'📝 Four-tier กรอก'!BO35="N"),"❓ NoK","🤔 Partial")))))</f>
        <v/>
      </c>
      <c r="T33" s="67">
        <f>IF(OR('📝 Four-tier กรอก'!BP35="",'📝 Four-tier กรอก'!BR35=""),"—",IF(AND('📝 Four-tier กรอก'!BP35='📝 Four-tier กรอก'!BP6,'📝 Four-tier กรอก'!BQ35="Y",'📝 Four-tier กรอก'!BR35='📝 Four-tier กรอก'!BR6,'📝 Four-tier กรอก'!BS35="Y"),"✅ Sound",IF(AND('📝 Four-tier กรอก'!BP35='📝 Four-tier กรอก'!BP6,'📝 Four-tier กรอก'!BQ35="Y",'📝 Four-tier กรอก'!BR35&lt;&gt;'📝 Four-tier กรอก'!BR6,'📝 Four-tier กรอก'!BS35="Y"),"🎲 Guess",IF(AND('📝 Four-tier กรอก'!BP35&lt;&gt;'📝 Four-tier กรอก'!BP6,'📝 Four-tier กรอก'!BQ35="Y",'📝 Four-tier กรอก'!BR35&lt;&gt;'📝 Four-tier กรอก'!BR6,'📝 Four-tier กรอก'!BS35="Y"),"❌ Misc.",IF(AND('📝 Four-tier กรอก'!BP35&lt;&gt;'📝 Four-tier กรอก'!BP6,'📝 Four-tier กรอก'!BQ35="N",'📝 Four-tier กรอก'!BR35&lt;&gt;'📝 Four-tier กรอก'!BR6,'📝 Four-tier กรอก'!BS35="N"),"❓ NoK","🤔 Partial")))))</f>
        <v/>
      </c>
      <c r="U33" s="67">
        <f>IF(OR('📝 Four-tier กรอก'!BT35="",'📝 Four-tier กรอก'!BV35=""),"—",IF(AND('📝 Four-tier กรอก'!BT35='📝 Four-tier กรอก'!BT6,'📝 Four-tier กรอก'!BU35="Y",'📝 Four-tier กรอก'!BV35='📝 Four-tier กรอก'!BV6,'📝 Four-tier กรอก'!BW35="Y"),"✅ Sound",IF(AND('📝 Four-tier กรอก'!BT35='📝 Four-tier กรอก'!BT6,'📝 Four-tier กรอก'!BU35="Y",'📝 Four-tier กรอก'!BV35&lt;&gt;'📝 Four-tier กรอก'!BV6,'📝 Four-tier กรอก'!BW35="Y"),"🎲 Guess",IF(AND('📝 Four-tier กรอก'!BT35&lt;&gt;'📝 Four-tier กรอก'!BT6,'📝 Four-tier กรอก'!BU35="Y",'📝 Four-tier กรอก'!BV35&lt;&gt;'📝 Four-tier กรอก'!BV6,'📝 Four-tier กรอก'!BW35="Y"),"❌ Misc.",IF(AND('📝 Four-tier กรอก'!BT35&lt;&gt;'📝 Four-tier กรอก'!BT6,'📝 Four-tier กรอก'!BU35="N",'📝 Four-tier กรอก'!BV35&lt;&gt;'📝 Four-tier กรอก'!BV6,'📝 Four-tier กรอก'!BW35="N"),"❓ NoK","🤔 Partial")))))</f>
        <v/>
      </c>
      <c r="V33" s="67">
        <f>IF(OR('📝 Four-tier กรอก'!BX35="",'📝 Four-tier กรอก'!BZ35=""),"—",IF(AND('📝 Four-tier กรอก'!BX35='📝 Four-tier กรอก'!BX6,'📝 Four-tier กรอก'!BY35="Y",'📝 Four-tier กรอก'!BZ35='📝 Four-tier กรอก'!BZ6,'📝 Four-tier กรอก'!CA35="Y"),"✅ Sound",IF(AND('📝 Four-tier กรอก'!BX35='📝 Four-tier กรอก'!BX6,'📝 Four-tier กรอก'!BY35="Y",'📝 Four-tier กรอก'!BZ35&lt;&gt;'📝 Four-tier กรอก'!BZ6,'📝 Four-tier กรอก'!CA35="Y"),"🎲 Guess",IF(AND('📝 Four-tier กรอก'!BX35&lt;&gt;'📝 Four-tier กรอก'!BX6,'📝 Four-tier กรอก'!BY35="Y",'📝 Four-tier กรอก'!BZ35&lt;&gt;'📝 Four-tier กรอก'!BZ6,'📝 Four-tier กรอก'!CA35="Y"),"❌ Misc.",IF(AND('📝 Four-tier กรอก'!BX35&lt;&gt;'📝 Four-tier กรอก'!BX6,'📝 Four-tier กรอก'!BY35="N",'📝 Four-tier กรอก'!BZ35&lt;&gt;'📝 Four-tier กรอก'!BZ6,'📝 Four-tier กรอก'!CA35="N"),"❓ NoK","🤔 Partial")))))</f>
        <v/>
      </c>
      <c r="W33" s="67">
        <f>IF(OR('📝 Four-tier กรอก'!CB35="",'📝 Four-tier กรอก'!CD35=""),"—",IF(AND('📝 Four-tier กรอก'!CB35='📝 Four-tier กรอก'!CB6,'📝 Four-tier กรอก'!CC35="Y",'📝 Four-tier กรอก'!CD35='📝 Four-tier กรอก'!CD6,'📝 Four-tier กรอก'!CE35="Y"),"✅ Sound",IF(AND('📝 Four-tier กรอก'!CB35='📝 Four-tier กรอก'!CB6,'📝 Four-tier กรอก'!CC35="Y",'📝 Four-tier กรอก'!CD35&lt;&gt;'📝 Four-tier กรอก'!CD6,'📝 Four-tier กรอก'!CE35="Y"),"🎲 Guess",IF(AND('📝 Four-tier กรอก'!CB35&lt;&gt;'📝 Four-tier กรอก'!CB6,'📝 Four-tier กรอก'!CC35="Y",'📝 Four-tier กรอก'!CD35&lt;&gt;'📝 Four-tier กรอก'!CD6,'📝 Four-tier กรอก'!CE35="Y"),"❌ Misc.",IF(AND('📝 Four-tier กรอก'!CB35&lt;&gt;'📝 Four-tier กรอก'!CB6,'📝 Four-tier กรอก'!CC35="N",'📝 Four-tier กรอก'!CD35&lt;&gt;'📝 Four-tier กรอก'!CD6,'📝 Four-tier กรอก'!CE35="N"),"❓ NoK","🤔 Partial")))))</f>
        <v/>
      </c>
      <c r="X33" s="37">
        <f>COUNTIF(D33:W33,"✅ Sound")</f>
        <v/>
      </c>
      <c r="Y33" s="37">
        <f>COUNTIF(D33:W33,"❌ Misc.")</f>
        <v/>
      </c>
      <c r="Z33" s="37">
        <f>COUNTIF(D33:W33,"🎲 Guess")</f>
        <v/>
      </c>
      <c r="AA33" s="37">
        <f>COUNTIF(D33:W33,"❓ NoK")</f>
        <v/>
      </c>
    </row>
    <row r="34" ht="18" customHeight="1">
      <c r="B34" s="46">
        <f>'📝 Four-tier กรอก'!B36</f>
        <v/>
      </c>
      <c r="C34" s="51">
        <f>'📝 Four-tier กรอก'!C36</f>
        <v/>
      </c>
      <c r="D34" s="68">
        <f>IF(OR('📝 Four-tier กรอก'!D36="",'📝 Four-tier กรอก'!F36=""),"—",IF(AND('📝 Four-tier กรอก'!D36='📝 Four-tier กรอก'!D6,'📝 Four-tier กรอก'!E36="Y",'📝 Four-tier กรอก'!F36='📝 Four-tier กรอก'!F6,'📝 Four-tier กรอก'!G36="Y"),"✅ Sound",IF(AND('📝 Four-tier กรอก'!D36='📝 Four-tier กรอก'!D6,'📝 Four-tier กรอก'!E36="Y",'📝 Four-tier กรอก'!F36&lt;&gt;'📝 Four-tier กรอก'!F6,'📝 Four-tier กรอก'!G36="Y"),"🎲 Guess",IF(AND('📝 Four-tier กรอก'!D36&lt;&gt;'📝 Four-tier กรอก'!D6,'📝 Four-tier กรอก'!E36="Y",'📝 Four-tier กรอก'!F36&lt;&gt;'📝 Four-tier กรอก'!F6,'📝 Four-tier กรอก'!G36="Y"),"❌ Misc.",IF(AND('📝 Four-tier กรอก'!D36&lt;&gt;'📝 Four-tier กรอก'!D6,'📝 Four-tier กรอก'!E36="N",'📝 Four-tier กรอก'!F36&lt;&gt;'📝 Four-tier กรอก'!F6,'📝 Four-tier กรอก'!G36="N"),"❓ NoK","🤔 Partial")))))</f>
        <v/>
      </c>
      <c r="E34" s="68">
        <f>IF(OR('📝 Four-tier กรอก'!H36="",'📝 Four-tier กรอก'!J36=""),"—",IF(AND('📝 Four-tier กรอก'!H36='📝 Four-tier กรอก'!H6,'📝 Four-tier กรอก'!I36="Y",'📝 Four-tier กรอก'!J36='📝 Four-tier กรอก'!J6,'📝 Four-tier กรอก'!K36="Y"),"✅ Sound",IF(AND('📝 Four-tier กรอก'!H36='📝 Four-tier กรอก'!H6,'📝 Four-tier กรอก'!I36="Y",'📝 Four-tier กรอก'!J36&lt;&gt;'📝 Four-tier กรอก'!J6,'📝 Four-tier กรอก'!K36="Y"),"🎲 Guess",IF(AND('📝 Four-tier กรอก'!H36&lt;&gt;'📝 Four-tier กรอก'!H6,'📝 Four-tier กรอก'!I36="Y",'📝 Four-tier กรอก'!J36&lt;&gt;'📝 Four-tier กรอก'!J6,'📝 Four-tier กรอก'!K36="Y"),"❌ Misc.",IF(AND('📝 Four-tier กรอก'!H36&lt;&gt;'📝 Four-tier กรอก'!H6,'📝 Four-tier กรอก'!I36="N",'📝 Four-tier กรอก'!J36&lt;&gt;'📝 Four-tier กรอก'!J6,'📝 Four-tier กรอก'!K36="N"),"❓ NoK","🤔 Partial")))))</f>
        <v/>
      </c>
      <c r="F34" s="68">
        <f>IF(OR('📝 Four-tier กรอก'!L36="",'📝 Four-tier กรอก'!N36=""),"—",IF(AND('📝 Four-tier กรอก'!L36='📝 Four-tier กรอก'!L6,'📝 Four-tier กรอก'!M36="Y",'📝 Four-tier กรอก'!N36='📝 Four-tier กรอก'!N6,'📝 Four-tier กรอก'!O36="Y"),"✅ Sound",IF(AND('📝 Four-tier กรอก'!L36='📝 Four-tier กรอก'!L6,'📝 Four-tier กรอก'!M36="Y",'📝 Four-tier กรอก'!N36&lt;&gt;'📝 Four-tier กรอก'!N6,'📝 Four-tier กรอก'!O36="Y"),"🎲 Guess",IF(AND('📝 Four-tier กรอก'!L36&lt;&gt;'📝 Four-tier กรอก'!L6,'📝 Four-tier กรอก'!M36="Y",'📝 Four-tier กรอก'!N36&lt;&gt;'📝 Four-tier กรอก'!N6,'📝 Four-tier กรอก'!O36="Y"),"❌ Misc.",IF(AND('📝 Four-tier กรอก'!L36&lt;&gt;'📝 Four-tier กรอก'!L6,'📝 Four-tier กรอก'!M36="N",'📝 Four-tier กรอก'!N36&lt;&gt;'📝 Four-tier กรอก'!N6,'📝 Four-tier กรอก'!O36="N"),"❓ NoK","🤔 Partial")))))</f>
        <v/>
      </c>
      <c r="G34" s="68">
        <f>IF(OR('📝 Four-tier กรอก'!P36="",'📝 Four-tier กรอก'!R36=""),"—",IF(AND('📝 Four-tier กรอก'!P36='📝 Four-tier กรอก'!P6,'📝 Four-tier กรอก'!Q36="Y",'📝 Four-tier กรอก'!R36='📝 Four-tier กรอก'!R6,'📝 Four-tier กรอก'!S36="Y"),"✅ Sound",IF(AND('📝 Four-tier กรอก'!P36='📝 Four-tier กรอก'!P6,'📝 Four-tier กรอก'!Q36="Y",'📝 Four-tier กรอก'!R36&lt;&gt;'📝 Four-tier กรอก'!R6,'📝 Four-tier กรอก'!S36="Y"),"🎲 Guess",IF(AND('📝 Four-tier กรอก'!P36&lt;&gt;'📝 Four-tier กรอก'!P6,'📝 Four-tier กรอก'!Q36="Y",'📝 Four-tier กรอก'!R36&lt;&gt;'📝 Four-tier กรอก'!R6,'📝 Four-tier กรอก'!S36="Y"),"❌ Misc.",IF(AND('📝 Four-tier กรอก'!P36&lt;&gt;'📝 Four-tier กรอก'!P6,'📝 Four-tier กรอก'!Q36="N",'📝 Four-tier กรอก'!R36&lt;&gt;'📝 Four-tier กรอก'!R6,'📝 Four-tier กรอก'!S36="N"),"❓ NoK","🤔 Partial")))))</f>
        <v/>
      </c>
      <c r="H34" s="68">
        <f>IF(OR('📝 Four-tier กรอก'!T36="",'📝 Four-tier กรอก'!V36=""),"—",IF(AND('📝 Four-tier กรอก'!T36='📝 Four-tier กรอก'!T6,'📝 Four-tier กรอก'!U36="Y",'📝 Four-tier กรอก'!V36='📝 Four-tier กรอก'!V6,'📝 Four-tier กรอก'!W36="Y"),"✅ Sound",IF(AND('📝 Four-tier กรอก'!T36='📝 Four-tier กรอก'!T6,'📝 Four-tier กรอก'!U36="Y",'📝 Four-tier กรอก'!V36&lt;&gt;'📝 Four-tier กรอก'!V6,'📝 Four-tier กรอก'!W36="Y"),"🎲 Guess",IF(AND('📝 Four-tier กรอก'!T36&lt;&gt;'📝 Four-tier กรอก'!T6,'📝 Four-tier กรอก'!U36="Y",'📝 Four-tier กรอก'!V36&lt;&gt;'📝 Four-tier กรอก'!V6,'📝 Four-tier กรอก'!W36="Y"),"❌ Misc.",IF(AND('📝 Four-tier กรอก'!T36&lt;&gt;'📝 Four-tier กรอก'!T6,'📝 Four-tier กรอก'!U36="N",'📝 Four-tier กรอก'!V36&lt;&gt;'📝 Four-tier กรอก'!V6,'📝 Four-tier กรอก'!W36="N"),"❓ NoK","🤔 Partial")))))</f>
        <v/>
      </c>
      <c r="I34" s="68">
        <f>IF(OR('📝 Four-tier กรอก'!X36="",'📝 Four-tier กรอก'!Z36=""),"—",IF(AND('📝 Four-tier กรอก'!X36='📝 Four-tier กรอก'!X6,'📝 Four-tier กรอก'!Y36="Y",'📝 Four-tier กรอก'!Z36='📝 Four-tier กรอก'!Z6,'📝 Four-tier กรอก'!AA36="Y"),"✅ Sound",IF(AND('📝 Four-tier กรอก'!X36='📝 Four-tier กรอก'!X6,'📝 Four-tier กรอก'!Y36="Y",'📝 Four-tier กรอก'!Z36&lt;&gt;'📝 Four-tier กรอก'!Z6,'📝 Four-tier กรอก'!AA36="Y"),"🎲 Guess",IF(AND('📝 Four-tier กรอก'!X36&lt;&gt;'📝 Four-tier กรอก'!X6,'📝 Four-tier กรอก'!Y36="Y",'📝 Four-tier กรอก'!Z36&lt;&gt;'📝 Four-tier กรอก'!Z6,'📝 Four-tier กรอก'!AA36="Y"),"❌ Misc.",IF(AND('📝 Four-tier กรอก'!X36&lt;&gt;'📝 Four-tier กรอก'!X6,'📝 Four-tier กรอก'!Y36="N",'📝 Four-tier กรอก'!Z36&lt;&gt;'📝 Four-tier กรอก'!Z6,'📝 Four-tier กรอก'!AA36="N"),"❓ NoK","🤔 Partial")))))</f>
        <v/>
      </c>
      <c r="J34" s="68">
        <f>IF(OR('📝 Four-tier กรอก'!AB36="",'📝 Four-tier กรอก'!AD36=""),"—",IF(AND('📝 Four-tier กรอก'!AB36='📝 Four-tier กรอก'!AB6,'📝 Four-tier กรอก'!AC36="Y",'📝 Four-tier กรอก'!AD36='📝 Four-tier กรอก'!AD6,'📝 Four-tier กรอก'!AE36="Y"),"✅ Sound",IF(AND('📝 Four-tier กรอก'!AB36='📝 Four-tier กรอก'!AB6,'📝 Four-tier กรอก'!AC36="Y",'📝 Four-tier กรอก'!AD36&lt;&gt;'📝 Four-tier กรอก'!AD6,'📝 Four-tier กรอก'!AE36="Y"),"🎲 Guess",IF(AND('📝 Four-tier กรอก'!AB36&lt;&gt;'📝 Four-tier กรอก'!AB6,'📝 Four-tier กรอก'!AC36="Y",'📝 Four-tier กรอก'!AD36&lt;&gt;'📝 Four-tier กรอก'!AD6,'📝 Four-tier กรอก'!AE36="Y"),"❌ Misc.",IF(AND('📝 Four-tier กรอก'!AB36&lt;&gt;'📝 Four-tier กรอก'!AB6,'📝 Four-tier กรอก'!AC36="N",'📝 Four-tier กรอก'!AD36&lt;&gt;'📝 Four-tier กรอก'!AD6,'📝 Four-tier กรอก'!AE36="N"),"❓ NoK","🤔 Partial")))))</f>
        <v/>
      </c>
      <c r="K34" s="68">
        <f>IF(OR('📝 Four-tier กรอก'!AF36="",'📝 Four-tier กรอก'!AH36=""),"—",IF(AND('📝 Four-tier กรอก'!AF36='📝 Four-tier กรอก'!AF6,'📝 Four-tier กรอก'!AG36="Y",'📝 Four-tier กรอก'!AH36='📝 Four-tier กรอก'!AH6,'📝 Four-tier กรอก'!AI36="Y"),"✅ Sound",IF(AND('📝 Four-tier กรอก'!AF36='📝 Four-tier กรอก'!AF6,'📝 Four-tier กรอก'!AG36="Y",'📝 Four-tier กรอก'!AH36&lt;&gt;'📝 Four-tier กรอก'!AH6,'📝 Four-tier กรอก'!AI36="Y"),"🎲 Guess",IF(AND('📝 Four-tier กรอก'!AF36&lt;&gt;'📝 Four-tier กรอก'!AF6,'📝 Four-tier กรอก'!AG36="Y",'📝 Four-tier กรอก'!AH36&lt;&gt;'📝 Four-tier กรอก'!AH6,'📝 Four-tier กรอก'!AI36="Y"),"❌ Misc.",IF(AND('📝 Four-tier กรอก'!AF36&lt;&gt;'📝 Four-tier กรอก'!AF6,'📝 Four-tier กรอก'!AG36="N",'📝 Four-tier กรอก'!AH36&lt;&gt;'📝 Four-tier กรอก'!AH6,'📝 Four-tier กรอก'!AI36="N"),"❓ NoK","🤔 Partial")))))</f>
        <v/>
      </c>
      <c r="L34" s="68">
        <f>IF(OR('📝 Four-tier กรอก'!AJ36="",'📝 Four-tier กรอก'!AL36=""),"—",IF(AND('📝 Four-tier กรอก'!AJ36='📝 Four-tier กรอก'!AJ6,'📝 Four-tier กรอก'!AK36="Y",'📝 Four-tier กรอก'!AL36='📝 Four-tier กรอก'!AL6,'📝 Four-tier กรอก'!AM36="Y"),"✅ Sound",IF(AND('📝 Four-tier กรอก'!AJ36='📝 Four-tier กรอก'!AJ6,'📝 Four-tier กรอก'!AK36="Y",'📝 Four-tier กรอก'!AL36&lt;&gt;'📝 Four-tier กรอก'!AL6,'📝 Four-tier กรอก'!AM36="Y"),"🎲 Guess",IF(AND('📝 Four-tier กรอก'!AJ36&lt;&gt;'📝 Four-tier กรอก'!AJ6,'📝 Four-tier กรอก'!AK36="Y",'📝 Four-tier กรอก'!AL36&lt;&gt;'📝 Four-tier กรอก'!AL6,'📝 Four-tier กรอก'!AM36="Y"),"❌ Misc.",IF(AND('📝 Four-tier กรอก'!AJ36&lt;&gt;'📝 Four-tier กรอก'!AJ6,'📝 Four-tier กรอก'!AK36="N",'📝 Four-tier กรอก'!AL36&lt;&gt;'📝 Four-tier กรอก'!AL6,'📝 Four-tier กรอก'!AM36="N"),"❓ NoK","🤔 Partial")))))</f>
        <v/>
      </c>
      <c r="M34" s="68">
        <f>IF(OR('📝 Four-tier กรอก'!AN36="",'📝 Four-tier กรอก'!AP36=""),"—",IF(AND('📝 Four-tier กรอก'!AN36='📝 Four-tier กรอก'!AN6,'📝 Four-tier กรอก'!AO36="Y",'📝 Four-tier กรอก'!AP36='📝 Four-tier กรอก'!AP6,'📝 Four-tier กรอก'!AQ36="Y"),"✅ Sound",IF(AND('📝 Four-tier กรอก'!AN36='📝 Four-tier กรอก'!AN6,'📝 Four-tier กรอก'!AO36="Y",'📝 Four-tier กรอก'!AP36&lt;&gt;'📝 Four-tier กรอก'!AP6,'📝 Four-tier กรอก'!AQ36="Y"),"🎲 Guess",IF(AND('📝 Four-tier กรอก'!AN36&lt;&gt;'📝 Four-tier กรอก'!AN6,'📝 Four-tier กรอก'!AO36="Y",'📝 Four-tier กรอก'!AP36&lt;&gt;'📝 Four-tier กรอก'!AP6,'📝 Four-tier กรอก'!AQ36="Y"),"❌ Misc.",IF(AND('📝 Four-tier กรอก'!AN36&lt;&gt;'📝 Four-tier กรอก'!AN6,'📝 Four-tier กรอก'!AO36="N",'📝 Four-tier กรอก'!AP36&lt;&gt;'📝 Four-tier กรอก'!AP6,'📝 Four-tier กรอก'!AQ36="N"),"❓ NoK","🤔 Partial")))))</f>
        <v/>
      </c>
      <c r="N34" s="68">
        <f>IF(OR('📝 Four-tier กรอก'!AR36="",'📝 Four-tier กรอก'!AT36=""),"—",IF(AND('📝 Four-tier กรอก'!AR36='📝 Four-tier กรอก'!AR6,'📝 Four-tier กรอก'!AS36="Y",'📝 Four-tier กรอก'!AT36='📝 Four-tier กรอก'!AT6,'📝 Four-tier กรอก'!AU36="Y"),"✅ Sound",IF(AND('📝 Four-tier กรอก'!AR36='📝 Four-tier กรอก'!AR6,'📝 Four-tier กรอก'!AS36="Y",'📝 Four-tier กรอก'!AT36&lt;&gt;'📝 Four-tier กรอก'!AT6,'📝 Four-tier กรอก'!AU36="Y"),"🎲 Guess",IF(AND('📝 Four-tier กรอก'!AR36&lt;&gt;'📝 Four-tier กรอก'!AR6,'📝 Four-tier กรอก'!AS36="Y",'📝 Four-tier กรอก'!AT36&lt;&gt;'📝 Four-tier กรอก'!AT6,'📝 Four-tier กรอก'!AU36="Y"),"❌ Misc.",IF(AND('📝 Four-tier กรอก'!AR36&lt;&gt;'📝 Four-tier กรอก'!AR6,'📝 Four-tier กรอก'!AS36="N",'📝 Four-tier กรอก'!AT36&lt;&gt;'📝 Four-tier กรอก'!AT6,'📝 Four-tier กรอก'!AU36="N"),"❓ NoK","🤔 Partial")))))</f>
        <v/>
      </c>
      <c r="O34" s="68">
        <f>IF(OR('📝 Four-tier กรอก'!AV36="",'📝 Four-tier กรอก'!AX36=""),"—",IF(AND('📝 Four-tier กรอก'!AV36='📝 Four-tier กรอก'!AV6,'📝 Four-tier กรอก'!AW36="Y",'📝 Four-tier กรอก'!AX36='📝 Four-tier กรอก'!AX6,'📝 Four-tier กรอก'!AY36="Y"),"✅ Sound",IF(AND('📝 Four-tier กรอก'!AV36='📝 Four-tier กรอก'!AV6,'📝 Four-tier กรอก'!AW36="Y",'📝 Four-tier กรอก'!AX36&lt;&gt;'📝 Four-tier กรอก'!AX6,'📝 Four-tier กรอก'!AY36="Y"),"🎲 Guess",IF(AND('📝 Four-tier กรอก'!AV36&lt;&gt;'📝 Four-tier กรอก'!AV6,'📝 Four-tier กรอก'!AW36="Y",'📝 Four-tier กรอก'!AX36&lt;&gt;'📝 Four-tier กรอก'!AX6,'📝 Four-tier กรอก'!AY36="Y"),"❌ Misc.",IF(AND('📝 Four-tier กรอก'!AV36&lt;&gt;'📝 Four-tier กรอก'!AV6,'📝 Four-tier กรอก'!AW36="N",'📝 Four-tier กรอก'!AX36&lt;&gt;'📝 Four-tier กรอก'!AX6,'📝 Four-tier กรอก'!AY36="N"),"❓ NoK","🤔 Partial")))))</f>
        <v/>
      </c>
      <c r="P34" s="68">
        <f>IF(OR('📝 Four-tier กรอก'!AZ36="",'📝 Four-tier กรอก'!BB36=""),"—",IF(AND('📝 Four-tier กรอก'!AZ36='📝 Four-tier กรอก'!AZ6,'📝 Four-tier กรอก'!BA36="Y",'📝 Four-tier กรอก'!BB36='📝 Four-tier กรอก'!BB6,'📝 Four-tier กรอก'!BC36="Y"),"✅ Sound",IF(AND('📝 Four-tier กรอก'!AZ36='📝 Four-tier กรอก'!AZ6,'📝 Four-tier กรอก'!BA36="Y",'📝 Four-tier กรอก'!BB36&lt;&gt;'📝 Four-tier กรอก'!BB6,'📝 Four-tier กรอก'!BC36="Y"),"🎲 Guess",IF(AND('📝 Four-tier กรอก'!AZ36&lt;&gt;'📝 Four-tier กรอก'!AZ6,'📝 Four-tier กรอก'!BA36="Y",'📝 Four-tier กรอก'!BB36&lt;&gt;'📝 Four-tier กรอก'!BB6,'📝 Four-tier กรอก'!BC36="Y"),"❌ Misc.",IF(AND('📝 Four-tier กรอก'!AZ36&lt;&gt;'📝 Four-tier กรอก'!AZ6,'📝 Four-tier กรอก'!BA36="N",'📝 Four-tier กรอก'!BB36&lt;&gt;'📝 Four-tier กรอก'!BB6,'📝 Four-tier กรอก'!BC36="N"),"❓ NoK","🤔 Partial")))))</f>
        <v/>
      </c>
      <c r="Q34" s="68">
        <f>IF(OR('📝 Four-tier กรอก'!BD36="",'📝 Four-tier กรอก'!BF36=""),"—",IF(AND('📝 Four-tier กรอก'!BD36='📝 Four-tier กรอก'!BD6,'📝 Four-tier กรอก'!BE36="Y",'📝 Four-tier กรอก'!BF36='📝 Four-tier กรอก'!BF6,'📝 Four-tier กรอก'!BG36="Y"),"✅ Sound",IF(AND('📝 Four-tier กรอก'!BD36='📝 Four-tier กรอก'!BD6,'📝 Four-tier กรอก'!BE36="Y",'📝 Four-tier กรอก'!BF36&lt;&gt;'📝 Four-tier กรอก'!BF6,'📝 Four-tier กรอก'!BG36="Y"),"🎲 Guess",IF(AND('📝 Four-tier กรอก'!BD36&lt;&gt;'📝 Four-tier กรอก'!BD6,'📝 Four-tier กรอก'!BE36="Y",'📝 Four-tier กรอก'!BF36&lt;&gt;'📝 Four-tier กรอก'!BF6,'📝 Four-tier กรอก'!BG36="Y"),"❌ Misc.",IF(AND('📝 Four-tier กรอก'!BD36&lt;&gt;'📝 Four-tier กรอก'!BD6,'📝 Four-tier กรอก'!BE36="N",'📝 Four-tier กรอก'!BF36&lt;&gt;'📝 Four-tier กรอก'!BF6,'📝 Four-tier กรอก'!BG36="N"),"❓ NoK","🤔 Partial")))))</f>
        <v/>
      </c>
      <c r="R34" s="68">
        <f>IF(OR('📝 Four-tier กรอก'!BH36="",'📝 Four-tier กรอก'!BJ36=""),"—",IF(AND('📝 Four-tier กรอก'!BH36='📝 Four-tier กรอก'!BH6,'📝 Four-tier กรอก'!BI36="Y",'📝 Four-tier กรอก'!BJ36='📝 Four-tier กรอก'!BJ6,'📝 Four-tier กรอก'!BK36="Y"),"✅ Sound",IF(AND('📝 Four-tier กรอก'!BH36='📝 Four-tier กรอก'!BH6,'📝 Four-tier กรอก'!BI36="Y",'📝 Four-tier กรอก'!BJ36&lt;&gt;'📝 Four-tier กรอก'!BJ6,'📝 Four-tier กรอก'!BK36="Y"),"🎲 Guess",IF(AND('📝 Four-tier กรอก'!BH36&lt;&gt;'📝 Four-tier กรอก'!BH6,'📝 Four-tier กรอก'!BI36="Y",'📝 Four-tier กรอก'!BJ36&lt;&gt;'📝 Four-tier กรอก'!BJ6,'📝 Four-tier กรอก'!BK36="Y"),"❌ Misc.",IF(AND('📝 Four-tier กรอก'!BH36&lt;&gt;'📝 Four-tier กรอก'!BH6,'📝 Four-tier กรอก'!BI36="N",'📝 Four-tier กรอก'!BJ36&lt;&gt;'📝 Four-tier กรอก'!BJ6,'📝 Four-tier กรอก'!BK36="N"),"❓ NoK","🤔 Partial")))))</f>
        <v/>
      </c>
      <c r="S34" s="68">
        <f>IF(OR('📝 Four-tier กรอก'!BL36="",'📝 Four-tier กรอก'!BN36=""),"—",IF(AND('📝 Four-tier กรอก'!BL36='📝 Four-tier กรอก'!BL6,'📝 Four-tier กรอก'!BM36="Y",'📝 Four-tier กรอก'!BN36='📝 Four-tier กรอก'!BN6,'📝 Four-tier กรอก'!BO36="Y"),"✅ Sound",IF(AND('📝 Four-tier กรอก'!BL36='📝 Four-tier กรอก'!BL6,'📝 Four-tier กรอก'!BM36="Y",'📝 Four-tier กรอก'!BN36&lt;&gt;'📝 Four-tier กรอก'!BN6,'📝 Four-tier กรอก'!BO36="Y"),"🎲 Guess",IF(AND('📝 Four-tier กรอก'!BL36&lt;&gt;'📝 Four-tier กรอก'!BL6,'📝 Four-tier กรอก'!BM36="Y",'📝 Four-tier กรอก'!BN36&lt;&gt;'📝 Four-tier กรอก'!BN6,'📝 Four-tier กรอก'!BO36="Y"),"❌ Misc.",IF(AND('📝 Four-tier กรอก'!BL36&lt;&gt;'📝 Four-tier กรอก'!BL6,'📝 Four-tier กรอก'!BM36="N",'📝 Four-tier กรอก'!BN36&lt;&gt;'📝 Four-tier กรอก'!BN6,'📝 Four-tier กรอก'!BO36="N"),"❓ NoK","🤔 Partial")))))</f>
        <v/>
      </c>
      <c r="T34" s="68">
        <f>IF(OR('📝 Four-tier กรอก'!BP36="",'📝 Four-tier กรอก'!BR36=""),"—",IF(AND('📝 Four-tier กรอก'!BP36='📝 Four-tier กรอก'!BP6,'📝 Four-tier กรอก'!BQ36="Y",'📝 Four-tier กรอก'!BR36='📝 Four-tier กรอก'!BR6,'📝 Four-tier กรอก'!BS36="Y"),"✅ Sound",IF(AND('📝 Four-tier กรอก'!BP36='📝 Four-tier กรอก'!BP6,'📝 Four-tier กรอก'!BQ36="Y",'📝 Four-tier กรอก'!BR36&lt;&gt;'📝 Four-tier กรอก'!BR6,'📝 Four-tier กรอก'!BS36="Y"),"🎲 Guess",IF(AND('📝 Four-tier กรอก'!BP36&lt;&gt;'📝 Four-tier กรอก'!BP6,'📝 Four-tier กรอก'!BQ36="Y",'📝 Four-tier กรอก'!BR36&lt;&gt;'📝 Four-tier กรอก'!BR6,'📝 Four-tier กรอก'!BS36="Y"),"❌ Misc.",IF(AND('📝 Four-tier กรอก'!BP36&lt;&gt;'📝 Four-tier กรอก'!BP6,'📝 Four-tier กรอก'!BQ36="N",'📝 Four-tier กรอก'!BR36&lt;&gt;'📝 Four-tier กรอก'!BR6,'📝 Four-tier กรอก'!BS36="N"),"❓ NoK","🤔 Partial")))))</f>
        <v/>
      </c>
      <c r="U34" s="68">
        <f>IF(OR('📝 Four-tier กรอก'!BT36="",'📝 Four-tier กรอก'!BV36=""),"—",IF(AND('📝 Four-tier กรอก'!BT36='📝 Four-tier กรอก'!BT6,'📝 Four-tier กรอก'!BU36="Y",'📝 Four-tier กรอก'!BV36='📝 Four-tier กรอก'!BV6,'📝 Four-tier กรอก'!BW36="Y"),"✅ Sound",IF(AND('📝 Four-tier กรอก'!BT36='📝 Four-tier กรอก'!BT6,'📝 Four-tier กรอก'!BU36="Y",'📝 Four-tier กรอก'!BV36&lt;&gt;'📝 Four-tier กรอก'!BV6,'📝 Four-tier กรอก'!BW36="Y"),"🎲 Guess",IF(AND('📝 Four-tier กรอก'!BT36&lt;&gt;'📝 Four-tier กรอก'!BT6,'📝 Four-tier กรอก'!BU36="Y",'📝 Four-tier กรอก'!BV36&lt;&gt;'📝 Four-tier กรอก'!BV6,'📝 Four-tier กรอก'!BW36="Y"),"❌ Misc.",IF(AND('📝 Four-tier กรอก'!BT36&lt;&gt;'📝 Four-tier กรอก'!BT6,'📝 Four-tier กรอก'!BU36="N",'📝 Four-tier กรอก'!BV36&lt;&gt;'📝 Four-tier กรอก'!BV6,'📝 Four-tier กรอก'!BW36="N"),"❓ NoK","🤔 Partial")))))</f>
        <v/>
      </c>
      <c r="V34" s="68">
        <f>IF(OR('📝 Four-tier กรอก'!BX36="",'📝 Four-tier กรอก'!BZ36=""),"—",IF(AND('📝 Four-tier กรอก'!BX36='📝 Four-tier กรอก'!BX6,'📝 Four-tier กรอก'!BY36="Y",'📝 Four-tier กรอก'!BZ36='📝 Four-tier กรอก'!BZ6,'📝 Four-tier กรอก'!CA36="Y"),"✅ Sound",IF(AND('📝 Four-tier กรอก'!BX36='📝 Four-tier กรอก'!BX6,'📝 Four-tier กรอก'!BY36="Y",'📝 Four-tier กรอก'!BZ36&lt;&gt;'📝 Four-tier กรอก'!BZ6,'📝 Four-tier กรอก'!CA36="Y"),"🎲 Guess",IF(AND('📝 Four-tier กรอก'!BX36&lt;&gt;'📝 Four-tier กรอก'!BX6,'📝 Four-tier กรอก'!BY36="Y",'📝 Four-tier กรอก'!BZ36&lt;&gt;'📝 Four-tier กรอก'!BZ6,'📝 Four-tier กรอก'!CA36="Y"),"❌ Misc.",IF(AND('📝 Four-tier กรอก'!BX36&lt;&gt;'📝 Four-tier กรอก'!BX6,'📝 Four-tier กรอก'!BY36="N",'📝 Four-tier กรอก'!BZ36&lt;&gt;'📝 Four-tier กรอก'!BZ6,'📝 Four-tier กรอก'!CA36="N"),"❓ NoK","🤔 Partial")))))</f>
        <v/>
      </c>
      <c r="W34" s="68">
        <f>IF(OR('📝 Four-tier กรอก'!CB36="",'📝 Four-tier กรอก'!CD36=""),"—",IF(AND('📝 Four-tier กรอก'!CB36='📝 Four-tier กรอก'!CB6,'📝 Four-tier กรอก'!CC36="Y",'📝 Four-tier กรอก'!CD36='📝 Four-tier กรอก'!CD6,'📝 Four-tier กรอก'!CE36="Y"),"✅ Sound",IF(AND('📝 Four-tier กรอก'!CB36='📝 Four-tier กรอก'!CB6,'📝 Four-tier กรอก'!CC36="Y",'📝 Four-tier กรอก'!CD36&lt;&gt;'📝 Four-tier กรอก'!CD6,'📝 Four-tier กรอก'!CE36="Y"),"🎲 Guess",IF(AND('📝 Four-tier กรอก'!CB36&lt;&gt;'📝 Four-tier กรอก'!CB6,'📝 Four-tier กรอก'!CC36="Y",'📝 Four-tier กรอก'!CD36&lt;&gt;'📝 Four-tier กรอก'!CD6,'📝 Four-tier กรอก'!CE36="Y"),"❌ Misc.",IF(AND('📝 Four-tier กรอก'!CB36&lt;&gt;'📝 Four-tier กรอก'!CB6,'📝 Four-tier กรอก'!CC36="N",'📝 Four-tier กรอก'!CD36&lt;&gt;'📝 Four-tier กรอก'!CD6,'📝 Four-tier กรอก'!CE36="N"),"❓ NoK","🤔 Partial")))))</f>
        <v/>
      </c>
      <c r="X34" s="37">
        <f>COUNTIF(D34:W34,"✅ Sound")</f>
        <v/>
      </c>
      <c r="Y34" s="37">
        <f>COUNTIF(D34:W34,"❌ Misc.")</f>
        <v/>
      </c>
      <c r="Z34" s="37">
        <f>COUNTIF(D34:W34,"🎲 Guess")</f>
        <v/>
      </c>
      <c r="AA34" s="37">
        <f>COUNTIF(D34:W34,"❓ NoK")</f>
        <v/>
      </c>
    </row>
    <row r="35" ht="18" customHeight="1">
      <c r="B35" s="46">
        <f>'📝 Four-tier กรอก'!B37</f>
        <v/>
      </c>
      <c r="C35" s="47">
        <f>'📝 Four-tier กรอก'!C37</f>
        <v/>
      </c>
      <c r="D35" s="67">
        <f>IF(OR('📝 Four-tier กรอก'!D37="",'📝 Four-tier กรอก'!F37=""),"—",IF(AND('📝 Four-tier กรอก'!D37='📝 Four-tier กรอก'!D6,'📝 Four-tier กรอก'!E37="Y",'📝 Four-tier กรอก'!F37='📝 Four-tier กรอก'!F6,'📝 Four-tier กรอก'!G37="Y"),"✅ Sound",IF(AND('📝 Four-tier กรอก'!D37='📝 Four-tier กรอก'!D6,'📝 Four-tier กรอก'!E37="Y",'📝 Four-tier กรอก'!F37&lt;&gt;'📝 Four-tier กรอก'!F6,'📝 Four-tier กรอก'!G37="Y"),"🎲 Guess",IF(AND('📝 Four-tier กรอก'!D37&lt;&gt;'📝 Four-tier กรอก'!D6,'📝 Four-tier กรอก'!E37="Y",'📝 Four-tier กรอก'!F37&lt;&gt;'📝 Four-tier กรอก'!F6,'📝 Four-tier กรอก'!G37="Y"),"❌ Misc.",IF(AND('📝 Four-tier กรอก'!D37&lt;&gt;'📝 Four-tier กรอก'!D6,'📝 Four-tier กรอก'!E37="N",'📝 Four-tier กรอก'!F37&lt;&gt;'📝 Four-tier กรอก'!F6,'📝 Four-tier กรอก'!G37="N"),"❓ NoK","🤔 Partial")))))</f>
        <v/>
      </c>
      <c r="E35" s="67">
        <f>IF(OR('📝 Four-tier กรอก'!H37="",'📝 Four-tier กรอก'!J37=""),"—",IF(AND('📝 Four-tier กรอก'!H37='📝 Four-tier กรอก'!H6,'📝 Four-tier กรอก'!I37="Y",'📝 Four-tier กรอก'!J37='📝 Four-tier กรอก'!J6,'📝 Four-tier กรอก'!K37="Y"),"✅ Sound",IF(AND('📝 Four-tier กรอก'!H37='📝 Four-tier กรอก'!H6,'📝 Four-tier กรอก'!I37="Y",'📝 Four-tier กรอก'!J37&lt;&gt;'📝 Four-tier กรอก'!J6,'📝 Four-tier กรอก'!K37="Y"),"🎲 Guess",IF(AND('📝 Four-tier กรอก'!H37&lt;&gt;'📝 Four-tier กรอก'!H6,'📝 Four-tier กรอก'!I37="Y",'📝 Four-tier กรอก'!J37&lt;&gt;'📝 Four-tier กรอก'!J6,'📝 Four-tier กรอก'!K37="Y"),"❌ Misc.",IF(AND('📝 Four-tier กรอก'!H37&lt;&gt;'📝 Four-tier กรอก'!H6,'📝 Four-tier กรอก'!I37="N",'📝 Four-tier กรอก'!J37&lt;&gt;'📝 Four-tier กรอก'!J6,'📝 Four-tier กรอก'!K37="N"),"❓ NoK","🤔 Partial")))))</f>
        <v/>
      </c>
      <c r="F35" s="67">
        <f>IF(OR('📝 Four-tier กรอก'!L37="",'📝 Four-tier กรอก'!N37=""),"—",IF(AND('📝 Four-tier กรอก'!L37='📝 Four-tier กรอก'!L6,'📝 Four-tier กรอก'!M37="Y",'📝 Four-tier กรอก'!N37='📝 Four-tier กรอก'!N6,'📝 Four-tier กรอก'!O37="Y"),"✅ Sound",IF(AND('📝 Four-tier กรอก'!L37='📝 Four-tier กรอก'!L6,'📝 Four-tier กรอก'!M37="Y",'📝 Four-tier กรอก'!N37&lt;&gt;'📝 Four-tier กรอก'!N6,'📝 Four-tier กรอก'!O37="Y"),"🎲 Guess",IF(AND('📝 Four-tier กรอก'!L37&lt;&gt;'📝 Four-tier กรอก'!L6,'📝 Four-tier กรอก'!M37="Y",'📝 Four-tier กรอก'!N37&lt;&gt;'📝 Four-tier กรอก'!N6,'📝 Four-tier กรอก'!O37="Y"),"❌ Misc.",IF(AND('📝 Four-tier กรอก'!L37&lt;&gt;'📝 Four-tier กรอก'!L6,'📝 Four-tier กรอก'!M37="N",'📝 Four-tier กรอก'!N37&lt;&gt;'📝 Four-tier กรอก'!N6,'📝 Four-tier กรอก'!O37="N"),"❓ NoK","🤔 Partial")))))</f>
        <v/>
      </c>
      <c r="G35" s="67">
        <f>IF(OR('📝 Four-tier กรอก'!P37="",'📝 Four-tier กรอก'!R37=""),"—",IF(AND('📝 Four-tier กรอก'!P37='📝 Four-tier กรอก'!P6,'📝 Four-tier กรอก'!Q37="Y",'📝 Four-tier กรอก'!R37='📝 Four-tier กรอก'!R6,'📝 Four-tier กรอก'!S37="Y"),"✅ Sound",IF(AND('📝 Four-tier กรอก'!P37='📝 Four-tier กรอก'!P6,'📝 Four-tier กรอก'!Q37="Y",'📝 Four-tier กรอก'!R37&lt;&gt;'📝 Four-tier กรอก'!R6,'📝 Four-tier กรอก'!S37="Y"),"🎲 Guess",IF(AND('📝 Four-tier กรอก'!P37&lt;&gt;'📝 Four-tier กรอก'!P6,'📝 Four-tier กรอก'!Q37="Y",'📝 Four-tier กรอก'!R37&lt;&gt;'📝 Four-tier กรอก'!R6,'📝 Four-tier กรอก'!S37="Y"),"❌ Misc.",IF(AND('📝 Four-tier กรอก'!P37&lt;&gt;'📝 Four-tier กรอก'!P6,'📝 Four-tier กรอก'!Q37="N",'📝 Four-tier กรอก'!R37&lt;&gt;'📝 Four-tier กรอก'!R6,'📝 Four-tier กรอก'!S37="N"),"❓ NoK","🤔 Partial")))))</f>
        <v/>
      </c>
      <c r="H35" s="67">
        <f>IF(OR('📝 Four-tier กรอก'!T37="",'📝 Four-tier กรอก'!V37=""),"—",IF(AND('📝 Four-tier กรอก'!T37='📝 Four-tier กรอก'!T6,'📝 Four-tier กรอก'!U37="Y",'📝 Four-tier กรอก'!V37='📝 Four-tier กรอก'!V6,'📝 Four-tier กรอก'!W37="Y"),"✅ Sound",IF(AND('📝 Four-tier กรอก'!T37='📝 Four-tier กรอก'!T6,'📝 Four-tier กรอก'!U37="Y",'📝 Four-tier กรอก'!V37&lt;&gt;'📝 Four-tier กรอก'!V6,'📝 Four-tier กรอก'!W37="Y"),"🎲 Guess",IF(AND('📝 Four-tier กรอก'!T37&lt;&gt;'📝 Four-tier กรอก'!T6,'📝 Four-tier กรอก'!U37="Y",'📝 Four-tier กรอก'!V37&lt;&gt;'📝 Four-tier กรอก'!V6,'📝 Four-tier กรอก'!W37="Y"),"❌ Misc.",IF(AND('📝 Four-tier กรอก'!T37&lt;&gt;'📝 Four-tier กรอก'!T6,'📝 Four-tier กรอก'!U37="N",'📝 Four-tier กรอก'!V37&lt;&gt;'📝 Four-tier กรอก'!V6,'📝 Four-tier กรอก'!W37="N"),"❓ NoK","🤔 Partial")))))</f>
        <v/>
      </c>
      <c r="I35" s="67">
        <f>IF(OR('📝 Four-tier กรอก'!X37="",'📝 Four-tier กรอก'!Z37=""),"—",IF(AND('📝 Four-tier กรอก'!X37='📝 Four-tier กรอก'!X6,'📝 Four-tier กรอก'!Y37="Y",'📝 Four-tier กรอก'!Z37='📝 Four-tier กรอก'!Z6,'📝 Four-tier กรอก'!AA37="Y"),"✅ Sound",IF(AND('📝 Four-tier กรอก'!X37='📝 Four-tier กรอก'!X6,'📝 Four-tier กรอก'!Y37="Y",'📝 Four-tier กรอก'!Z37&lt;&gt;'📝 Four-tier กรอก'!Z6,'📝 Four-tier กรอก'!AA37="Y"),"🎲 Guess",IF(AND('📝 Four-tier กรอก'!X37&lt;&gt;'📝 Four-tier กรอก'!X6,'📝 Four-tier กรอก'!Y37="Y",'📝 Four-tier กรอก'!Z37&lt;&gt;'📝 Four-tier กรอก'!Z6,'📝 Four-tier กรอก'!AA37="Y"),"❌ Misc.",IF(AND('📝 Four-tier กรอก'!X37&lt;&gt;'📝 Four-tier กรอก'!X6,'📝 Four-tier กรอก'!Y37="N",'📝 Four-tier กรอก'!Z37&lt;&gt;'📝 Four-tier กรอก'!Z6,'📝 Four-tier กรอก'!AA37="N"),"❓ NoK","🤔 Partial")))))</f>
        <v/>
      </c>
      <c r="J35" s="67">
        <f>IF(OR('📝 Four-tier กรอก'!AB37="",'📝 Four-tier กรอก'!AD37=""),"—",IF(AND('📝 Four-tier กรอก'!AB37='📝 Four-tier กรอก'!AB6,'📝 Four-tier กรอก'!AC37="Y",'📝 Four-tier กรอก'!AD37='📝 Four-tier กรอก'!AD6,'📝 Four-tier กรอก'!AE37="Y"),"✅ Sound",IF(AND('📝 Four-tier กรอก'!AB37='📝 Four-tier กรอก'!AB6,'📝 Four-tier กรอก'!AC37="Y",'📝 Four-tier กรอก'!AD37&lt;&gt;'📝 Four-tier กรอก'!AD6,'📝 Four-tier กรอก'!AE37="Y"),"🎲 Guess",IF(AND('📝 Four-tier กรอก'!AB37&lt;&gt;'📝 Four-tier กรอก'!AB6,'📝 Four-tier กรอก'!AC37="Y",'📝 Four-tier กรอก'!AD37&lt;&gt;'📝 Four-tier กรอก'!AD6,'📝 Four-tier กรอก'!AE37="Y"),"❌ Misc.",IF(AND('📝 Four-tier กรอก'!AB37&lt;&gt;'📝 Four-tier กรอก'!AB6,'📝 Four-tier กรอก'!AC37="N",'📝 Four-tier กรอก'!AD37&lt;&gt;'📝 Four-tier กรอก'!AD6,'📝 Four-tier กรอก'!AE37="N"),"❓ NoK","🤔 Partial")))))</f>
        <v/>
      </c>
      <c r="K35" s="67">
        <f>IF(OR('📝 Four-tier กรอก'!AF37="",'📝 Four-tier กรอก'!AH37=""),"—",IF(AND('📝 Four-tier กรอก'!AF37='📝 Four-tier กรอก'!AF6,'📝 Four-tier กรอก'!AG37="Y",'📝 Four-tier กรอก'!AH37='📝 Four-tier กรอก'!AH6,'📝 Four-tier กรอก'!AI37="Y"),"✅ Sound",IF(AND('📝 Four-tier กรอก'!AF37='📝 Four-tier กรอก'!AF6,'📝 Four-tier กรอก'!AG37="Y",'📝 Four-tier กรอก'!AH37&lt;&gt;'📝 Four-tier กรอก'!AH6,'📝 Four-tier กรอก'!AI37="Y"),"🎲 Guess",IF(AND('📝 Four-tier กรอก'!AF37&lt;&gt;'📝 Four-tier กรอก'!AF6,'📝 Four-tier กรอก'!AG37="Y",'📝 Four-tier กรอก'!AH37&lt;&gt;'📝 Four-tier กรอก'!AH6,'📝 Four-tier กรอก'!AI37="Y"),"❌ Misc.",IF(AND('📝 Four-tier กรอก'!AF37&lt;&gt;'📝 Four-tier กรอก'!AF6,'📝 Four-tier กรอก'!AG37="N",'📝 Four-tier กรอก'!AH37&lt;&gt;'📝 Four-tier กรอก'!AH6,'📝 Four-tier กรอก'!AI37="N"),"❓ NoK","🤔 Partial")))))</f>
        <v/>
      </c>
      <c r="L35" s="67">
        <f>IF(OR('📝 Four-tier กรอก'!AJ37="",'📝 Four-tier กรอก'!AL37=""),"—",IF(AND('📝 Four-tier กรอก'!AJ37='📝 Four-tier กรอก'!AJ6,'📝 Four-tier กรอก'!AK37="Y",'📝 Four-tier กรอก'!AL37='📝 Four-tier กรอก'!AL6,'📝 Four-tier กรอก'!AM37="Y"),"✅ Sound",IF(AND('📝 Four-tier กรอก'!AJ37='📝 Four-tier กรอก'!AJ6,'📝 Four-tier กรอก'!AK37="Y",'📝 Four-tier กรอก'!AL37&lt;&gt;'📝 Four-tier กรอก'!AL6,'📝 Four-tier กรอก'!AM37="Y"),"🎲 Guess",IF(AND('📝 Four-tier กรอก'!AJ37&lt;&gt;'📝 Four-tier กรอก'!AJ6,'📝 Four-tier กรอก'!AK37="Y",'📝 Four-tier กรอก'!AL37&lt;&gt;'📝 Four-tier กรอก'!AL6,'📝 Four-tier กรอก'!AM37="Y"),"❌ Misc.",IF(AND('📝 Four-tier กรอก'!AJ37&lt;&gt;'📝 Four-tier กรอก'!AJ6,'📝 Four-tier กรอก'!AK37="N",'📝 Four-tier กรอก'!AL37&lt;&gt;'📝 Four-tier กรอก'!AL6,'📝 Four-tier กรอก'!AM37="N"),"❓ NoK","🤔 Partial")))))</f>
        <v/>
      </c>
      <c r="M35" s="67">
        <f>IF(OR('📝 Four-tier กรอก'!AN37="",'📝 Four-tier กรอก'!AP37=""),"—",IF(AND('📝 Four-tier กรอก'!AN37='📝 Four-tier กรอก'!AN6,'📝 Four-tier กรอก'!AO37="Y",'📝 Four-tier กรอก'!AP37='📝 Four-tier กรอก'!AP6,'📝 Four-tier กรอก'!AQ37="Y"),"✅ Sound",IF(AND('📝 Four-tier กรอก'!AN37='📝 Four-tier กรอก'!AN6,'📝 Four-tier กรอก'!AO37="Y",'📝 Four-tier กรอก'!AP37&lt;&gt;'📝 Four-tier กรอก'!AP6,'📝 Four-tier กรอก'!AQ37="Y"),"🎲 Guess",IF(AND('📝 Four-tier กรอก'!AN37&lt;&gt;'📝 Four-tier กรอก'!AN6,'📝 Four-tier กรอก'!AO37="Y",'📝 Four-tier กรอก'!AP37&lt;&gt;'📝 Four-tier กรอก'!AP6,'📝 Four-tier กรอก'!AQ37="Y"),"❌ Misc.",IF(AND('📝 Four-tier กรอก'!AN37&lt;&gt;'📝 Four-tier กรอก'!AN6,'📝 Four-tier กรอก'!AO37="N",'📝 Four-tier กรอก'!AP37&lt;&gt;'📝 Four-tier กรอก'!AP6,'📝 Four-tier กรอก'!AQ37="N"),"❓ NoK","🤔 Partial")))))</f>
        <v/>
      </c>
      <c r="N35" s="67">
        <f>IF(OR('📝 Four-tier กรอก'!AR37="",'📝 Four-tier กรอก'!AT37=""),"—",IF(AND('📝 Four-tier กรอก'!AR37='📝 Four-tier กรอก'!AR6,'📝 Four-tier กรอก'!AS37="Y",'📝 Four-tier กรอก'!AT37='📝 Four-tier กรอก'!AT6,'📝 Four-tier กรอก'!AU37="Y"),"✅ Sound",IF(AND('📝 Four-tier กรอก'!AR37='📝 Four-tier กรอก'!AR6,'📝 Four-tier กรอก'!AS37="Y",'📝 Four-tier กรอก'!AT37&lt;&gt;'📝 Four-tier กรอก'!AT6,'📝 Four-tier กรอก'!AU37="Y"),"🎲 Guess",IF(AND('📝 Four-tier กรอก'!AR37&lt;&gt;'📝 Four-tier กรอก'!AR6,'📝 Four-tier กรอก'!AS37="Y",'📝 Four-tier กรอก'!AT37&lt;&gt;'📝 Four-tier กรอก'!AT6,'📝 Four-tier กรอก'!AU37="Y"),"❌ Misc.",IF(AND('📝 Four-tier กรอก'!AR37&lt;&gt;'📝 Four-tier กรอก'!AR6,'📝 Four-tier กรอก'!AS37="N",'📝 Four-tier กรอก'!AT37&lt;&gt;'📝 Four-tier กรอก'!AT6,'📝 Four-tier กรอก'!AU37="N"),"❓ NoK","🤔 Partial")))))</f>
        <v/>
      </c>
      <c r="O35" s="67">
        <f>IF(OR('📝 Four-tier กรอก'!AV37="",'📝 Four-tier กรอก'!AX37=""),"—",IF(AND('📝 Four-tier กรอก'!AV37='📝 Four-tier กรอก'!AV6,'📝 Four-tier กรอก'!AW37="Y",'📝 Four-tier กรอก'!AX37='📝 Four-tier กรอก'!AX6,'📝 Four-tier กรอก'!AY37="Y"),"✅ Sound",IF(AND('📝 Four-tier กรอก'!AV37='📝 Four-tier กรอก'!AV6,'📝 Four-tier กรอก'!AW37="Y",'📝 Four-tier กรอก'!AX37&lt;&gt;'📝 Four-tier กรอก'!AX6,'📝 Four-tier กรอก'!AY37="Y"),"🎲 Guess",IF(AND('📝 Four-tier กรอก'!AV37&lt;&gt;'📝 Four-tier กรอก'!AV6,'📝 Four-tier กรอก'!AW37="Y",'📝 Four-tier กรอก'!AX37&lt;&gt;'📝 Four-tier กรอก'!AX6,'📝 Four-tier กรอก'!AY37="Y"),"❌ Misc.",IF(AND('📝 Four-tier กรอก'!AV37&lt;&gt;'📝 Four-tier กรอก'!AV6,'📝 Four-tier กรอก'!AW37="N",'📝 Four-tier กรอก'!AX37&lt;&gt;'📝 Four-tier กรอก'!AX6,'📝 Four-tier กรอก'!AY37="N"),"❓ NoK","🤔 Partial")))))</f>
        <v/>
      </c>
      <c r="P35" s="67">
        <f>IF(OR('📝 Four-tier กรอก'!AZ37="",'📝 Four-tier กรอก'!BB37=""),"—",IF(AND('📝 Four-tier กรอก'!AZ37='📝 Four-tier กรอก'!AZ6,'📝 Four-tier กรอก'!BA37="Y",'📝 Four-tier กรอก'!BB37='📝 Four-tier กรอก'!BB6,'📝 Four-tier กรอก'!BC37="Y"),"✅ Sound",IF(AND('📝 Four-tier กรอก'!AZ37='📝 Four-tier กรอก'!AZ6,'📝 Four-tier กรอก'!BA37="Y",'📝 Four-tier กรอก'!BB37&lt;&gt;'📝 Four-tier กรอก'!BB6,'📝 Four-tier กรอก'!BC37="Y"),"🎲 Guess",IF(AND('📝 Four-tier กรอก'!AZ37&lt;&gt;'📝 Four-tier กรอก'!AZ6,'📝 Four-tier กรอก'!BA37="Y",'📝 Four-tier กรอก'!BB37&lt;&gt;'📝 Four-tier กรอก'!BB6,'📝 Four-tier กรอก'!BC37="Y"),"❌ Misc.",IF(AND('📝 Four-tier กรอก'!AZ37&lt;&gt;'📝 Four-tier กรอก'!AZ6,'📝 Four-tier กรอก'!BA37="N",'📝 Four-tier กรอก'!BB37&lt;&gt;'📝 Four-tier กรอก'!BB6,'📝 Four-tier กรอก'!BC37="N"),"❓ NoK","🤔 Partial")))))</f>
        <v/>
      </c>
      <c r="Q35" s="67">
        <f>IF(OR('📝 Four-tier กรอก'!BD37="",'📝 Four-tier กรอก'!BF37=""),"—",IF(AND('📝 Four-tier กรอก'!BD37='📝 Four-tier กรอก'!BD6,'📝 Four-tier กรอก'!BE37="Y",'📝 Four-tier กรอก'!BF37='📝 Four-tier กรอก'!BF6,'📝 Four-tier กรอก'!BG37="Y"),"✅ Sound",IF(AND('📝 Four-tier กรอก'!BD37='📝 Four-tier กรอก'!BD6,'📝 Four-tier กรอก'!BE37="Y",'📝 Four-tier กรอก'!BF37&lt;&gt;'📝 Four-tier กรอก'!BF6,'📝 Four-tier กรอก'!BG37="Y"),"🎲 Guess",IF(AND('📝 Four-tier กรอก'!BD37&lt;&gt;'📝 Four-tier กรอก'!BD6,'📝 Four-tier กรอก'!BE37="Y",'📝 Four-tier กรอก'!BF37&lt;&gt;'📝 Four-tier กรอก'!BF6,'📝 Four-tier กรอก'!BG37="Y"),"❌ Misc.",IF(AND('📝 Four-tier กรอก'!BD37&lt;&gt;'📝 Four-tier กรอก'!BD6,'📝 Four-tier กรอก'!BE37="N",'📝 Four-tier กรอก'!BF37&lt;&gt;'📝 Four-tier กรอก'!BF6,'📝 Four-tier กรอก'!BG37="N"),"❓ NoK","🤔 Partial")))))</f>
        <v/>
      </c>
      <c r="R35" s="67">
        <f>IF(OR('📝 Four-tier กรอก'!BH37="",'📝 Four-tier กรอก'!BJ37=""),"—",IF(AND('📝 Four-tier กรอก'!BH37='📝 Four-tier กรอก'!BH6,'📝 Four-tier กรอก'!BI37="Y",'📝 Four-tier กรอก'!BJ37='📝 Four-tier กรอก'!BJ6,'📝 Four-tier กรอก'!BK37="Y"),"✅ Sound",IF(AND('📝 Four-tier กรอก'!BH37='📝 Four-tier กรอก'!BH6,'📝 Four-tier กรอก'!BI37="Y",'📝 Four-tier กรอก'!BJ37&lt;&gt;'📝 Four-tier กรอก'!BJ6,'📝 Four-tier กรอก'!BK37="Y"),"🎲 Guess",IF(AND('📝 Four-tier กรอก'!BH37&lt;&gt;'📝 Four-tier กรอก'!BH6,'📝 Four-tier กรอก'!BI37="Y",'📝 Four-tier กรอก'!BJ37&lt;&gt;'📝 Four-tier กรอก'!BJ6,'📝 Four-tier กรอก'!BK37="Y"),"❌ Misc.",IF(AND('📝 Four-tier กรอก'!BH37&lt;&gt;'📝 Four-tier กรอก'!BH6,'📝 Four-tier กรอก'!BI37="N",'📝 Four-tier กรอก'!BJ37&lt;&gt;'📝 Four-tier กรอก'!BJ6,'📝 Four-tier กรอก'!BK37="N"),"❓ NoK","🤔 Partial")))))</f>
        <v/>
      </c>
      <c r="S35" s="67">
        <f>IF(OR('📝 Four-tier กรอก'!BL37="",'📝 Four-tier กรอก'!BN37=""),"—",IF(AND('📝 Four-tier กรอก'!BL37='📝 Four-tier กรอก'!BL6,'📝 Four-tier กรอก'!BM37="Y",'📝 Four-tier กรอก'!BN37='📝 Four-tier กรอก'!BN6,'📝 Four-tier กรอก'!BO37="Y"),"✅ Sound",IF(AND('📝 Four-tier กรอก'!BL37='📝 Four-tier กรอก'!BL6,'📝 Four-tier กรอก'!BM37="Y",'📝 Four-tier กรอก'!BN37&lt;&gt;'📝 Four-tier กรอก'!BN6,'📝 Four-tier กรอก'!BO37="Y"),"🎲 Guess",IF(AND('📝 Four-tier กรอก'!BL37&lt;&gt;'📝 Four-tier กรอก'!BL6,'📝 Four-tier กรอก'!BM37="Y",'📝 Four-tier กรอก'!BN37&lt;&gt;'📝 Four-tier กรอก'!BN6,'📝 Four-tier กรอก'!BO37="Y"),"❌ Misc.",IF(AND('📝 Four-tier กรอก'!BL37&lt;&gt;'📝 Four-tier กรอก'!BL6,'📝 Four-tier กรอก'!BM37="N",'📝 Four-tier กรอก'!BN37&lt;&gt;'📝 Four-tier กรอก'!BN6,'📝 Four-tier กรอก'!BO37="N"),"❓ NoK","🤔 Partial")))))</f>
        <v/>
      </c>
      <c r="T35" s="67">
        <f>IF(OR('📝 Four-tier กรอก'!BP37="",'📝 Four-tier กรอก'!BR37=""),"—",IF(AND('📝 Four-tier กรอก'!BP37='📝 Four-tier กรอก'!BP6,'📝 Four-tier กรอก'!BQ37="Y",'📝 Four-tier กรอก'!BR37='📝 Four-tier กรอก'!BR6,'📝 Four-tier กรอก'!BS37="Y"),"✅ Sound",IF(AND('📝 Four-tier กรอก'!BP37='📝 Four-tier กรอก'!BP6,'📝 Four-tier กรอก'!BQ37="Y",'📝 Four-tier กรอก'!BR37&lt;&gt;'📝 Four-tier กรอก'!BR6,'📝 Four-tier กรอก'!BS37="Y"),"🎲 Guess",IF(AND('📝 Four-tier กรอก'!BP37&lt;&gt;'📝 Four-tier กรอก'!BP6,'📝 Four-tier กรอก'!BQ37="Y",'📝 Four-tier กรอก'!BR37&lt;&gt;'📝 Four-tier กรอก'!BR6,'📝 Four-tier กรอก'!BS37="Y"),"❌ Misc.",IF(AND('📝 Four-tier กรอก'!BP37&lt;&gt;'📝 Four-tier กรอก'!BP6,'📝 Four-tier กรอก'!BQ37="N",'📝 Four-tier กรอก'!BR37&lt;&gt;'📝 Four-tier กรอก'!BR6,'📝 Four-tier กรอก'!BS37="N"),"❓ NoK","🤔 Partial")))))</f>
        <v/>
      </c>
      <c r="U35" s="67">
        <f>IF(OR('📝 Four-tier กรอก'!BT37="",'📝 Four-tier กรอก'!BV37=""),"—",IF(AND('📝 Four-tier กรอก'!BT37='📝 Four-tier กรอก'!BT6,'📝 Four-tier กรอก'!BU37="Y",'📝 Four-tier กรอก'!BV37='📝 Four-tier กรอก'!BV6,'📝 Four-tier กรอก'!BW37="Y"),"✅ Sound",IF(AND('📝 Four-tier กรอก'!BT37='📝 Four-tier กรอก'!BT6,'📝 Four-tier กรอก'!BU37="Y",'📝 Four-tier กรอก'!BV37&lt;&gt;'📝 Four-tier กรอก'!BV6,'📝 Four-tier กรอก'!BW37="Y"),"🎲 Guess",IF(AND('📝 Four-tier กรอก'!BT37&lt;&gt;'📝 Four-tier กรอก'!BT6,'📝 Four-tier กรอก'!BU37="Y",'📝 Four-tier กรอก'!BV37&lt;&gt;'📝 Four-tier กรอก'!BV6,'📝 Four-tier กรอก'!BW37="Y"),"❌ Misc.",IF(AND('📝 Four-tier กรอก'!BT37&lt;&gt;'📝 Four-tier กรอก'!BT6,'📝 Four-tier กรอก'!BU37="N",'📝 Four-tier กรอก'!BV37&lt;&gt;'📝 Four-tier กรอก'!BV6,'📝 Four-tier กรอก'!BW37="N"),"❓ NoK","🤔 Partial")))))</f>
        <v/>
      </c>
      <c r="V35" s="67">
        <f>IF(OR('📝 Four-tier กรอก'!BX37="",'📝 Four-tier กรอก'!BZ37=""),"—",IF(AND('📝 Four-tier กรอก'!BX37='📝 Four-tier กรอก'!BX6,'📝 Four-tier กรอก'!BY37="Y",'📝 Four-tier กรอก'!BZ37='📝 Four-tier กรอก'!BZ6,'📝 Four-tier กรอก'!CA37="Y"),"✅ Sound",IF(AND('📝 Four-tier กรอก'!BX37='📝 Four-tier กรอก'!BX6,'📝 Four-tier กรอก'!BY37="Y",'📝 Four-tier กรอก'!BZ37&lt;&gt;'📝 Four-tier กรอก'!BZ6,'📝 Four-tier กรอก'!CA37="Y"),"🎲 Guess",IF(AND('📝 Four-tier กรอก'!BX37&lt;&gt;'📝 Four-tier กรอก'!BX6,'📝 Four-tier กรอก'!BY37="Y",'📝 Four-tier กรอก'!BZ37&lt;&gt;'📝 Four-tier กรอก'!BZ6,'📝 Four-tier กรอก'!CA37="Y"),"❌ Misc.",IF(AND('📝 Four-tier กรอก'!BX37&lt;&gt;'📝 Four-tier กรอก'!BX6,'📝 Four-tier กรอก'!BY37="N",'📝 Four-tier กรอก'!BZ37&lt;&gt;'📝 Four-tier กรอก'!BZ6,'📝 Four-tier กรอก'!CA37="N"),"❓ NoK","🤔 Partial")))))</f>
        <v/>
      </c>
      <c r="W35" s="67">
        <f>IF(OR('📝 Four-tier กรอก'!CB37="",'📝 Four-tier กรอก'!CD37=""),"—",IF(AND('📝 Four-tier กรอก'!CB37='📝 Four-tier กรอก'!CB6,'📝 Four-tier กรอก'!CC37="Y",'📝 Four-tier กรอก'!CD37='📝 Four-tier กรอก'!CD6,'📝 Four-tier กรอก'!CE37="Y"),"✅ Sound",IF(AND('📝 Four-tier กรอก'!CB37='📝 Four-tier กรอก'!CB6,'📝 Four-tier กรอก'!CC37="Y",'📝 Four-tier กรอก'!CD37&lt;&gt;'📝 Four-tier กรอก'!CD6,'📝 Four-tier กรอก'!CE37="Y"),"🎲 Guess",IF(AND('📝 Four-tier กรอก'!CB37&lt;&gt;'📝 Four-tier กรอก'!CB6,'📝 Four-tier กรอก'!CC37="Y",'📝 Four-tier กรอก'!CD37&lt;&gt;'📝 Four-tier กรอก'!CD6,'📝 Four-tier กรอก'!CE37="Y"),"❌ Misc.",IF(AND('📝 Four-tier กรอก'!CB37&lt;&gt;'📝 Four-tier กรอก'!CB6,'📝 Four-tier กรอก'!CC37="N",'📝 Four-tier กรอก'!CD37&lt;&gt;'📝 Four-tier กรอก'!CD6,'📝 Four-tier กรอก'!CE37="N"),"❓ NoK","🤔 Partial")))))</f>
        <v/>
      </c>
      <c r="X35" s="37">
        <f>COUNTIF(D35:W35,"✅ Sound")</f>
        <v/>
      </c>
      <c r="Y35" s="37">
        <f>COUNTIF(D35:W35,"❌ Misc.")</f>
        <v/>
      </c>
      <c r="Z35" s="37">
        <f>COUNTIF(D35:W35,"🎲 Guess")</f>
        <v/>
      </c>
      <c r="AA35" s="37">
        <f>COUNTIF(D35:W35,"❓ NoK")</f>
        <v/>
      </c>
    </row>
    <row r="36" ht="18" customHeight="1">
      <c r="B36" s="46">
        <f>'📝 Four-tier กรอก'!B38</f>
        <v/>
      </c>
      <c r="C36" s="51">
        <f>'📝 Four-tier กรอก'!C38</f>
        <v/>
      </c>
      <c r="D36" s="68">
        <f>IF(OR('📝 Four-tier กรอก'!D38="",'📝 Four-tier กรอก'!F38=""),"—",IF(AND('📝 Four-tier กรอก'!D38='📝 Four-tier กรอก'!D6,'📝 Four-tier กรอก'!E38="Y",'📝 Four-tier กรอก'!F38='📝 Four-tier กรอก'!F6,'📝 Four-tier กรอก'!G38="Y"),"✅ Sound",IF(AND('📝 Four-tier กรอก'!D38='📝 Four-tier กรอก'!D6,'📝 Four-tier กรอก'!E38="Y",'📝 Four-tier กรอก'!F38&lt;&gt;'📝 Four-tier กรอก'!F6,'📝 Four-tier กรอก'!G38="Y"),"🎲 Guess",IF(AND('📝 Four-tier กรอก'!D38&lt;&gt;'📝 Four-tier กรอก'!D6,'📝 Four-tier กรอก'!E38="Y",'📝 Four-tier กรอก'!F38&lt;&gt;'📝 Four-tier กรอก'!F6,'📝 Four-tier กรอก'!G38="Y"),"❌ Misc.",IF(AND('📝 Four-tier กรอก'!D38&lt;&gt;'📝 Four-tier กรอก'!D6,'📝 Four-tier กรอก'!E38="N",'📝 Four-tier กรอก'!F38&lt;&gt;'📝 Four-tier กรอก'!F6,'📝 Four-tier กรอก'!G38="N"),"❓ NoK","🤔 Partial")))))</f>
        <v/>
      </c>
      <c r="E36" s="68">
        <f>IF(OR('📝 Four-tier กรอก'!H38="",'📝 Four-tier กรอก'!J38=""),"—",IF(AND('📝 Four-tier กรอก'!H38='📝 Four-tier กรอก'!H6,'📝 Four-tier กรอก'!I38="Y",'📝 Four-tier กรอก'!J38='📝 Four-tier กรอก'!J6,'📝 Four-tier กรอก'!K38="Y"),"✅ Sound",IF(AND('📝 Four-tier กรอก'!H38='📝 Four-tier กรอก'!H6,'📝 Four-tier กรอก'!I38="Y",'📝 Four-tier กรอก'!J38&lt;&gt;'📝 Four-tier กรอก'!J6,'📝 Four-tier กรอก'!K38="Y"),"🎲 Guess",IF(AND('📝 Four-tier กรอก'!H38&lt;&gt;'📝 Four-tier กรอก'!H6,'📝 Four-tier กรอก'!I38="Y",'📝 Four-tier กรอก'!J38&lt;&gt;'📝 Four-tier กรอก'!J6,'📝 Four-tier กรอก'!K38="Y"),"❌ Misc.",IF(AND('📝 Four-tier กรอก'!H38&lt;&gt;'📝 Four-tier กรอก'!H6,'📝 Four-tier กรอก'!I38="N",'📝 Four-tier กรอก'!J38&lt;&gt;'📝 Four-tier กรอก'!J6,'📝 Four-tier กรอก'!K38="N"),"❓ NoK","🤔 Partial")))))</f>
        <v/>
      </c>
      <c r="F36" s="68">
        <f>IF(OR('📝 Four-tier กรอก'!L38="",'📝 Four-tier กรอก'!N38=""),"—",IF(AND('📝 Four-tier กรอก'!L38='📝 Four-tier กรอก'!L6,'📝 Four-tier กรอก'!M38="Y",'📝 Four-tier กรอก'!N38='📝 Four-tier กรอก'!N6,'📝 Four-tier กรอก'!O38="Y"),"✅ Sound",IF(AND('📝 Four-tier กรอก'!L38='📝 Four-tier กรอก'!L6,'📝 Four-tier กรอก'!M38="Y",'📝 Four-tier กรอก'!N38&lt;&gt;'📝 Four-tier กรอก'!N6,'📝 Four-tier กรอก'!O38="Y"),"🎲 Guess",IF(AND('📝 Four-tier กรอก'!L38&lt;&gt;'📝 Four-tier กรอก'!L6,'📝 Four-tier กรอก'!M38="Y",'📝 Four-tier กรอก'!N38&lt;&gt;'📝 Four-tier กรอก'!N6,'📝 Four-tier กรอก'!O38="Y"),"❌ Misc.",IF(AND('📝 Four-tier กรอก'!L38&lt;&gt;'📝 Four-tier กรอก'!L6,'📝 Four-tier กรอก'!M38="N",'📝 Four-tier กรอก'!N38&lt;&gt;'📝 Four-tier กรอก'!N6,'📝 Four-tier กรอก'!O38="N"),"❓ NoK","🤔 Partial")))))</f>
        <v/>
      </c>
      <c r="G36" s="68">
        <f>IF(OR('📝 Four-tier กรอก'!P38="",'📝 Four-tier กรอก'!R38=""),"—",IF(AND('📝 Four-tier กรอก'!P38='📝 Four-tier กรอก'!P6,'📝 Four-tier กรอก'!Q38="Y",'📝 Four-tier กรอก'!R38='📝 Four-tier กรอก'!R6,'📝 Four-tier กรอก'!S38="Y"),"✅ Sound",IF(AND('📝 Four-tier กรอก'!P38='📝 Four-tier กรอก'!P6,'📝 Four-tier กรอก'!Q38="Y",'📝 Four-tier กรอก'!R38&lt;&gt;'📝 Four-tier กรอก'!R6,'📝 Four-tier กรอก'!S38="Y"),"🎲 Guess",IF(AND('📝 Four-tier กรอก'!P38&lt;&gt;'📝 Four-tier กรอก'!P6,'📝 Four-tier กรอก'!Q38="Y",'📝 Four-tier กรอก'!R38&lt;&gt;'📝 Four-tier กรอก'!R6,'📝 Four-tier กรอก'!S38="Y"),"❌ Misc.",IF(AND('📝 Four-tier กรอก'!P38&lt;&gt;'📝 Four-tier กรอก'!P6,'📝 Four-tier กรอก'!Q38="N",'📝 Four-tier กรอก'!R38&lt;&gt;'📝 Four-tier กรอก'!R6,'📝 Four-tier กรอก'!S38="N"),"❓ NoK","🤔 Partial")))))</f>
        <v/>
      </c>
      <c r="H36" s="68">
        <f>IF(OR('📝 Four-tier กรอก'!T38="",'📝 Four-tier กรอก'!V38=""),"—",IF(AND('📝 Four-tier กรอก'!T38='📝 Four-tier กรอก'!T6,'📝 Four-tier กรอก'!U38="Y",'📝 Four-tier กรอก'!V38='📝 Four-tier กรอก'!V6,'📝 Four-tier กรอก'!W38="Y"),"✅ Sound",IF(AND('📝 Four-tier กรอก'!T38='📝 Four-tier กรอก'!T6,'📝 Four-tier กรอก'!U38="Y",'📝 Four-tier กรอก'!V38&lt;&gt;'📝 Four-tier กรอก'!V6,'📝 Four-tier กรอก'!W38="Y"),"🎲 Guess",IF(AND('📝 Four-tier กรอก'!T38&lt;&gt;'📝 Four-tier กรอก'!T6,'📝 Four-tier กรอก'!U38="Y",'📝 Four-tier กรอก'!V38&lt;&gt;'📝 Four-tier กรอก'!V6,'📝 Four-tier กรอก'!W38="Y"),"❌ Misc.",IF(AND('📝 Four-tier กรอก'!T38&lt;&gt;'📝 Four-tier กรอก'!T6,'📝 Four-tier กรอก'!U38="N",'📝 Four-tier กรอก'!V38&lt;&gt;'📝 Four-tier กรอก'!V6,'📝 Four-tier กรอก'!W38="N"),"❓ NoK","🤔 Partial")))))</f>
        <v/>
      </c>
      <c r="I36" s="68">
        <f>IF(OR('📝 Four-tier กรอก'!X38="",'📝 Four-tier กรอก'!Z38=""),"—",IF(AND('📝 Four-tier กรอก'!X38='📝 Four-tier กรอก'!X6,'📝 Four-tier กรอก'!Y38="Y",'📝 Four-tier กรอก'!Z38='📝 Four-tier กรอก'!Z6,'📝 Four-tier กรอก'!AA38="Y"),"✅ Sound",IF(AND('📝 Four-tier กรอก'!X38='📝 Four-tier กรอก'!X6,'📝 Four-tier กรอก'!Y38="Y",'📝 Four-tier กรอก'!Z38&lt;&gt;'📝 Four-tier กรอก'!Z6,'📝 Four-tier กรอก'!AA38="Y"),"🎲 Guess",IF(AND('📝 Four-tier กรอก'!X38&lt;&gt;'📝 Four-tier กรอก'!X6,'📝 Four-tier กรอก'!Y38="Y",'📝 Four-tier กรอก'!Z38&lt;&gt;'📝 Four-tier กรอก'!Z6,'📝 Four-tier กรอก'!AA38="Y"),"❌ Misc.",IF(AND('📝 Four-tier กรอก'!X38&lt;&gt;'📝 Four-tier กรอก'!X6,'📝 Four-tier กรอก'!Y38="N",'📝 Four-tier กรอก'!Z38&lt;&gt;'📝 Four-tier กรอก'!Z6,'📝 Four-tier กรอก'!AA38="N"),"❓ NoK","🤔 Partial")))))</f>
        <v/>
      </c>
      <c r="J36" s="68">
        <f>IF(OR('📝 Four-tier กรอก'!AB38="",'📝 Four-tier กรอก'!AD38=""),"—",IF(AND('📝 Four-tier กรอก'!AB38='📝 Four-tier กรอก'!AB6,'📝 Four-tier กรอก'!AC38="Y",'📝 Four-tier กรอก'!AD38='📝 Four-tier กรอก'!AD6,'📝 Four-tier กรอก'!AE38="Y"),"✅ Sound",IF(AND('📝 Four-tier กรอก'!AB38='📝 Four-tier กรอก'!AB6,'📝 Four-tier กรอก'!AC38="Y",'📝 Four-tier กรอก'!AD38&lt;&gt;'📝 Four-tier กรอก'!AD6,'📝 Four-tier กรอก'!AE38="Y"),"🎲 Guess",IF(AND('📝 Four-tier กรอก'!AB38&lt;&gt;'📝 Four-tier กรอก'!AB6,'📝 Four-tier กรอก'!AC38="Y",'📝 Four-tier กรอก'!AD38&lt;&gt;'📝 Four-tier กรอก'!AD6,'📝 Four-tier กรอก'!AE38="Y"),"❌ Misc.",IF(AND('📝 Four-tier กรอก'!AB38&lt;&gt;'📝 Four-tier กรอก'!AB6,'📝 Four-tier กรอก'!AC38="N",'📝 Four-tier กรอก'!AD38&lt;&gt;'📝 Four-tier กรอก'!AD6,'📝 Four-tier กรอก'!AE38="N"),"❓ NoK","🤔 Partial")))))</f>
        <v/>
      </c>
      <c r="K36" s="68">
        <f>IF(OR('📝 Four-tier กรอก'!AF38="",'📝 Four-tier กรอก'!AH38=""),"—",IF(AND('📝 Four-tier กรอก'!AF38='📝 Four-tier กรอก'!AF6,'📝 Four-tier กรอก'!AG38="Y",'📝 Four-tier กรอก'!AH38='📝 Four-tier กรอก'!AH6,'📝 Four-tier กรอก'!AI38="Y"),"✅ Sound",IF(AND('📝 Four-tier กรอก'!AF38='📝 Four-tier กรอก'!AF6,'📝 Four-tier กรอก'!AG38="Y",'📝 Four-tier กรอก'!AH38&lt;&gt;'📝 Four-tier กรอก'!AH6,'📝 Four-tier กรอก'!AI38="Y"),"🎲 Guess",IF(AND('📝 Four-tier กรอก'!AF38&lt;&gt;'📝 Four-tier กรอก'!AF6,'📝 Four-tier กรอก'!AG38="Y",'📝 Four-tier กรอก'!AH38&lt;&gt;'📝 Four-tier กรอก'!AH6,'📝 Four-tier กรอก'!AI38="Y"),"❌ Misc.",IF(AND('📝 Four-tier กรอก'!AF38&lt;&gt;'📝 Four-tier กรอก'!AF6,'📝 Four-tier กรอก'!AG38="N",'📝 Four-tier กรอก'!AH38&lt;&gt;'📝 Four-tier กรอก'!AH6,'📝 Four-tier กรอก'!AI38="N"),"❓ NoK","🤔 Partial")))))</f>
        <v/>
      </c>
      <c r="L36" s="68">
        <f>IF(OR('📝 Four-tier กรอก'!AJ38="",'📝 Four-tier กรอก'!AL38=""),"—",IF(AND('📝 Four-tier กรอก'!AJ38='📝 Four-tier กรอก'!AJ6,'📝 Four-tier กรอก'!AK38="Y",'📝 Four-tier กรอก'!AL38='📝 Four-tier กรอก'!AL6,'📝 Four-tier กรอก'!AM38="Y"),"✅ Sound",IF(AND('📝 Four-tier กรอก'!AJ38='📝 Four-tier กรอก'!AJ6,'📝 Four-tier กรอก'!AK38="Y",'📝 Four-tier กรอก'!AL38&lt;&gt;'📝 Four-tier กรอก'!AL6,'📝 Four-tier กรอก'!AM38="Y"),"🎲 Guess",IF(AND('📝 Four-tier กรอก'!AJ38&lt;&gt;'📝 Four-tier กรอก'!AJ6,'📝 Four-tier กรอก'!AK38="Y",'📝 Four-tier กรอก'!AL38&lt;&gt;'📝 Four-tier กรอก'!AL6,'📝 Four-tier กรอก'!AM38="Y"),"❌ Misc.",IF(AND('📝 Four-tier กรอก'!AJ38&lt;&gt;'📝 Four-tier กรอก'!AJ6,'📝 Four-tier กรอก'!AK38="N",'📝 Four-tier กรอก'!AL38&lt;&gt;'📝 Four-tier กรอก'!AL6,'📝 Four-tier กรอก'!AM38="N"),"❓ NoK","🤔 Partial")))))</f>
        <v/>
      </c>
      <c r="M36" s="68">
        <f>IF(OR('📝 Four-tier กรอก'!AN38="",'📝 Four-tier กรอก'!AP38=""),"—",IF(AND('📝 Four-tier กรอก'!AN38='📝 Four-tier กรอก'!AN6,'📝 Four-tier กรอก'!AO38="Y",'📝 Four-tier กรอก'!AP38='📝 Four-tier กรอก'!AP6,'📝 Four-tier กรอก'!AQ38="Y"),"✅ Sound",IF(AND('📝 Four-tier กรอก'!AN38='📝 Four-tier กรอก'!AN6,'📝 Four-tier กรอก'!AO38="Y",'📝 Four-tier กรอก'!AP38&lt;&gt;'📝 Four-tier กรอก'!AP6,'📝 Four-tier กรอก'!AQ38="Y"),"🎲 Guess",IF(AND('📝 Four-tier กรอก'!AN38&lt;&gt;'📝 Four-tier กรอก'!AN6,'📝 Four-tier กรอก'!AO38="Y",'📝 Four-tier กรอก'!AP38&lt;&gt;'📝 Four-tier กรอก'!AP6,'📝 Four-tier กรอก'!AQ38="Y"),"❌ Misc.",IF(AND('📝 Four-tier กรอก'!AN38&lt;&gt;'📝 Four-tier กรอก'!AN6,'📝 Four-tier กรอก'!AO38="N",'📝 Four-tier กรอก'!AP38&lt;&gt;'📝 Four-tier กรอก'!AP6,'📝 Four-tier กรอก'!AQ38="N"),"❓ NoK","🤔 Partial")))))</f>
        <v/>
      </c>
      <c r="N36" s="68">
        <f>IF(OR('📝 Four-tier กรอก'!AR38="",'📝 Four-tier กรอก'!AT38=""),"—",IF(AND('📝 Four-tier กรอก'!AR38='📝 Four-tier กรอก'!AR6,'📝 Four-tier กรอก'!AS38="Y",'📝 Four-tier กรอก'!AT38='📝 Four-tier กรอก'!AT6,'📝 Four-tier กรอก'!AU38="Y"),"✅ Sound",IF(AND('📝 Four-tier กรอก'!AR38='📝 Four-tier กรอก'!AR6,'📝 Four-tier กรอก'!AS38="Y",'📝 Four-tier กรอก'!AT38&lt;&gt;'📝 Four-tier กรอก'!AT6,'📝 Four-tier กรอก'!AU38="Y"),"🎲 Guess",IF(AND('📝 Four-tier กรอก'!AR38&lt;&gt;'📝 Four-tier กรอก'!AR6,'📝 Four-tier กรอก'!AS38="Y",'📝 Four-tier กรอก'!AT38&lt;&gt;'📝 Four-tier กรอก'!AT6,'📝 Four-tier กรอก'!AU38="Y"),"❌ Misc.",IF(AND('📝 Four-tier กรอก'!AR38&lt;&gt;'📝 Four-tier กรอก'!AR6,'📝 Four-tier กรอก'!AS38="N",'📝 Four-tier กรอก'!AT38&lt;&gt;'📝 Four-tier กรอก'!AT6,'📝 Four-tier กรอก'!AU38="N"),"❓ NoK","🤔 Partial")))))</f>
        <v/>
      </c>
      <c r="O36" s="68">
        <f>IF(OR('📝 Four-tier กรอก'!AV38="",'📝 Four-tier กรอก'!AX38=""),"—",IF(AND('📝 Four-tier กรอก'!AV38='📝 Four-tier กรอก'!AV6,'📝 Four-tier กรอก'!AW38="Y",'📝 Four-tier กรอก'!AX38='📝 Four-tier กรอก'!AX6,'📝 Four-tier กรอก'!AY38="Y"),"✅ Sound",IF(AND('📝 Four-tier กรอก'!AV38='📝 Four-tier กรอก'!AV6,'📝 Four-tier กรอก'!AW38="Y",'📝 Four-tier กรอก'!AX38&lt;&gt;'📝 Four-tier กรอก'!AX6,'📝 Four-tier กรอก'!AY38="Y"),"🎲 Guess",IF(AND('📝 Four-tier กรอก'!AV38&lt;&gt;'📝 Four-tier กรอก'!AV6,'📝 Four-tier กรอก'!AW38="Y",'📝 Four-tier กรอก'!AX38&lt;&gt;'📝 Four-tier กรอก'!AX6,'📝 Four-tier กรอก'!AY38="Y"),"❌ Misc.",IF(AND('📝 Four-tier กรอก'!AV38&lt;&gt;'📝 Four-tier กรอก'!AV6,'📝 Four-tier กรอก'!AW38="N",'📝 Four-tier กรอก'!AX38&lt;&gt;'📝 Four-tier กรอก'!AX6,'📝 Four-tier กรอก'!AY38="N"),"❓ NoK","🤔 Partial")))))</f>
        <v/>
      </c>
      <c r="P36" s="68">
        <f>IF(OR('📝 Four-tier กรอก'!AZ38="",'📝 Four-tier กรอก'!BB38=""),"—",IF(AND('📝 Four-tier กรอก'!AZ38='📝 Four-tier กรอก'!AZ6,'📝 Four-tier กรอก'!BA38="Y",'📝 Four-tier กรอก'!BB38='📝 Four-tier กรอก'!BB6,'📝 Four-tier กรอก'!BC38="Y"),"✅ Sound",IF(AND('📝 Four-tier กรอก'!AZ38='📝 Four-tier กรอก'!AZ6,'📝 Four-tier กรอก'!BA38="Y",'📝 Four-tier กรอก'!BB38&lt;&gt;'📝 Four-tier กรอก'!BB6,'📝 Four-tier กรอก'!BC38="Y"),"🎲 Guess",IF(AND('📝 Four-tier กรอก'!AZ38&lt;&gt;'📝 Four-tier กรอก'!AZ6,'📝 Four-tier กรอก'!BA38="Y",'📝 Four-tier กรอก'!BB38&lt;&gt;'📝 Four-tier กรอก'!BB6,'📝 Four-tier กรอก'!BC38="Y"),"❌ Misc.",IF(AND('📝 Four-tier กรอก'!AZ38&lt;&gt;'📝 Four-tier กรอก'!AZ6,'📝 Four-tier กรอก'!BA38="N",'📝 Four-tier กรอก'!BB38&lt;&gt;'📝 Four-tier กรอก'!BB6,'📝 Four-tier กรอก'!BC38="N"),"❓ NoK","🤔 Partial")))))</f>
        <v/>
      </c>
      <c r="Q36" s="68">
        <f>IF(OR('📝 Four-tier กรอก'!BD38="",'📝 Four-tier กรอก'!BF38=""),"—",IF(AND('📝 Four-tier กรอก'!BD38='📝 Four-tier กรอก'!BD6,'📝 Four-tier กรอก'!BE38="Y",'📝 Four-tier กรอก'!BF38='📝 Four-tier กรอก'!BF6,'📝 Four-tier กรอก'!BG38="Y"),"✅ Sound",IF(AND('📝 Four-tier กรอก'!BD38='📝 Four-tier กรอก'!BD6,'📝 Four-tier กรอก'!BE38="Y",'📝 Four-tier กรอก'!BF38&lt;&gt;'📝 Four-tier กรอก'!BF6,'📝 Four-tier กรอก'!BG38="Y"),"🎲 Guess",IF(AND('📝 Four-tier กรอก'!BD38&lt;&gt;'📝 Four-tier กรอก'!BD6,'📝 Four-tier กรอก'!BE38="Y",'📝 Four-tier กรอก'!BF38&lt;&gt;'📝 Four-tier กรอก'!BF6,'📝 Four-tier กรอก'!BG38="Y"),"❌ Misc.",IF(AND('📝 Four-tier กรอก'!BD38&lt;&gt;'📝 Four-tier กรอก'!BD6,'📝 Four-tier กรอก'!BE38="N",'📝 Four-tier กรอก'!BF38&lt;&gt;'📝 Four-tier กรอก'!BF6,'📝 Four-tier กรอก'!BG38="N"),"❓ NoK","🤔 Partial")))))</f>
        <v/>
      </c>
      <c r="R36" s="68">
        <f>IF(OR('📝 Four-tier กรอก'!BH38="",'📝 Four-tier กรอก'!BJ38=""),"—",IF(AND('📝 Four-tier กรอก'!BH38='📝 Four-tier กรอก'!BH6,'📝 Four-tier กรอก'!BI38="Y",'📝 Four-tier กรอก'!BJ38='📝 Four-tier กรอก'!BJ6,'📝 Four-tier กรอก'!BK38="Y"),"✅ Sound",IF(AND('📝 Four-tier กรอก'!BH38='📝 Four-tier กรอก'!BH6,'📝 Four-tier กรอก'!BI38="Y",'📝 Four-tier กรอก'!BJ38&lt;&gt;'📝 Four-tier กรอก'!BJ6,'📝 Four-tier กรอก'!BK38="Y"),"🎲 Guess",IF(AND('📝 Four-tier กรอก'!BH38&lt;&gt;'📝 Four-tier กรอก'!BH6,'📝 Four-tier กรอก'!BI38="Y",'📝 Four-tier กรอก'!BJ38&lt;&gt;'📝 Four-tier กรอก'!BJ6,'📝 Four-tier กรอก'!BK38="Y"),"❌ Misc.",IF(AND('📝 Four-tier กรอก'!BH38&lt;&gt;'📝 Four-tier กรอก'!BH6,'📝 Four-tier กรอก'!BI38="N",'📝 Four-tier กรอก'!BJ38&lt;&gt;'📝 Four-tier กรอก'!BJ6,'📝 Four-tier กรอก'!BK38="N"),"❓ NoK","🤔 Partial")))))</f>
        <v/>
      </c>
      <c r="S36" s="68">
        <f>IF(OR('📝 Four-tier กรอก'!BL38="",'📝 Four-tier กรอก'!BN38=""),"—",IF(AND('📝 Four-tier กรอก'!BL38='📝 Four-tier กรอก'!BL6,'📝 Four-tier กรอก'!BM38="Y",'📝 Four-tier กรอก'!BN38='📝 Four-tier กรอก'!BN6,'📝 Four-tier กรอก'!BO38="Y"),"✅ Sound",IF(AND('📝 Four-tier กรอก'!BL38='📝 Four-tier กรอก'!BL6,'📝 Four-tier กรอก'!BM38="Y",'📝 Four-tier กรอก'!BN38&lt;&gt;'📝 Four-tier กรอก'!BN6,'📝 Four-tier กรอก'!BO38="Y"),"🎲 Guess",IF(AND('📝 Four-tier กรอก'!BL38&lt;&gt;'📝 Four-tier กรอก'!BL6,'📝 Four-tier กรอก'!BM38="Y",'📝 Four-tier กรอก'!BN38&lt;&gt;'📝 Four-tier กรอก'!BN6,'📝 Four-tier กรอก'!BO38="Y"),"❌ Misc.",IF(AND('📝 Four-tier กรอก'!BL38&lt;&gt;'📝 Four-tier กรอก'!BL6,'📝 Four-tier กรอก'!BM38="N",'📝 Four-tier กรอก'!BN38&lt;&gt;'📝 Four-tier กรอก'!BN6,'📝 Four-tier กรอก'!BO38="N"),"❓ NoK","🤔 Partial")))))</f>
        <v/>
      </c>
      <c r="T36" s="68">
        <f>IF(OR('📝 Four-tier กรอก'!BP38="",'📝 Four-tier กรอก'!BR38=""),"—",IF(AND('📝 Four-tier กรอก'!BP38='📝 Four-tier กรอก'!BP6,'📝 Four-tier กรอก'!BQ38="Y",'📝 Four-tier กรอก'!BR38='📝 Four-tier กรอก'!BR6,'📝 Four-tier กรอก'!BS38="Y"),"✅ Sound",IF(AND('📝 Four-tier กรอก'!BP38='📝 Four-tier กรอก'!BP6,'📝 Four-tier กรอก'!BQ38="Y",'📝 Four-tier กรอก'!BR38&lt;&gt;'📝 Four-tier กรอก'!BR6,'📝 Four-tier กรอก'!BS38="Y"),"🎲 Guess",IF(AND('📝 Four-tier กรอก'!BP38&lt;&gt;'📝 Four-tier กรอก'!BP6,'📝 Four-tier กรอก'!BQ38="Y",'📝 Four-tier กรอก'!BR38&lt;&gt;'📝 Four-tier กรอก'!BR6,'📝 Four-tier กรอก'!BS38="Y"),"❌ Misc.",IF(AND('📝 Four-tier กรอก'!BP38&lt;&gt;'📝 Four-tier กรอก'!BP6,'📝 Four-tier กรอก'!BQ38="N",'📝 Four-tier กรอก'!BR38&lt;&gt;'📝 Four-tier กรอก'!BR6,'📝 Four-tier กรอก'!BS38="N"),"❓ NoK","🤔 Partial")))))</f>
        <v/>
      </c>
      <c r="U36" s="68">
        <f>IF(OR('📝 Four-tier กรอก'!BT38="",'📝 Four-tier กรอก'!BV38=""),"—",IF(AND('📝 Four-tier กรอก'!BT38='📝 Four-tier กรอก'!BT6,'📝 Four-tier กรอก'!BU38="Y",'📝 Four-tier กรอก'!BV38='📝 Four-tier กรอก'!BV6,'📝 Four-tier กรอก'!BW38="Y"),"✅ Sound",IF(AND('📝 Four-tier กรอก'!BT38='📝 Four-tier กรอก'!BT6,'📝 Four-tier กรอก'!BU38="Y",'📝 Four-tier กรอก'!BV38&lt;&gt;'📝 Four-tier กรอก'!BV6,'📝 Four-tier กรอก'!BW38="Y"),"🎲 Guess",IF(AND('📝 Four-tier กรอก'!BT38&lt;&gt;'📝 Four-tier กรอก'!BT6,'📝 Four-tier กรอก'!BU38="Y",'📝 Four-tier กรอก'!BV38&lt;&gt;'📝 Four-tier กรอก'!BV6,'📝 Four-tier กรอก'!BW38="Y"),"❌ Misc.",IF(AND('📝 Four-tier กรอก'!BT38&lt;&gt;'📝 Four-tier กรอก'!BT6,'📝 Four-tier กรอก'!BU38="N",'📝 Four-tier กรอก'!BV38&lt;&gt;'📝 Four-tier กรอก'!BV6,'📝 Four-tier กรอก'!BW38="N"),"❓ NoK","🤔 Partial")))))</f>
        <v/>
      </c>
      <c r="V36" s="68">
        <f>IF(OR('📝 Four-tier กรอก'!BX38="",'📝 Four-tier กรอก'!BZ38=""),"—",IF(AND('📝 Four-tier กรอก'!BX38='📝 Four-tier กรอก'!BX6,'📝 Four-tier กรอก'!BY38="Y",'📝 Four-tier กรอก'!BZ38='📝 Four-tier กรอก'!BZ6,'📝 Four-tier กรอก'!CA38="Y"),"✅ Sound",IF(AND('📝 Four-tier กรอก'!BX38='📝 Four-tier กรอก'!BX6,'📝 Four-tier กรอก'!BY38="Y",'📝 Four-tier กรอก'!BZ38&lt;&gt;'📝 Four-tier กรอก'!BZ6,'📝 Four-tier กรอก'!CA38="Y"),"🎲 Guess",IF(AND('📝 Four-tier กรอก'!BX38&lt;&gt;'📝 Four-tier กรอก'!BX6,'📝 Four-tier กรอก'!BY38="Y",'📝 Four-tier กรอก'!BZ38&lt;&gt;'📝 Four-tier กรอก'!BZ6,'📝 Four-tier กรอก'!CA38="Y"),"❌ Misc.",IF(AND('📝 Four-tier กรอก'!BX38&lt;&gt;'📝 Four-tier กรอก'!BX6,'📝 Four-tier กรอก'!BY38="N",'📝 Four-tier กรอก'!BZ38&lt;&gt;'📝 Four-tier กรอก'!BZ6,'📝 Four-tier กรอก'!CA38="N"),"❓ NoK","🤔 Partial")))))</f>
        <v/>
      </c>
      <c r="W36" s="68">
        <f>IF(OR('📝 Four-tier กรอก'!CB38="",'📝 Four-tier กรอก'!CD38=""),"—",IF(AND('📝 Four-tier กรอก'!CB38='📝 Four-tier กรอก'!CB6,'📝 Four-tier กรอก'!CC38="Y",'📝 Four-tier กรอก'!CD38='📝 Four-tier กรอก'!CD6,'📝 Four-tier กรอก'!CE38="Y"),"✅ Sound",IF(AND('📝 Four-tier กรอก'!CB38='📝 Four-tier กรอก'!CB6,'📝 Four-tier กรอก'!CC38="Y",'📝 Four-tier กรอก'!CD38&lt;&gt;'📝 Four-tier กรอก'!CD6,'📝 Four-tier กรอก'!CE38="Y"),"🎲 Guess",IF(AND('📝 Four-tier กรอก'!CB38&lt;&gt;'📝 Four-tier กรอก'!CB6,'📝 Four-tier กรอก'!CC38="Y",'📝 Four-tier กรอก'!CD38&lt;&gt;'📝 Four-tier กรอก'!CD6,'📝 Four-tier กรอก'!CE38="Y"),"❌ Misc.",IF(AND('📝 Four-tier กรอก'!CB38&lt;&gt;'📝 Four-tier กรอก'!CB6,'📝 Four-tier กรอก'!CC38="N",'📝 Four-tier กรอก'!CD38&lt;&gt;'📝 Four-tier กรอก'!CD6,'📝 Four-tier กรอก'!CE38="N"),"❓ NoK","🤔 Partial")))))</f>
        <v/>
      </c>
      <c r="X36" s="37">
        <f>COUNTIF(D36:W36,"✅ Sound")</f>
        <v/>
      </c>
      <c r="Y36" s="37">
        <f>COUNTIF(D36:W36,"❌ Misc.")</f>
        <v/>
      </c>
      <c r="Z36" s="37">
        <f>COUNTIF(D36:W36,"🎲 Guess")</f>
        <v/>
      </c>
      <c r="AA36" s="37">
        <f>COUNTIF(D36:W36,"❓ NoK")</f>
        <v/>
      </c>
    </row>
    <row r="37" ht="18" customHeight="1">
      <c r="B37" s="46">
        <f>'📝 Four-tier กรอก'!B39</f>
        <v/>
      </c>
      <c r="C37" s="47">
        <f>'📝 Four-tier กรอก'!C39</f>
        <v/>
      </c>
      <c r="D37" s="67">
        <f>IF(OR('📝 Four-tier กรอก'!D39="",'📝 Four-tier กรอก'!F39=""),"—",IF(AND('📝 Four-tier กรอก'!D39='📝 Four-tier กรอก'!D6,'📝 Four-tier กรอก'!E39="Y",'📝 Four-tier กรอก'!F39='📝 Four-tier กรอก'!F6,'📝 Four-tier กรอก'!G39="Y"),"✅ Sound",IF(AND('📝 Four-tier กรอก'!D39='📝 Four-tier กรอก'!D6,'📝 Four-tier กรอก'!E39="Y",'📝 Four-tier กรอก'!F39&lt;&gt;'📝 Four-tier กรอก'!F6,'📝 Four-tier กรอก'!G39="Y"),"🎲 Guess",IF(AND('📝 Four-tier กรอก'!D39&lt;&gt;'📝 Four-tier กรอก'!D6,'📝 Four-tier กรอก'!E39="Y",'📝 Four-tier กรอก'!F39&lt;&gt;'📝 Four-tier กรอก'!F6,'📝 Four-tier กรอก'!G39="Y"),"❌ Misc.",IF(AND('📝 Four-tier กรอก'!D39&lt;&gt;'📝 Four-tier กรอก'!D6,'📝 Four-tier กรอก'!E39="N",'📝 Four-tier กรอก'!F39&lt;&gt;'📝 Four-tier กรอก'!F6,'📝 Four-tier กรอก'!G39="N"),"❓ NoK","🤔 Partial")))))</f>
        <v/>
      </c>
      <c r="E37" s="67">
        <f>IF(OR('📝 Four-tier กรอก'!H39="",'📝 Four-tier กรอก'!J39=""),"—",IF(AND('📝 Four-tier กรอก'!H39='📝 Four-tier กรอก'!H6,'📝 Four-tier กรอก'!I39="Y",'📝 Four-tier กรอก'!J39='📝 Four-tier กรอก'!J6,'📝 Four-tier กรอก'!K39="Y"),"✅ Sound",IF(AND('📝 Four-tier กรอก'!H39='📝 Four-tier กรอก'!H6,'📝 Four-tier กรอก'!I39="Y",'📝 Four-tier กรอก'!J39&lt;&gt;'📝 Four-tier กรอก'!J6,'📝 Four-tier กรอก'!K39="Y"),"🎲 Guess",IF(AND('📝 Four-tier กรอก'!H39&lt;&gt;'📝 Four-tier กรอก'!H6,'📝 Four-tier กรอก'!I39="Y",'📝 Four-tier กรอก'!J39&lt;&gt;'📝 Four-tier กรอก'!J6,'📝 Four-tier กรอก'!K39="Y"),"❌ Misc.",IF(AND('📝 Four-tier กรอก'!H39&lt;&gt;'📝 Four-tier กรอก'!H6,'📝 Four-tier กรอก'!I39="N",'📝 Four-tier กรอก'!J39&lt;&gt;'📝 Four-tier กรอก'!J6,'📝 Four-tier กรอก'!K39="N"),"❓ NoK","🤔 Partial")))))</f>
        <v/>
      </c>
      <c r="F37" s="67">
        <f>IF(OR('📝 Four-tier กรอก'!L39="",'📝 Four-tier กรอก'!N39=""),"—",IF(AND('📝 Four-tier กรอก'!L39='📝 Four-tier กรอก'!L6,'📝 Four-tier กรอก'!M39="Y",'📝 Four-tier กรอก'!N39='📝 Four-tier กรอก'!N6,'📝 Four-tier กรอก'!O39="Y"),"✅ Sound",IF(AND('📝 Four-tier กรอก'!L39='📝 Four-tier กรอก'!L6,'📝 Four-tier กรอก'!M39="Y",'📝 Four-tier กรอก'!N39&lt;&gt;'📝 Four-tier กรอก'!N6,'📝 Four-tier กรอก'!O39="Y"),"🎲 Guess",IF(AND('📝 Four-tier กรอก'!L39&lt;&gt;'📝 Four-tier กรอก'!L6,'📝 Four-tier กรอก'!M39="Y",'📝 Four-tier กรอก'!N39&lt;&gt;'📝 Four-tier กรอก'!N6,'📝 Four-tier กรอก'!O39="Y"),"❌ Misc.",IF(AND('📝 Four-tier กรอก'!L39&lt;&gt;'📝 Four-tier กรอก'!L6,'📝 Four-tier กรอก'!M39="N",'📝 Four-tier กรอก'!N39&lt;&gt;'📝 Four-tier กรอก'!N6,'📝 Four-tier กรอก'!O39="N"),"❓ NoK","🤔 Partial")))))</f>
        <v/>
      </c>
      <c r="G37" s="67">
        <f>IF(OR('📝 Four-tier กรอก'!P39="",'📝 Four-tier กรอก'!R39=""),"—",IF(AND('📝 Four-tier กรอก'!P39='📝 Four-tier กรอก'!P6,'📝 Four-tier กรอก'!Q39="Y",'📝 Four-tier กรอก'!R39='📝 Four-tier กรอก'!R6,'📝 Four-tier กรอก'!S39="Y"),"✅ Sound",IF(AND('📝 Four-tier กรอก'!P39='📝 Four-tier กรอก'!P6,'📝 Four-tier กรอก'!Q39="Y",'📝 Four-tier กรอก'!R39&lt;&gt;'📝 Four-tier กรอก'!R6,'📝 Four-tier กรอก'!S39="Y"),"🎲 Guess",IF(AND('📝 Four-tier กรอก'!P39&lt;&gt;'📝 Four-tier กรอก'!P6,'📝 Four-tier กรอก'!Q39="Y",'📝 Four-tier กรอก'!R39&lt;&gt;'📝 Four-tier กรอก'!R6,'📝 Four-tier กรอก'!S39="Y"),"❌ Misc.",IF(AND('📝 Four-tier กรอก'!P39&lt;&gt;'📝 Four-tier กรอก'!P6,'📝 Four-tier กรอก'!Q39="N",'📝 Four-tier กรอก'!R39&lt;&gt;'📝 Four-tier กรอก'!R6,'📝 Four-tier กรอก'!S39="N"),"❓ NoK","🤔 Partial")))))</f>
        <v/>
      </c>
      <c r="H37" s="67">
        <f>IF(OR('📝 Four-tier กรอก'!T39="",'📝 Four-tier กรอก'!V39=""),"—",IF(AND('📝 Four-tier กรอก'!T39='📝 Four-tier กรอก'!T6,'📝 Four-tier กรอก'!U39="Y",'📝 Four-tier กรอก'!V39='📝 Four-tier กรอก'!V6,'📝 Four-tier กรอก'!W39="Y"),"✅ Sound",IF(AND('📝 Four-tier กรอก'!T39='📝 Four-tier กรอก'!T6,'📝 Four-tier กรอก'!U39="Y",'📝 Four-tier กรอก'!V39&lt;&gt;'📝 Four-tier กรอก'!V6,'📝 Four-tier กรอก'!W39="Y"),"🎲 Guess",IF(AND('📝 Four-tier กรอก'!T39&lt;&gt;'📝 Four-tier กรอก'!T6,'📝 Four-tier กรอก'!U39="Y",'📝 Four-tier กรอก'!V39&lt;&gt;'📝 Four-tier กรอก'!V6,'📝 Four-tier กรอก'!W39="Y"),"❌ Misc.",IF(AND('📝 Four-tier กรอก'!T39&lt;&gt;'📝 Four-tier กรอก'!T6,'📝 Four-tier กรอก'!U39="N",'📝 Four-tier กรอก'!V39&lt;&gt;'📝 Four-tier กรอก'!V6,'📝 Four-tier กรอก'!W39="N"),"❓ NoK","🤔 Partial")))))</f>
        <v/>
      </c>
      <c r="I37" s="67">
        <f>IF(OR('📝 Four-tier กรอก'!X39="",'📝 Four-tier กรอก'!Z39=""),"—",IF(AND('📝 Four-tier กรอก'!X39='📝 Four-tier กรอก'!X6,'📝 Four-tier กรอก'!Y39="Y",'📝 Four-tier กรอก'!Z39='📝 Four-tier กรอก'!Z6,'📝 Four-tier กรอก'!AA39="Y"),"✅ Sound",IF(AND('📝 Four-tier กรอก'!X39='📝 Four-tier กรอก'!X6,'📝 Four-tier กรอก'!Y39="Y",'📝 Four-tier กรอก'!Z39&lt;&gt;'📝 Four-tier กรอก'!Z6,'📝 Four-tier กรอก'!AA39="Y"),"🎲 Guess",IF(AND('📝 Four-tier กรอก'!X39&lt;&gt;'📝 Four-tier กรอก'!X6,'📝 Four-tier กรอก'!Y39="Y",'📝 Four-tier กรอก'!Z39&lt;&gt;'📝 Four-tier กรอก'!Z6,'📝 Four-tier กรอก'!AA39="Y"),"❌ Misc.",IF(AND('📝 Four-tier กรอก'!X39&lt;&gt;'📝 Four-tier กรอก'!X6,'📝 Four-tier กรอก'!Y39="N",'📝 Four-tier กรอก'!Z39&lt;&gt;'📝 Four-tier กรอก'!Z6,'📝 Four-tier กรอก'!AA39="N"),"❓ NoK","🤔 Partial")))))</f>
        <v/>
      </c>
      <c r="J37" s="67">
        <f>IF(OR('📝 Four-tier กรอก'!AB39="",'📝 Four-tier กรอก'!AD39=""),"—",IF(AND('📝 Four-tier กรอก'!AB39='📝 Four-tier กรอก'!AB6,'📝 Four-tier กรอก'!AC39="Y",'📝 Four-tier กรอก'!AD39='📝 Four-tier กรอก'!AD6,'📝 Four-tier กรอก'!AE39="Y"),"✅ Sound",IF(AND('📝 Four-tier กรอก'!AB39='📝 Four-tier กรอก'!AB6,'📝 Four-tier กรอก'!AC39="Y",'📝 Four-tier กรอก'!AD39&lt;&gt;'📝 Four-tier กรอก'!AD6,'📝 Four-tier กรอก'!AE39="Y"),"🎲 Guess",IF(AND('📝 Four-tier กรอก'!AB39&lt;&gt;'📝 Four-tier กรอก'!AB6,'📝 Four-tier กรอก'!AC39="Y",'📝 Four-tier กรอก'!AD39&lt;&gt;'📝 Four-tier กรอก'!AD6,'📝 Four-tier กรอก'!AE39="Y"),"❌ Misc.",IF(AND('📝 Four-tier กรอก'!AB39&lt;&gt;'📝 Four-tier กรอก'!AB6,'📝 Four-tier กรอก'!AC39="N",'📝 Four-tier กรอก'!AD39&lt;&gt;'📝 Four-tier กรอก'!AD6,'📝 Four-tier กรอก'!AE39="N"),"❓ NoK","🤔 Partial")))))</f>
        <v/>
      </c>
      <c r="K37" s="67">
        <f>IF(OR('📝 Four-tier กรอก'!AF39="",'📝 Four-tier กรอก'!AH39=""),"—",IF(AND('📝 Four-tier กรอก'!AF39='📝 Four-tier กรอก'!AF6,'📝 Four-tier กรอก'!AG39="Y",'📝 Four-tier กรอก'!AH39='📝 Four-tier กรอก'!AH6,'📝 Four-tier กรอก'!AI39="Y"),"✅ Sound",IF(AND('📝 Four-tier กรอก'!AF39='📝 Four-tier กรอก'!AF6,'📝 Four-tier กรอก'!AG39="Y",'📝 Four-tier กรอก'!AH39&lt;&gt;'📝 Four-tier กรอก'!AH6,'📝 Four-tier กรอก'!AI39="Y"),"🎲 Guess",IF(AND('📝 Four-tier กรอก'!AF39&lt;&gt;'📝 Four-tier กรอก'!AF6,'📝 Four-tier กรอก'!AG39="Y",'📝 Four-tier กรอก'!AH39&lt;&gt;'📝 Four-tier กรอก'!AH6,'📝 Four-tier กรอก'!AI39="Y"),"❌ Misc.",IF(AND('📝 Four-tier กรอก'!AF39&lt;&gt;'📝 Four-tier กรอก'!AF6,'📝 Four-tier กรอก'!AG39="N",'📝 Four-tier กรอก'!AH39&lt;&gt;'📝 Four-tier กรอก'!AH6,'📝 Four-tier กรอก'!AI39="N"),"❓ NoK","🤔 Partial")))))</f>
        <v/>
      </c>
      <c r="L37" s="67">
        <f>IF(OR('📝 Four-tier กรอก'!AJ39="",'📝 Four-tier กรอก'!AL39=""),"—",IF(AND('📝 Four-tier กรอก'!AJ39='📝 Four-tier กรอก'!AJ6,'📝 Four-tier กรอก'!AK39="Y",'📝 Four-tier กรอก'!AL39='📝 Four-tier กรอก'!AL6,'📝 Four-tier กรอก'!AM39="Y"),"✅ Sound",IF(AND('📝 Four-tier กรอก'!AJ39='📝 Four-tier กรอก'!AJ6,'📝 Four-tier กรอก'!AK39="Y",'📝 Four-tier กรอก'!AL39&lt;&gt;'📝 Four-tier กรอก'!AL6,'📝 Four-tier กรอก'!AM39="Y"),"🎲 Guess",IF(AND('📝 Four-tier กรอก'!AJ39&lt;&gt;'📝 Four-tier กรอก'!AJ6,'📝 Four-tier กรอก'!AK39="Y",'📝 Four-tier กรอก'!AL39&lt;&gt;'📝 Four-tier กรอก'!AL6,'📝 Four-tier กรอก'!AM39="Y"),"❌ Misc.",IF(AND('📝 Four-tier กรอก'!AJ39&lt;&gt;'📝 Four-tier กรอก'!AJ6,'📝 Four-tier กรอก'!AK39="N",'📝 Four-tier กรอก'!AL39&lt;&gt;'📝 Four-tier กรอก'!AL6,'📝 Four-tier กรอก'!AM39="N"),"❓ NoK","🤔 Partial")))))</f>
        <v/>
      </c>
      <c r="M37" s="67">
        <f>IF(OR('📝 Four-tier กรอก'!AN39="",'📝 Four-tier กรอก'!AP39=""),"—",IF(AND('📝 Four-tier กรอก'!AN39='📝 Four-tier กรอก'!AN6,'📝 Four-tier กรอก'!AO39="Y",'📝 Four-tier กรอก'!AP39='📝 Four-tier กรอก'!AP6,'📝 Four-tier กรอก'!AQ39="Y"),"✅ Sound",IF(AND('📝 Four-tier กรอก'!AN39='📝 Four-tier กรอก'!AN6,'📝 Four-tier กรอก'!AO39="Y",'📝 Four-tier กรอก'!AP39&lt;&gt;'📝 Four-tier กรอก'!AP6,'📝 Four-tier กรอก'!AQ39="Y"),"🎲 Guess",IF(AND('📝 Four-tier กรอก'!AN39&lt;&gt;'📝 Four-tier กรอก'!AN6,'📝 Four-tier กรอก'!AO39="Y",'📝 Four-tier กรอก'!AP39&lt;&gt;'📝 Four-tier กรอก'!AP6,'📝 Four-tier กรอก'!AQ39="Y"),"❌ Misc.",IF(AND('📝 Four-tier กรอก'!AN39&lt;&gt;'📝 Four-tier กรอก'!AN6,'📝 Four-tier กรอก'!AO39="N",'📝 Four-tier กรอก'!AP39&lt;&gt;'📝 Four-tier กรอก'!AP6,'📝 Four-tier กรอก'!AQ39="N"),"❓ NoK","🤔 Partial")))))</f>
        <v/>
      </c>
      <c r="N37" s="67">
        <f>IF(OR('📝 Four-tier กรอก'!AR39="",'📝 Four-tier กรอก'!AT39=""),"—",IF(AND('📝 Four-tier กรอก'!AR39='📝 Four-tier กรอก'!AR6,'📝 Four-tier กรอก'!AS39="Y",'📝 Four-tier กรอก'!AT39='📝 Four-tier กรอก'!AT6,'📝 Four-tier กรอก'!AU39="Y"),"✅ Sound",IF(AND('📝 Four-tier กรอก'!AR39='📝 Four-tier กรอก'!AR6,'📝 Four-tier กรอก'!AS39="Y",'📝 Four-tier กรอก'!AT39&lt;&gt;'📝 Four-tier กรอก'!AT6,'📝 Four-tier กรอก'!AU39="Y"),"🎲 Guess",IF(AND('📝 Four-tier กรอก'!AR39&lt;&gt;'📝 Four-tier กรอก'!AR6,'📝 Four-tier กรอก'!AS39="Y",'📝 Four-tier กรอก'!AT39&lt;&gt;'📝 Four-tier กรอก'!AT6,'📝 Four-tier กรอก'!AU39="Y"),"❌ Misc.",IF(AND('📝 Four-tier กรอก'!AR39&lt;&gt;'📝 Four-tier กรอก'!AR6,'📝 Four-tier กรอก'!AS39="N",'📝 Four-tier กรอก'!AT39&lt;&gt;'📝 Four-tier กรอก'!AT6,'📝 Four-tier กรอก'!AU39="N"),"❓ NoK","🤔 Partial")))))</f>
        <v/>
      </c>
      <c r="O37" s="67">
        <f>IF(OR('📝 Four-tier กรอก'!AV39="",'📝 Four-tier กรอก'!AX39=""),"—",IF(AND('📝 Four-tier กรอก'!AV39='📝 Four-tier กรอก'!AV6,'📝 Four-tier กรอก'!AW39="Y",'📝 Four-tier กรอก'!AX39='📝 Four-tier กรอก'!AX6,'📝 Four-tier กรอก'!AY39="Y"),"✅ Sound",IF(AND('📝 Four-tier กรอก'!AV39='📝 Four-tier กรอก'!AV6,'📝 Four-tier กรอก'!AW39="Y",'📝 Four-tier กรอก'!AX39&lt;&gt;'📝 Four-tier กรอก'!AX6,'📝 Four-tier กรอก'!AY39="Y"),"🎲 Guess",IF(AND('📝 Four-tier กรอก'!AV39&lt;&gt;'📝 Four-tier กรอก'!AV6,'📝 Four-tier กรอก'!AW39="Y",'📝 Four-tier กรอก'!AX39&lt;&gt;'📝 Four-tier กรอก'!AX6,'📝 Four-tier กรอก'!AY39="Y"),"❌ Misc.",IF(AND('📝 Four-tier กรอก'!AV39&lt;&gt;'📝 Four-tier กรอก'!AV6,'📝 Four-tier กรอก'!AW39="N",'📝 Four-tier กรอก'!AX39&lt;&gt;'📝 Four-tier กรอก'!AX6,'📝 Four-tier กรอก'!AY39="N"),"❓ NoK","🤔 Partial")))))</f>
        <v/>
      </c>
      <c r="P37" s="67">
        <f>IF(OR('📝 Four-tier กรอก'!AZ39="",'📝 Four-tier กรอก'!BB39=""),"—",IF(AND('📝 Four-tier กรอก'!AZ39='📝 Four-tier กรอก'!AZ6,'📝 Four-tier กรอก'!BA39="Y",'📝 Four-tier กรอก'!BB39='📝 Four-tier กรอก'!BB6,'📝 Four-tier กรอก'!BC39="Y"),"✅ Sound",IF(AND('📝 Four-tier กรอก'!AZ39='📝 Four-tier กรอก'!AZ6,'📝 Four-tier กรอก'!BA39="Y",'📝 Four-tier กรอก'!BB39&lt;&gt;'📝 Four-tier กรอก'!BB6,'📝 Four-tier กรอก'!BC39="Y"),"🎲 Guess",IF(AND('📝 Four-tier กรอก'!AZ39&lt;&gt;'📝 Four-tier กรอก'!AZ6,'📝 Four-tier กรอก'!BA39="Y",'📝 Four-tier กรอก'!BB39&lt;&gt;'📝 Four-tier กรอก'!BB6,'📝 Four-tier กรอก'!BC39="Y"),"❌ Misc.",IF(AND('📝 Four-tier กรอก'!AZ39&lt;&gt;'📝 Four-tier กรอก'!AZ6,'📝 Four-tier กรอก'!BA39="N",'📝 Four-tier กรอก'!BB39&lt;&gt;'📝 Four-tier กรอก'!BB6,'📝 Four-tier กรอก'!BC39="N"),"❓ NoK","🤔 Partial")))))</f>
        <v/>
      </c>
      <c r="Q37" s="67">
        <f>IF(OR('📝 Four-tier กรอก'!BD39="",'📝 Four-tier กรอก'!BF39=""),"—",IF(AND('📝 Four-tier กรอก'!BD39='📝 Four-tier กรอก'!BD6,'📝 Four-tier กรอก'!BE39="Y",'📝 Four-tier กรอก'!BF39='📝 Four-tier กรอก'!BF6,'📝 Four-tier กรอก'!BG39="Y"),"✅ Sound",IF(AND('📝 Four-tier กรอก'!BD39='📝 Four-tier กรอก'!BD6,'📝 Four-tier กรอก'!BE39="Y",'📝 Four-tier กรอก'!BF39&lt;&gt;'📝 Four-tier กรอก'!BF6,'📝 Four-tier กรอก'!BG39="Y"),"🎲 Guess",IF(AND('📝 Four-tier กรอก'!BD39&lt;&gt;'📝 Four-tier กรอก'!BD6,'📝 Four-tier กรอก'!BE39="Y",'📝 Four-tier กรอก'!BF39&lt;&gt;'📝 Four-tier กรอก'!BF6,'📝 Four-tier กรอก'!BG39="Y"),"❌ Misc.",IF(AND('📝 Four-tier กรอก'!BD39&lt;&gt;'📝 Four-tier กรอก'!BD6,'📝 Four-tier กรอก'!BE39="N",'📝 Four-tier กรอก'!BF39&lt;&gt;'📝 Four-tier กรอก'!BF6,'📝 Four-tier กรอก'!BG39="N"),"❓ NoK","🤔 Partial")))))</f>
        <v/>
      </c>
      <c r="R37" s="67">
        <f>IF(OR('📝 Four-tier กรอก'!BH39="",'📝 Four-tier กรอก'!BJ39=""),"—",IF(AND('📝 Four-tier กรอก'!BH39='📝 Four-tier กรอก'!BH6,'📝 Four-tier กรอก'!BI39="Y",'📝 Four-tier กรอก'!BJ39='📝 Four-tier กรอก'!BJ6,'📝 Four-tier กรอก'!BK39="Y"),"✅ Sound",IF(AND('📝 Four-tier กรอก'!BH39='📝 Four-tier กรอก'!BH6,'📝 Four-tier กรอก'!BI39="Y",'📝 Four-tier กรอก'!BJ39&lt;&gt;'📝 Four-tier กรอก'!BJ6,'📝 Four-tier กรอก'!BK39="Y"),"🎲 Guess",IF(AND('📝 Four-tier กรอก'!BH39&lt;&gt;'📝 Four-tier กรอก'!BH6,'📝 Four-tier กรอก'!BI39="Y",'📝 Four-tier กรอก'!BJ39&lt;&gt;'📝 Four-tier กรอก'!BJ6,'📝 Four-tier กรอก'!BK39="Y"),"❌ Misc.",IF(AND('📝 Four-tier กรอก'!BH39&lt;&gt;'📝 Four-tier กรอก'!BH6,'📝 Four-tier กรอก'!BI39="N",'📝 Four-tier กรอก'!BJ39&lt;&gt;'📝 Four-tier กรอก'!BJ6,'📝 Four-tier กรอก'!BK39="N"),"❓ NoK","🤔 Partial")))))</f>
        <v/>
      </c>
      <c r="S37" s="67">
        <f>IF(OR('📝 Four-tier กรอก'!BL39="",'📝 Four-tier กรอก'!BN39=""),"—",IF(AND('📝 Four-tier กรอก'!BL39='📝 Four-tier กรอก'!BL6,'📝 Four-tier กรอก'!BM39="Y",'📝 Four-tier กรอก'!BN39='📝 Four-tier กรอก'!BN6,'📝 Four-tier กรอก'!BO39="Y"),"✅ Sound",IF(AND('📝 Four-tier กรอก'!BL39='📝 Four-tier กรอก'!BL6,'📝 Four-tier กรอก'!BM39="Y",'📝 Four-tier กรอก'!BN39&lt;&gt;'📝 Four-tier กรอก'!BN6,'📝 Four-tier กรอก'!BO39="Y"),"🎲 Guess",IF(AND('📝 Four-tier กรอก'!BL39&lt;&gt;'📝 Four-tier กรอก'!BL6,'📝 Four-tier กรอก'!BM39="Y",'📝 Four-tier กรอก'!BN39&lt;&gt;'📝 Four-tier กรอก'!BN6,'📝 Four-tier กรอก'!BO39="Y"),"❌ Misc.",IF(AND('📝 Four-tier กรอก'!BL39&lt;&gt;'📝 Four-tier กรอก'!BL6,'📝 Four-tier กรอก'!BM39="N",'📝 Four-tier กรอก'!BN39&lt;&gt;'📝 Four-tier กรอก'!BN6,'📝 Four-tier กรอก'!BO39="N"),"❓ NoK","🤔 Partial")))))</f>
        <v/>
      </c>
      <c r="T37" s="67">
        <f>IF(OR('📝 Four-tier กรอก'!BP39="",'📝 Four-tier กรอก'!BR39=""),"—",IF(AND('📝 Four-tier กรอก'!BP39='📝 Four-tier กรอก'!BP6,'📝 Four-tier กรอก'!BQ39="Y",'📝 Four-tier กรอก'!BR39='📝 Four-tier กรอก'!BR6,'📝 Four-tier กรอก'!BS39="Y"),"✅ Sound",IF(AND('📝 Four-tier กรอก'!BP39='📝 Four-tier กรอก'!BP6,'📝 Four-tier กรอก'!BQ39="Y",'📝 Four-tier กรอก'!BR39&lt;&gt;'📝 Four-tier กรอก'!BR6,'📝 Four-tier กรอก'!BS39="Y"),"🎲 Guess",IF(AND('📝 Four-tier กรอก'!BP39&lt;&gt;'📝 Four-tier กรอก'!BP6,'📝 Four-tier กรอก'!BQ39="Y",'📝 Four-tier กรอก'!BR39&lt;&gt;'📝 Four-tier กรอก'!BR6,'📝 Four-tier กรอก'!BS39="Y"),"❌ Misc.",IF(AND('📝 Four-tier กรอก'!BP39&lt;&gt;'📝 Four-tier กรอก'!BP6,'📝 Four-tier กรอก'!BQ39="N",'📝 Four-tier กรอก'!BR39&lt;&gt;'📝 Four-tier กรอก'!BR6,'📝 Four-tier กรอก'!BS39="N"),"❓ NoK","🤔 Partial")))))</f>
        <v/>
      </c>
      <c r="U37" s="67">
        <f>IF(OR('📝 Four-tier กรอก'!BT39="",'📝 Four-tier กรอก'!BV39=""),"—",IF(AND('📝 Four-tier กรอก'!BT39='📝 Four-tier กรอก'!BT6,'📝 Four-tier กรอก'!BU39="Y",'📝 Four-tier กรอก'!BV39='📝 Four-tier กรอก'!BV6,'📝 Four-tier กรอก'!BW39="Y"),"✅ Sound",IF(AND('📝 Four-tier กรอก'!BT39='📝 Four-tier กรอก'!BT6,'📝 Four-tier กรอก'!BU39="Y",'📝 Four-tier กรอก'!BV39&lt;&gt;'📝 Four-tier กรอก'!BV6,'📝 Four-tier กรอก'!BW39="Y"),"🎲 Guess",IF(AND('📝 Four-tier กรอก'!BT39&lt;&gt;'📝 Four-tier กรอก'!BT6,'📝 Four-tier กรอก'!BU39="Y",'📝 Four-tier กรอก'!BV39&lt;&gt;'📝 Four-tier กรอก'!BV6,'📝 Four-tier กรอก'!BW39="Y"),"❌ Misc.",IF(AND('📝 Four-tier กรอก'!BT39&lt;&gt;'📝 Four-tier กรอก'!BT6,'📝 Four-tier กรอก'!BU39="N",'📝 Four-tier กรอก'!BV39&lt;&gt;'📝 Four-tier กรอก'!BV6,'📝 Four-tier กรอก'!BW39="N"),"❓ NoK","🤔 Partial")))))</f>
        <v/>
      </c>
      <c r="V37" s="67">
        <f>IF(OR('📝 Four-tier กรอก'!BX39="",'📝 Four-tier กรอก'!BZ39=""),"—",IF(AND('📝 Four-tier กรอก'!BX39='📝 Four-tier กรอก'!BX6,'📝 Four-tier กรอก'!BY39="Y",'📝 Four-tier กรอก'!BZ39='📝 Four-tier กรอก'!BZ6,'📝 Four-tier กรอก'!CA39="Y"),"✅ Sound",IF(AND('📝 Four-tier กรอก'!BX39='📝 Four-tier กรอก'!BX6,'📝 Four-tier กรอก'!BY39="Y",'📝 Four-tier กรอก'!BZ39&lt;&gt;'📝 Four-tier กรอก'!BZ6,'📝 Four-tier กรอก'!CA39="Y"),"🎲 Guess",IF(AND('📝 Four-tier กรอก'!BX39&lt;&gt;'📝 Four-tier กรอก'!BX6,'📝 Four-tier กรอก'!BY39="Y",'📝 Four-tier กรอก'!BZ39&lt;&gt;'📝 Four-tier กรอก'!BZ6,'📝 Four-tier กรอก'!CA39="Y"),"❌ Misc.",IF(AND('📝 Four-tier กรอก'!BX39&lt;&gt;'📝 Four-tier กรอก'!BX6,'📝 Four-tier กรอก'!BY39="N",'📝 Four-tier กรอก'!BZ39&lt;&gt;'📝 Four-tier กรอก'!BZ6,'📝 Four-tier กรอก'!CA39="N"),"❓ NoK","🤔 Partial")))))</f>
        <v/>
      </c>
      <c r="W37" s="67">
        <f>IF(OR('📝 Four-tier กรอก'!CB39="",'📝 Four-tier กรอก'!CD39=""),"—",IF(AND('📝 Four-tier กรอก'!CB39='📝 Four-tier กรอก'!CB6,'📝 Four-tier กรอก'!CC39="Y",'📝 Four-tier กรอก'!CD39='📝 Four-tier กรอก'!CD6,'📝 Four-tier กรอก'!CE39="Y"),"✅ Sound",IF(AND('📝 Four-tier กรอก'!CB39='📝 Four-tier กรอก'!CB6,'📝 Four-tier กรอก'!CC39="Y",'📝 Four-tier กรอก'!CD39&lt;&gt;'📝 Four-tier กรอก'!CD6,'📝 Four-tier กรอก'!CE39="Y"),"🎲 Guess",IF(AND('📝 Four-tier กรอก'!CB39&lt;&gt;'📝 Four-tier กรอก'!CB6,'📝 Four-tier กรอก'!CC39="Y",'📝 Four-tier กรอก'!CD39&lt;&gt;'📝 Four-tier กรอก'!CD6,'📝 Four-tier กรอก'!CE39="Y"),"❌ Misc.",IF(AND('📝 Four-tier กรอก'!CB39&lt;&gt;'📝 Four-tier กรอก'!CB6,'📝 Four-tier กรอก'!CC39="N",'📝 Four-tier กรอก'!CD39&lt;&gt;'📝 Four-tier กรอก'!CD6,'📝 Four-tier กรอก'!CE39="N"),"❓ NoK","🤔 Partial")))))</f>
        <v/>
      </c>
      <c r="X37" s="37">
        <f>COUNTIF(D37:W37,"✅ Sound")</f>
        <v/>
      </c>
      <c r="Y37" s="37">
        <f>COUNTIF(D37:W37,"❌ Misc.")</f>
        <v/>
      </c>
      <c r="Z37" s="37">
        <f>COUNTIF(D37:W37,"🎲 Guess")</f>
        <v/>
      </c>
      <c r="AA37" s="37">
        <f>COUNTIF(D37:W37,"❓ NoK")</f>
        <v/>
      </c>
    </row>
    <row r="38" ht="18" customHeight="1">
      <c r="B38" s="46">
        <f>'📝 Four-tier กรอก'!B40</f>
        <v/>
      </c>
      <c r="C38" s="51">
        <f>'📝 Four-tier กรอก'!C40</f>
        <v/>
      </c>
      <c r="D38" s="68">
        <f>IF(OR('📝 Four-tier กรอก'!D40="",'📝 Four-tier กรอก'!F40=""),"—",IF(AND('📝 Four-tier กรอก'!D40='📝 Four-tier กรอก'!D6,'📝 Four-tier กรอก'!E40="Y",'📝 Four-tier กรอก'!F40='📝 Four-tier กรอก'!F6,'📝 Four-tier กรอก'!G40="Y"),"✅ Sound",IF(AND('📝 Four-tier กรอก'!D40='📝 Four-tier กรอก'!D6,'📝 Four-tier กรอก'!E40="Y",'📝 Four-tier กรอก'!F40&lt;&gt;'📝 Four-tier กรอก'!F6,'📝 Four-tier กรอก'!G40="Y"),"🎲 Guess",IF(AND('📝 Four-tier กรอก'!D40&lt;&gt;'📝 Four-tier กรอก'!D6,'📝 Four-tier กรอก'!E40="Y",'📝 Four-tier กรอก'!F40&lt;&gt;'📝 Four-tier กรอก'!F6,'📝 Four-tier กรอก'!G40="Y"),"❌ Misc.",IF(AND('📝 Four-tier กรอก'!D40&lt;&gt;'📝 Four-tier กรอก'!D6,'📝 Four-tier กรอก'!E40="N",'📝 Four-tier กรอก'!F40&lt;&gt;'📝 Four-tier กรอก'!F6,'📝 Four-tier กรอก'!G40="N"),"❓ NoK","🤔 Partial")))))</f>
        <v/>
      </c>
      <c r="E38" s="68">
        <f>IF(OR('📝 Four-tier กรอก'!H40="",'📝 Four-tier กรอก'!J40=""),"—",IF(AND('📝 Four-tier กรอก'!H40='📝 Four-tier กรอก'!H6,'📝 Four-tier กรอก'!I40="Y",'📝 Four-tier กรอก'!J40='📝 Four-tier กรอก'!J6,'📝 Four-tier กรอก'!K40="Y"),"✅ Sound",IF(AND('📝 Four-tier กรอก'!H40='📝 Four-tier กรอก'!H6,'📝 Four-tier กรอก'!I40="Y",'📝 Four-tier กรอก'!J40&lt;&gt;'📝 Four-tier กรอก'!J6,'📝 Four-tier กรอก'!K40="Y"),"🎲 Guess",IF(AND('📝 Four-tier กรอก'!H40&lt;&gt;'📝 Four-tier กรอก'!H6,'📝 Four-tier กรอก'!I40="Y",'📝 Four-tier กรอก'!J40&lt;&gt;'📝 Four-tier กรอก'!J6,'📝 Four-tier กรอก'!K40="Y"),"❌ Misc.",IF(AND('📝 Four-tier กรอก'!H40&lt;&gt;'📝 Four-tier กรอก'!H6,'📝 Four-tier กรอก'!I40="N",'📝 Four-tier กรอก'!J40&lt;&gt;'📝 Four-tier กรอก'!J6,'📝 Four-tier กรอก'!K40="N"),"❓ NoK","🤔 Partial")))))</f>
        <v/>
      </c>
      <c r="F38" s="68">
        <f>IF(OR('📝 Four-tier กรอก'!L40="",'📝 Four-tier กรอก'!N40=""),"—",IF(AND('📝 Four-tier กรอก'!L40='📝 Four-tier กรอก'!L6,'📝 Four-tier กรอก'!M40="Y",'📝 Four-tier กรอก'!N40='📝 Four-tier กรอก'!N6,'📝 Four-tier กรอก'!O40="Y"),"✅ Sound",IF(AND('📝 Four-tier กรอก'!L40='📝 Four-tier กรอก'!L6,'📝 Four-tier กรอก'!M40="Y",'📝 Four-tier กรอก'!N40&lt;&gt;'📝 Four-tier กรอก'!N6,'📝 Four-tier กรอก'!O40="Y"),"🎲 Guess",IF(AND('📝 Four-tier กรอก'!L40&lt;&gt;'📝 Four-tier กรอก'!L6,'📝 Four-tier กรอก'!M40="Y",'📝 Four-tier กรอก'!N40&lt;&gt;'📝 Four-tier กรอก'!N6,'📝 Four-tier กรอก'!O40="Y"),"❌ Misc.",IF(AND('📝 Four-tier กรอก'!L40&lt;&gt;'📝 Four-tier กรอก'!L6,'📝 Four-tier กรอก'!M40="N",'📝 Four-tier กรอก'!N40&lt;&gt;'📝 Four-tier กรอก'!N6,'📝 Four-tier กรอก'!O40="N"),"❓ NoK","🤔 Partial")))))</f>
        <v/>
      </c>
      <c r="G38" s="68">
        <f>IF(OR('📝 Four-tier กรอก'!P40="",'📝 Four-tier กรอก'!R40=""),"—",IF(AND('📝 Four-tier กรอก'!P40='📝 Four-tier กรอก'!P6,'📝 Four-tier กรอก'!Q40="Y",'📝 Four-tier กรอก'!R40='📝 Four-tier กรอก'!R6,'📝 Four-tier กรอก'!S40="Y"),"✅ Sound",IF(AND('📝 Four-tier กรอก'!P40='📝 Four-tier กรอก'!P6,'📝 Four-tier กรอก'!Q40="Y",'📝 Four-tier กรอก'!R40&lt;&gt;'📝 Four-tier กรอก'!R6,'📝 Four-tier กรอก'!S40="Y"),"🎲 Guess",IF(AND('📝 Four-tier กรอก'!P40&lt;&gt;'📝 Four-tier กรอก'!P6,'📝 Four-tier กรอก'!Q40="Y",'📝 Four-tier กรอก'!R40&lt;&gt;'📝 Four-tier กรอก'!R6,'📝 Four-tier กรอก'!S40="Y"),"❌ Misc.",IF(AND('📝 Four-tier กรอก'!P40&lt;&gt;'📝 Four-tier กรอก'!P6,'📝 Four-tier กรอก'!Q40="N",'📝 Four-tier กรอก'!R40&lt;&gt;'📝 Four-tier กรอก'!R6,'📝 Four-tier กรอก'!S40="N"),"❓ NoK","🤔 Partial")))))</f>
        <v/>
      </c>
      <c r="H38" s="68">
        <f>IF(OR('📝 Four-tier กรอก'!T40="",'📝 Four-tier กรอก'!V40=""),"—",IF(AND('📝 Four-tier กรอก'!T40='📝 Four-tier กรอก'!T6,'📝 Four-tier กรอก'!U40="Y",'📝 Four-tier กรอก'!V40='📝 Four-tier กรอก'!V6,'📝 Four-tier กรอก'!W40="Y"),"✅ Sound",IF(AND('📝 Four-tier กรอก'!T40='📝 Four-tier กรอก'!T6,'📝 Four-tier กรอก'!U40="Y",'📝 Four-tier กรอก'!V40&lt;&gt;'📝 Four-tier กรอก'!V6,'📝 Four-tier กรอก'!W40="Y"),"🎲 Guess",IF(AND('📝 Four-tier กรอก'!T40&lt;&gt;'📝 Four-tier กรอก'!T6,'📝 Four-tier กรอก'!U40="Y",'📝 Four-tier กรอก'!V40&lt;&gt;'📝 Four-tier กรอก'!V6,'📝 Four-tier กรอก'!W40="Y"),"❌ Misc.",IF(AND('📝 Four-tier กรอก'!T40&lt;&gt;'📝 Four-tier กรอก'!T6,'📝 Four-tier กรอก'!U40="N",'📝 Four-tier กรอก'!V40&lt;&gt;'📝 Four-tier กรอก'!V6,'📝 Four-tier กรอก'!W40="N"),"❓ NoK","🤔 Partial")))))</f>
        <v/>
      </c>
      <c r="I38" s="68">
        <f>IF(OR('📝 Four-tier กรอก'!X40="",'📝 Four-tier กรอก'!Z40=""),"—",IF(AND('📝 Four-tier กรอก'!X40='📝 Four-tier กรอก'!X6,'📝 Four-tier กรอก'!Y40="Y",'📝 Four-tier กรอก'!Z40='📝 Four-tier กรอก'!Z6,'📝 Four-tier กรอก'!AA40="Y"),"✅ Sound",IF(AND('📝 Four-tier กรอก'!X40='📝 Four-tier กรอก'!X6,'📝 Four-tier กรอก'!Y40="Y",'📝 Four-tier กรอก'!Z40&lt;&gt;'📝 Four-tier กรอก'!Z6,'📝 Four-tier กรอก'!AA40="Y"),"🎲 Guess",IF(AND('📝 Four-tier กรอก'!X40&lt;&gt;'📝 Four-tier กรอก'!X6,'📝 Four-tier กรอก'!Y40="Y",'📝 Four-tier กรอก'!Z40&lt;&gt;'📝 Four-tier กรอก'!Z6,'📝 Four-tier กรอก'!AA40="Y"),"❌ Misc.",IF(AND('📝 Four-tier กรอก'!X40&lt;&gt;'📝 Four-tier กรอก'!X6,'📝 Four-tier กรอก'!Y40="N",'📝 Four-tier กรอก'!Z40&lt;&gt;'📝 Four-tier กรอก'!Z6,'📝 Four-tier กรอก'!AA40="N"),"❓ NoK","🤔 Partial")))))</f>
        <v/>
      </c>
      <c r="J38" s="68">
        <f>IF(OR('📝 Four-tier กรอก'!AB40="",'📝 Four-tier กรอก'!AD40=""),"—",IF(AND('📝 Four-tier กรอก'!AB40='📝 Four-tier กรอก'!AB6,'📝 Four-tier กรอก'!AC40="Y",'📝 Four-tier กรอก'!AD40='📝 Four-tier กรอก'!AD6,'📝 Four-tier กรอก'!AE40="Y"),"✅ Sound",IF(AND('📝 Four-tier กรอก'!AB40='📝 Four-tier กรอก'!AB6,'📝 Four-tier กรอก'!AC40="Y",'📝 Four-tier กรอก'!AD40&lt;&gt;'📝 Four-tier กรอก'!AD6,'📝 Four-tier กรอก'!AE40="Y"),"🎲 Guess",IF(AND('📝 Four-tier กรอก'!AB40&lt;&gt;'📝 Four-tier กรอก'!AB6,'📝 Four-tier กรอก'!AC40="Y",'📝 Four-tier กรอก'!AD40&lt;&gt;'📝 Four-tier กรอก'!AD6,'📝 Four-tier กรอก'!AE40="Y"),"❌ Misc.",IF(AND('📝 Four-tier กรอก'!AB40&lt;&gt;'📝 Four-tier กรอก'!AB6,'📝 Four-tier กรอก'!AC40="N",'📝 Four-tier กรอก'!AD40&lt;&gt;'📝 Four-tier กรอก'!AD6,'📝 Four-tier กรอก'!AE40="N"),"❓ NoK","🤔 Partial")))))</f>
        <v/>
      </c>
      <c r="K38" s="68">
        <f>IF(OR('📝 Four-tier กรอก'!AF40="",'📝 Four-tier กรอก'!AH40=""),"—",IF(AND('📝 Four-tier กรอก'!AF40='📝 Four-tier กรอก'!AF6,'📝 Four-tier กรอก'!AG40="Y",'📝 Four-tier กรอก'!AH40='📝 Four-tier กรอก'!AH6,'📝 Four-tier กรอก'!AI40="Y"),"✅ Sound",IF(AND('📝 Four-tier กรอก'!AF40='📝 Four-tier กรอก'!AF6,'📝 Four-tier กรอก'!AG40="Y",'📝 Four-tier กรอก'!AH40&lt;&gt;'📝 Four-tier กรอก'!AH6,'📝 Four-tier กรอก'!AI40="Y"),"🎲 Guess",IF(AND('📝 Four-tier กรอก'!AF40&lt;&gt;'📝 Four-tier กรอก'!AF6,'📝 Four-tier กรอก'!AG40="Y",'📝 Four-tier กรอก'!AH40&lt;&gt;'📝 Four-tier กรอก'!AH6,'📝 Four-tier กรอก'!AI40="Y"),"❌ Misc.",IF(AND('📝 Four-tier กรอก'!AF40&lt;&gt;'📝 Four-tier กรอก'!AF6,'📝 Four-tier กรอก'!AG40="N",'📝 Four-tier กรอก'!AH40&lt;&gt;'📝 Four-tier กรอก'!AH6,'📝 Four-tier กรอก'!AI40="N"),"❓ NoK","🤔 Partial")))))</f>
        <v/>
      </c>
      <c r="L38" s="68">
        <f>IF(OR('📝 Four-tier กรอก'!AJ40="",'📝 Four-tier กรอก'!AL40=""),"—",IF(AND('📝 Four-tier กรอก'!AJ40='📝 Four-tier กรอก'!AJ6,'📝 Four-tier กรอก'!AK40="Y",'📝 Four-tier กรอก'!AL40='📝 Four-tier กรอก'!AL6,'📝 Four-tier กรอก'!AM40="Y"),"✅ Sound",IF(AND('📝 Four-tier กรอก'!AJ40='📝 Four-tier กรอก'!AJ6,'📝 Four-tier กรอก'!AK40="Y",'📝 Four-tier กรอก'!AL40&lt;&gt;'📝 Four-tier กรอก'!AL6,'📝 Four-tier กรอก'!AM40="Y"),"🎲 Guess",IF(AND('📝 Four-tier กรอก'!AJ40&lt;&gt;'📝 Four-tier กรอก'!AJ6,'📝 Four-tier กรอก'!AK40="Y",'📝 Four-tier กรอก'!AL40&lt;&gt;'📝 Four-tier กรอก'!AL6,'📝 Four-tier กรอก'!AM40="Y"),"❌ Misc.",IF(AND('📝 Four-tier กรอก'!AJ40&lt;&gt;'📝 Four-tier กรอก'!AJ6,'📝 Four-tier กรอก'!AK40="N",'📝 Four-tier กรอก'!AL40&lt;&gt;'📝 Four-tier กรอก'!AL6,'📝 Four-tier กรอก'!AM40="N"),"❓ NoK","🤔 Partial")))))</f>
        <v/>
      </c>
      <c r="M38" s="68">
        <f>IF(OR('📝 Four-tier กรอก'!AN40="",'📝 Four-tier กรอก'!AP40=""),"—",IF(AND('📝 Four-tier กรอก'!AN40='📝 Four-tier กรอก'!AN6,'📝 Four-tier กรอก'!AO40="Y",'📝 Four-tier กรอก'!AP40='📝 Four-tier กรอก'!AP6,'📝 Four-tier กรอก'!AQ40="Y"),"✅ Sound",IF(AND('📝 Four-tier กรอก'!AN40='📝 Four-tier กรอก'!AN6,'📝 Four-tier กรอก'!AO40="Y",'📝 Four-tier กรอก'!AP40&lt;&gt;'📝 Four-tier กรอก'!AP6,'📝 Four-tier กรอก'!AQ40="Y"),"🎲 Guess",IF(AND('📝 Four-tier กรอก'!AN40&lt;&gt;'📝 Four-tier กรอก'!AN6,'📝 Four-tier กรอก'!AO40="Y",'📝 Four-tier กรอก'!AP40&lt;&gt;'📝 Four-tier กรอก'!AP6,'📝 Four-tier กรอก'!AQ40="Y"),"❌ Misc.",IF(AND('📝 Four-tier กรอก'!AN40&lt;&gt;'📝 Four-tier กรอก'!AN6,'📝 Four-tier กรอก'!AO40="N",'📝 Four-tier กรอก'!AP40&lt;&gt;'📝 Four-tier กรอก'!AP6,'📝 Four-tier กรอก'!AQ40="N"),"❓ NoK","🤔 Partial")))))</f>
        <v/>
      </c>
      <c r="N38" s="68">
        <f>IF(OR('📝 Four-tier กรอก'!AR40="",'📝 Four-tier กรอก'!AT40=""),"—",IF(AND('📝 Four-tier กรอก'!AR40='📝 Four-tier กรอก'!AR6,'📝 Four-tier กรอก'!AS40="Y",'📝 Four-tier กรอก'!AT40='📝 Four-tier กรอก'!AT6,'📝 Four-tier กรอก'!AU40="Y"),"✅ Sound",IF(AND('📝 Four-tier กรอก'!AR40='📝 Four-tier กรอก'!AR6,'📝 Four-tier กรอก'!AS40="Y",'📝 Four-tier กรอก'!AT40&lt;&gt;'📝 Four-tier กรอก'!AT6,'📝 Four-tier กรอก'!AU40="Y"),"🎲 Guess",IF(AND('📝 Four-tier กรอก'!AR40&lt;&gt;'📝 Four-tier กรอก'!AR6,'📝 Four-tier กรอก'!AS40="Y",'📝 Four-tier กรอก'!AT40&lt;&gt;'📝 Four-tier กรอก'!AT6,'📝 Four-tier กรอก'!AU40="Y"),"❌ Misc.",IF(AND('📝 Four-tier กรอก'!AR40&lt;&gt;'📝 Four-tier กรอก'!AR6,'📝 Four-tier กรอก'!AS40="N",'📝 Four-tier กรอก'!AT40&lt;&gt;'📝 Four-tier กรอก'!AT6,'📝 Four-tier กรอก'!AU40="N"),"❓ NoK","🤔 Partial")))))</f>
        <v/>
      </c>
      <c r="O38" s="68">
        <f>IF(OR('📝 Four-tier กรอก'!AV40="",'📝 Four-tier กรอก'!AX40=""),"—",IF(AND('📝 Four-tier กรอก'!AV40='📝 Four-tier กรอก'!AV6,'📝 Four-tier กรอก'!AW40="Y",'📝 Four-tier กรอก'!AX40='📝 Four-tier กรอก'!AX6,'📝 Four-tier กรอก'!AY40="Y"),"✅ Sound",IF(AND('📝 Four-tier กรอก'!AV40='📝 Four-tier กรอก'!AV6,'📝 Four-tier กรอก'!AW40="Y",'📝 Four-tier กรอก'!AX40&lt;&gt;'📝 Four-tier กรอก'!AX6,'📝 Four-tier กรอก'!AY40="Y"),"🎲 Guess",IF(AND('📝 Four-tier กรอก'!AV40&lt;&gt;'📝 Four-tier กรอก'!AV6,'📝 Four-tier กรอก'!AW40="Y",'📝 Four-tier กรอก'!AX40&lt;&gt;'📝 Four-tier กรอก'!AX6,'📝 Four-tier กรอก'!AY40="Y"),"❌ Misc.",IF(AND('📝 Four-tier กรอก'!AV40&lt;&gt;'📝 Four-tier กรอก'!AV6,'📝 Four-tier กรอก'!AW40="N",'📝 Four-tier กรอก'!AX40&lt;&gt;'📝 Four-tier กรอก'!AX6,'📝 Four-tier กรอก'!AY40="N"),"❓ NoK","🤔 Partial")))))</f>
        <v/>
      </c>
      <c r="P38" s="68">
        <f>IF(OR('📝 Four-tier กรอก'!AZ40="",'📝 Four-tier กรอก'!BB40=""),"—",IF(AND('📝 Four-tier กรอก'!AZ40='📝 Four-tier กรอก'!AZ6,'📝 Four-tier กรอก'!BA40="Y",'📝 Four-tier กรอก'!BB40='📝 Four-tier กรอก'!BB6,'📝 Four-tier กรอก'!BC40="Y"),"✅ Sound",IF(AND('📝 Four-tier กรอก'!AZ40='📝 Four-tier กรอก'!AZ6,'📝 Four-tier กรอก'!BA40="Y",'📝 Four-tier กรอก'!BB40&lt;&gt;'📝 Four-tier กรอก'!BB6,'📝 Four-tier กรอก'!BC40="Y"),"🎲 Guess",IF(AND('📝 Four-tier กรอก'!AZ40&lt;&gt;'📝 Four-tier กรอก'!AZ6,'📝 Four-tier กรอก'!BA40="Y",'📝 Four-tier กรอก'!BB40&lt;&gt;'📝 Four-tier กรอก'!BB6,'📝 Four-tier กรอก'!BC40="Y"),"❌ Misc.",IF(AND('📝 Four-tier กรอก'!AZ40&lt;&gt;'📝 Four-tier กรอก'!AZ6,'📝 Four-tier กรอก'!BA40="N",'📝 Four-tier กรอก'!BB40&lt;&gt;'📝 Four-tier กรอก'!BB6,'📝 Four-tier กรอก'!BC40="N"),"❓ NoK","🤔 Partial")))))</f>
        <v/>
      </c>
      <c r="Q38" s="68">
        <f>IF(OR('📝 Four-tier กรอก'!BD40="",'📝 Four-tier กรอก'!BF40=""),"—",IF(AND('📝 Four-tier กรอก'!BD40='📝 Four-tier กรอก'!BD6,'📝 Four-tier กรอก'!BE40="Y",'📝 Four-tier กรอก'!BF40='📝 Four-tier กรอก'!BF6,'📝 Four-tier กรอก'!BG40="Y"),"✅ Sound",IF(AND('📝 Four-tier กรอก'!BD40='📝 Four-tier กรอก'!BD6,'📝 Four-tier กรอก'!BE40="Y",'📝 Four-tier กรอก'!BF40&lt;&gt;'📝 Four-tier กรอก'!BF6,'📝 Four-tier กรอก'!BG40="Y"),"🎲 Guess",IF(AND('📝 Four-tier กรอก'!BD40&lt;&gt;'📝 Four-tier กรอก'!BD6,'📝 Four-tier กรอก'!BE40="Y",'📝 Four-tier กรอก'!BF40&lt;&gt;'📝 Four-tier กรอก'!BF6,'📝 Four-tier กรอก'!BG40="Y"),"❌ Misc.",IF(AND('📝 Four-tier กรอก'!BD40&lt;&gt;'📝 Four-tier กรอก'!BD6,'📝 Four-tier กรอก'!BE40="N",'📝 Four-tier กรอก'!BF40&lt;&gt;'📝 Four-tier กรอก'!BF6,'📝 Four-tier กรอก'!BG40="N"),"❓ NoK","🤔 Partial")))))</f>
        <v/>
      </c>
      <c r="R38" s="68">
        <f>IF(OR('📝 Four-tier กรอก'!BH40="",'📝 Four-tier กรอก'!BJ40=""),"—",IF(AND('📝 Four-tier กรอก'!BH40='📝 Four-tier กรอก'!BH6,'📝 Four-tier กรอก'!BI40="Y",'📝 Four-tier กรอก'!BJ40='📝 Four-tier กรอก'!BJ6,'📝 Four-tier กรอก'!BK40="Y"),"✅ Sound",IF(AND('📝 Four-tier กรอก'!BH40='📝 Four-tier กรอก'!BH6,'📝 Four-tier กรอก'!BI40="Y",'📝 Four-tier กรอก'!BJ40&lt;&gt;'📝 Four-tier กรอก'!BJ6,'📝 Four-tier กรอก'!BK40="Y"),"🎲 Guess",IF(AND('📝 Four-tier กรอก'!BH40&lt;&gt;'📝 Four-tier กรอก'!BH6,'📝 Four-tier กรอก'!BI40="Y",'📝 Four-tier กรอก'!BJ40&lt;&gt;'📝 Four-tier กรอก'!BJ6,'📝 Four-tier กรอก'!BK40="Y"),"❌ Misc.",IF(AND('📝 Four-tier กรอก'!BH40&lt;&gt;'📝 Four-tier กรอก'!BH6,'📝 Four-tier กรอก'!BI40="N",'📝 Four-tier กรอก'!BJ40&lt;&gt;'📝 Four-tier กรอก'!BJ6,'📝 Four-tier กรอก'!BK40="N"),"❓ NoK","🤔 Partial")))))</f>
        <v/>
      </c>
      <c r="S38" s="68">
        <f>IF(OR('📝 Four-tier กรอก'!BL40="",'📝 Four-tier กรอก'!BN40=""),"—",IF(AND('📝 Four-tier กรอก'!BL40='📝 Four-tier กรอก'!BL6,'📝 Four-tier กรอก'!BM40="Y",'📝 Four-tier กรอก'!BN40='📝 Four-tier กรอก'!BN6,'📝 Four-tier กรอก'!BO40="Y"),"✅ Sound",IF(AND('📝 Four-tier กรอก'!BL40='📝 Four-tier กรอก'!BL6,'📝 Four-tier กรอก'!BM40="Y",'📝 Four-tier กรอก'!BN40&lt;&gt;'📝 Four-tier กรอก'!BN6,'📝 Four-tier กรอก'!BO40="Y"),"🎲 Guess",IF(AND('📝 Four-tier กรอก'!BL40&lt;&gt;'📝 Four-tier กรอก'!BL6,'📝 Four-tier กรอก'!BM40="Y",'📝 Four-tier กรอก'!BN40&lt;&gt;'📝 Four-tier กรอก'!BN6,'📝 Four-tier กรอก'!BO40="Y"),"❌ Misc.",IF(AND('📝 Four-tier กรอก'!BL40&lt;&gt;'📝 Four-tier กรอก'!BL6,'📝 Four-tier กรอก'!BM40="N",'📝 Four-tier กรอก'!BN40&lt;&gt;'📝 Four-tier กรอก'!BN6,'📝 Four-tier กรอก'!BO40="N"),"❓ NoK","🤔 Partial")))))</f>
        <v/>
      </c>
      <c r="T38" s="68">
        <f>IF(OR('📝 Four-tier กรอก'!BP40="",'📝 Four-tier กรอก'!BR40=""),"—",IF(AND('📝 Four-tier กรอก'!BP40='📝 Four-tier กรอก'!BP6,'📝 Four-tier กรอก'!BQ40="Y",'📝 Four-tier กรอก'!BR40='📝 Four-tier กรอก'!BR6,'📝 Four-tier กรอก'!BS40="Y"),"✅ Sound",IF(AND('📝 Four-tier กรอก'!BP40='📝 Four-tier กรอก'!BP6,'📝 Four-tier กรอก'!BQ40="Y",'📝 Four-tier กรอก'!BR40&lt;&gt;'📝 Four-tier กรอก'!BR6,'📝 Four-tier กรอก'!BS40="Y"),"🎲 Guess",IF(AND('📝 Four-tier กรอก'!BP40&lt;&gt;'📝 Four-tier กรอก'!BP6,'📝 Four-tier กรอก'!BQ40="Y",'📝 Four-tier กรอก'!BR40&lt;&gt;'📝 Four-tier กรอก'!BR6,'📝 Four-tier กรอก'!BS40="Y"),"❌ Misc.",IF(AND('📝 Four-tier กรอก'!BP40&lt;&gt;'📝 Four-tier กรอก'!BP6,'📝 Four-tier กรอก'!BQ40="N",'📝 Four-tier กรอก'!BR40&lt;&gt;'📝 Four-tier กรอก'!BR6,'📝 Four-tier กรอก'!BS40="N"),"❓ NoK","🤔 Partial")))))</f>
        <v/>
      </c>
      <c r="U38" s="68">
        <f>IF(OR('📝 Four-tier กรอก'!BT40="",'📝 Four-tier กรอก'!BV40=""),"—",IF(AND('📝 Four-tier กรอก'!BT40='📝 Four-tier กรอก'!BT6,'📝 Four-tier กรอก'!BU40="Y",'📝 Four-tier กรอก'!BV40='📝 Four-tier กรอก'!BV6,'📝 Four-tier กรอก'!BW40="Y"),"✅ Sound",IF(AND('📝 Four-tier กรอก'!BT40='📝 Four-tier กรอก'!BT6,'📝 Four-tier กรอก'!BU40="Y",'📝 Four-tier กรอก'!BV40&lt;&gt;'📝 Four-tier กรอก'!BV6,'📝 Four-tier กรอก'!BW40="Y"),"🎲 Guess",IF(AND('📝 Four-tier กรอก'!BT40&lt;&gt;'📝 Four-tier กรอก'!BT6,'📝 Four-tier กรอก'!BU40="Y",'📝 Four-tier กรอก'!BV40&lt;&gt;'📝 Four-tier กรอก'!BV6,'📝 Four-tier กรอก'!BW40="Y"),"❌ Misc.",IF(AND('📝 Four-tier กรอก'!BT40&lt;&gt;'📝 Four-tier กรอก'!BT6,'📝 Four-tier กรอก'!BU40="N",'📝 Four-tier กรอก'!BV40&lt;&gt;'📝 Four-tier กรอก'!BV6,'📝 Four-tier กรอก'!BW40="N"),"❓ NoK","🤔 Partial")))))</f>
        <v/>
      </c>
      <c r="V38" s="68">
        <f>IF(OR('📝 Four-tier กรอก'!BX40="",'📝 Four-tier กรอก'!BZ40=""),"—",IF(AND('📝 Four-tier กรอก'!BX40='📝 Four-tier กรอก'!BX6,'📝 Four-tier กรอก'!BY40="Y",'📝 Four-tier กรอก'!BZ40='📝 Four-tier กรอก'!BZ6,'📝 Four-tier กรอก'!CA40="Y"),"✅ Sound",IF(AND('📝 Four-tier กรอก'!BX40='📝 Four-tier กรอก'!BX6,'📝 Four-tier กรอก'!BY40="Y",'📝 Four-tier กรอก'!BZ40&lt;&gt;'📝 Four-tier กรอก'!BZ6,'📝 Four-tier กรอก'!CA40="Y"),"🎲 Guess",IF(AND('📝 Four-tier กรอก'!BX40&lt;&gt;'📝 Four-tier กรอก'!BX6,'📝 Four-tier กรอก'!BY40="Y",'📝 Four-tier กรอก'!BZ40&lt;&gt;'📝 Four-tier กรอก'!BZ6,'📝 Four-tier กรอก'!CA40="Y"),"❌ Misc.",IF(AND('📝 Four-tier กรอก'!BX40&lt;&gt;'📝 Four-tier กรอก'!BX6,'📝 Four-tier กรอก'!BY40="N",'📝 Four-tier กรอก'!BZ40&lt;&gt;'📝 Four-tier กรอก'!BZ6,'📝 Four-tier กรอก'!CA40="N"),"❓ NoK","🤔 Partial")))))</f>
        <v/>
      </c>
      <c r="W38" s="68">
        <f>IF(OR('📝 Four-tier กรอก'!CB40="",'📝 Four-tier กรอก'!CD40=""),"—",IF(AND('📝 Four-tier กรอก'!CB40='📝 Four-tier กรอก'!CB6,'📝 Four-tier กรอก'!CC40="Y",'📝 Four-tier กรอก'!CD40='📝 Four-tier กรอก'!CD6,'📝 Four-tier กรอก'!CE40="Y"),"✅ Sound",IF(AND('📝 Four-tier กรอก'!CB40='📝 Four-tier กรอก'!CB6,'📝 Four-tier กรอก'!CC40="Y",'📝 Four-tier กรอก'!CD40&lt;&gt;'📝 Four-tier กรอก'!CD6,'📝 Four-tier กรอก'!CE40="Y"),"🎲 Guess",IF(AND('📝 Four-tier กรอก'!CB40&lt;&gt;'📝 Four-tier กรอก'!CB6,'📝 Four-tier กรอก'!CC40="Y",'📝 Four-tier กรอก'!CD40&lt;&gt;'📝 Four-tier กรอก'!CD6,'📝 Four-tier กรอก'!CE40="Y"),"❌ Misc.",IF(AND('📝 Four-tier กรอก'!CB40&lt;&gt;'📝 Four-tier กรอก'!CB6,'📝 Four-tier กรอก'!CC40="N",'📝 Four-tier กรอก'!CD40&lt;&gt;'📝 Four-tier กรอก'!CD6,'📝 Four-tier กรอก'!CE40="N"),"❓ NoK","🤔 Partial")))))</f>
        <v/>
      </c>
      <c r="X38" s="37">
        <f>COUNTIF(D38:W38,"✅ Sound")</f>
        <v/>
      </c>
      <c r="Y38" s="37">
        <f>COUNTIF(D38:W38,"❌ Misc.")</f>
        <v/>
      </c>
      <c r="Z38" s="37">
        <f>COUNTIF(D38:W38,"🎲 Guess")</f>
        <v/>
      </c>
      <c r="AA38" s="37">
        <f>COUNTIF(D38:W38,"❓ NoK")</f>
        <v/>
      </c>
    </row>
    <row r="39" ht="18" customHeight="1">
      <c r="B39" s="46">
        <f>'📝 Four-tier กรอก'!B41</f>
        <v/>
      </c>
      <c r="C39" s="47">
        <f>'📝 Four-tier กรอก'!C41</f>
        <v/>
      </c>
      <c r="D39" s="67">
        <f>IF(OR('📝 Four-tier กรอก'!D41="",'📝 Four-tier กรอก'!F41=""),"—",IF(AND('📝 Four-tier กรอก'!D41='📝 Four-tier กรอก'!D6,'📝 Four-tier กรอก'!E41="Y",'📝 Four-tier กรอก'!F41='📝 Four-tier กรอก'!F6,'📝 Four-tier กรอก'!G41="Y"),"✅ Sound",IF(AND('📝 Four-tier กรอก'!D41='📝 Four-tier กรอก'!D6,'📝 Four-tier กรอก'!E41="Y",'📝 Four-tier กรอก'!F41&lt;&gt;'📝 Four-tier กรอก'!F6,'📝 Four-tier กรอก'!G41="Y"),"🎲 Guess",IF(AND('📝 Four-tier กรอก'!D41&lt;&gt;'📝 Four-tier กรอก'!D6,'📝 Four-tier กรอก'!E41="Y",'📝 Four-tier กรอก'!F41&lt;&gt;'📝 Four-tier กรอก'!F6,'📝 Four-tier กรอก'!G41="Y"),"❌ Misc.",IF(AND('📝 Four-tier กรอก'!D41&lt;&gt;'📝 Four-tier กรอก'!D6,'📝 Four-tier กรอก'!E41="N",'📝 Four-tier กรอก'!F41&lt;&gt;'📝 Four-tier กรอก'!F6,'📝 Four-tier กรอก'!G41="N"),"❓ NoK","🤔 Partial")))))</f>
        <v/>
      </c>
      <c r="E39" s="67">
        <f>IF(OR('📝 Four-tier กรอก'!H41="",'📝 Four-tier กรอก'!J41=""),"—",IF(AND('📝 Four-tier กรอก'!H41='📝 Four-tier กรอก'!H6,'📝 Four-tier กรอก'!I41="Y",'📝 Four-tier กรอก'!J41='📝 Four-tier กรอก'!J6,'📝 Four-tier กรอก'!K41="Y"),"✅ Sound",IF(AND('📝 Four-tier กรอก'!H41='📝 Four-tier กรอก'!H6,'📝 Four-tier กรอก'!I41="Y",'📝 Four-tier กรอก'!J41&lt;&gt;'📝 Four-tier กรอก'!J6,'📝 Four-tier กรอก'!K41="Y"),"🎲 Guess",IF(AND('📝 Four-tier กรอก'!H41&lt;&gt;'📝 Four-tier กรอก'!H6,'📝 Four-tier กรอก'!I41="Y",'📝 Four-tier กรอก'!J41&lt;&gt;'📝 Four-tier กรอก'!J6,'📝 Four-tier กรอก'!K41="Y"),"❌ Misc.",IF(AND('📝 Four-tier กรอก'!H41&lt;&gt;'📝 Four-tier กรอก'!H6,'📝 Four-tier กรอก'!I41="N",'📝 Four-tier กรอก'!J41&lt;&gt;'📝 Four-tier กรอก'!J6,'📝 Four-tier กรอก'!K41="N"),"❓ NoK","🤔 Partial")))))</f>
        <v/>
      </c>
      <c r="F39" s="67">
        <f>IF(OR('📝 Four-tier กรอก'!L41="",'📝 Four-tier กรอก'!N41=""),"—",IF(AND('📝 Four-tier กรอก'!L41='📝 Four-tier กรอก'!L6,'📝 Four-tier กรอก'!M41="Y",'📝 Four-tier กรอก'!N41='📝 Four-tier กรอก'!N6,'📝 Four-tier กรอก'!O41="Y"),"✅ Sound",IF(AND('📝 Four-tier กรอก'!L41='📝 Four-tier กรอก'!L6,'📝 Four-tier กรอก'!M41="Y",'📝 Four-tier กรอก'!N41&lt;&gt;'📝 Four-tier กรอก'!N6,'📝 Four-tier กรอก'!O41="Y"),"🎲 Guess",IF(AND('📝 Four-tier กรอก'!L41&lt;&gt;'📝 Four-tier กรอก'!L6,'📝 Four-tier กรอก'!M41="Y",'📝 Four-tier กรอก'!N41&lt;&gt;'📝 Four-tier กรอก'!N6,'📝 Four-tier กรอก'!O41="Y"),"❌ Misc.",IF(AND('📝 Four-tier กรอก'!L41&lt;&gt;'📝 Four-tier กรอก'!L6,'📝 Four-tier กรอก'!M41="N",'📝 Four-tier กรอก'!N41&lt;&gt;'📝 Four-tier กรอก'!N6,'📝 Four-tier กรอก'!O41="N"),"❓ NoK","🤔 Partial")))))</f>
        <v/>
      </c>
      <c r="G39" s="67">
        <f>IF(OR('📝 Four-tier กรอก'!P41="",'📝 Four-tier กรอก'!R41=""),"—",IF(AND('📝 Four-tier กรอก'!P41='📝 Four-tier กรอก'!P6,'📝 Four-tier กรอก'!Q41="Y",'📝 Four-tier กรอก'!R41='📝 Four-tier กรอก'!R6,'📝 Four-tier กรอก'!S41="Y"),"✅ Sound",IF(AND('📝 Four-tier กรอก'!P41='📝 Four-tier กรอก'!P6,'📝 Four-tier กรอก'!Q41="Y",'📝 Four-tier กรอก'!R41&lt;&gt;'📝 Four-tier กรอก'!R6,'📝 Four-tier กรอก'!S41="Y"),"🎲 Guess",IF(AND('📝 Four-tier กรอก'!P41&lt;&gt;'📝 Four-tier กรอก'!P6,'📝 Four-tier กรอก'!Q41="Y",'📝 Four-tier กรอก'!R41&lt;&gt;'📝 Four-tier กรอก'!R6,'📝 Four-tier กรอก'!S41="Y"),"❌ Misc.",IF(AND('📝 Four-tier กรอก'!P41&lt;&gt;'📝 Four-tier กรอก'!P6,'📝 Four-tier กรอก'!Q41="N",'📝 Four-tier กรอก'!R41&lt;&gt;'📝 Four-tier กรอก'!R6,'📝 Four-tier กรอก'!S41="N"),"❓ NoK","🤔 Partial")))))</f>
        <v/>
      </c>
      <c r="H39" s="67">
        <f>IF(OR('📝 Four-tier กรอก'!T41="",'📝 Four-tier กรอก'!V41=""),"—",IF(AND('📝 Four-tier กรอก'!T41='📝 Four-tier กรอก'!T6,'📝 Four-tier กรอก'!U41="Y",'📝 Four-tier กรอก'!V41='📝 Four-tier กรอก'!V6,'📝 Four-tier กรอก'!W41="Y"),"✅ Sound",IF(AND('📝 Four-tier กรอก'!T41='📝 Four-tier กรอก'!T6,'📝 Four-tier กรอก'!U41="Y",'📝 Four-tier กรอก'!V41&lt;&gt;'📝 Four-tier กรอก'!V6,'📝 Four-tier กรอก'!W41="Y"),"🎲 Guess",IF(AND('📝 Four-tier กรอก'!T41&lt;&gt;'📝 Four-tier กรอก'!T6,'📝 Four-tier กรอก'!U41="Y",'📝 Four-tier กรอก'!V41&lt;&gt;'📝 Four-tier กรอก'!V6,'📝 Four-tier กรอก'!W41="Y"),"❌ Misc.",IF(AND('📝 Four-tier กรอก'!T41&lt;&gt;'📝 Four-tier กรอก'!T6,'📝 Four-tier กรอก'!U41="N",'📝 Four-tier กรอก'!V41&lt;&gt;'📝 Four-tier กรอก'!V6,'📝 Four-tier กรอก'!W41="N"),"❓ NoK","🤔 Partial")))))</f>
        <v/>
      </c>
      <c r="I39" s="67">
        <f>IF(OR('📝 Four-tier กรอก'!X41="",'📝 Four-tier กรอก'!Z41=""),"—",IF(AND('📝 Four-tier กรอก'!X41='📝 Four-tier กรอก'!X6,'📝 Four-tier กรอก'!Y41="Y",'📝 Four-tier กรอก'!Z41='📝 Four-tier กรอก'!Z6,'📝 Four-tier กรอก'!AA41="Y"),"✅ Sound",IF(AND('📝 Four-tier กรอก'!X41='📝 Four-tier กรอก'!X6,'📝 Four-tier กรอก'!Y41="Y",'📝 Four-tier กรอก'!Z41&lt;&gt;'📝 Four-tier กรอก'!Z6,'📝 Four-tier กรอก'!AA41="Y"),"🎲 Guess",IF(AND('📝 Four-tier กรอก'!X41&lt;&gt;'📝 Four-tier กรอก'!X6,'📝 Four-tier กรอก'!Y41="Y",'📝 Four-tier กรอก'!Z41&lt;&gt;'📝 Four-tier กรอก'!Z6,'📝 Four-tier กรอก'!AA41="Y"),"❌ Misc.",IF(AND('📝 Four-tier กรอก'!X41&lt;&gt;'📝 Four-tier กรอก'!X6,'📝 Four-tier กรอก'!Y41="N",'📝 Four-tier กรอก'!Z41&lt;&gt;'📝 Four-tier กรอก'!Z6,'📝 Four-tier กรอก'!AA41="N"),"❓ NoK","🤔 Partial")))))</f>
        <v/>
      </c>
      <c r="J39" s="67">
        <f>IF(OR('📝 Four-tier กรอก'!AB41="",'📝 Four-tier กรอก'!AD41=""),"—",IF(AND('📝 Four-tier กรอก'!AB41='📝 Four-tier กรอก'!AB6,'📝 Four-tier กรอก'!AC41="Y",'📝 Four-tier กรอก'!AD41='📝 Four-tier กรอก'!AD6,'📝 Four-tier กรอก'!AE41="Y"),"✅ Sound",IF(AND('📝 Four-tier กรอก'!AB41='📝 Four-tier กรอก'!AB6,'📝 Four-tier กรอก'!AC41="Y",'📝 Four-tier กรอก'!AD41&lt;&gt;'📝 Four-tier กรอก'!AD6,'📝 Four-tier กรอก'!AE41="Y"),"🎲 Guess",IF(AND('📝 Four-tier กรอก'!AB41&lt;&gt;'📝 Four-tier กรอก'!AB6,'📝 Four-tier กรอก'!AC41="Y",'📝 Four-tier กรอก'!AD41&lt;&gt;'📝 Four-tier กรอก'!AD6,'📝 Four-tier กรอก'!AE41="Y"),"❌ Misc.",IF(AND('📝 Four-tier กรอก'!AB41&lt;&gt;'📝 Four-tier กรอก'!AB6,'📝 Four-tier กรอก'!AC41="N",'📝 Four-tier กรอก'!AD41&lt;&gt;'📝 Four-tier กรอก'!AD6,'📝 Four-tier กรอก'!AE41="N"),"❓ NoK","🤔 Partial")))))</f>
        <v/>
      </c>
      <c r="K39" s="67">
        <f>IF(OR('📝 Four-tier กรอก'!AF41="",'📝 Four-tier กรอก'!AH41=""),"—",IF(AND('📝 Four-tier กรอก'!AF41='📝 Four-tier กรอก'!AF6,'📝 Four-tier กรอก'!AG41="Y",'📝 Four-tier กรอก'!AH41='📝 Four-tier กรอก'!AH6,'📝 Four-tier กรอก'!AI41="Y"),"✅ Sound",IF(AND('📝 Four-tier กรอก'!AF41='📝 Four-tier กรอก'!AF6,'📝 Four-tier กรอก'!AG41="Y",'📝 Four-tier กรอก'!AH41&lt;&gt;'📝 Four-tier กรอก'!AH6,'📝 Four-tier กรอก'!AI41="Y"),"🎲 Guess",IF(AND('📝 Four-tier กรอก'!AF41&lt;&gt;'📝 Four-tier กรอก'!AF6,'📝 Four-tier กรอก'!AG41="Y",'📝 Four-tier กรอก'!AH41&lt;&gt;'📝 Four-tier กรอก'!AH6,'📝 Four-tier กรอก'!AI41="Y"),"❌ Misc.",IF(AND('📝 Four-tier กรอก'!AF41&lt;&gt;'📝 Four-tier กรอก'!AF6,'📝 Four-tier กรอก'!AG41="N",'📝 Four-tier กรอก'!AH41&lt;&gt;'📝 Four-tier กรอก'!AH6,'📝 Four-tier กรอก'!AI41="N"),"❓ NoK","🤔 Partial")))))</f>
        <v/>
      </c>
      <c r="L39" s="67">
        <f>IF(OR('📝 Four-tier กรอก'!AJ41="",'📝 Four-tier กรอก'!AL41=""),"—",IF(AND('📝 Four-tier กรอก'!AJ41='📝 Four-tier กรอก'!AJ6,'📝 Four-tier กรอก'!AK41="Y",'📝 Four-tier กรอก'!AL41='📝 Four-tier กรอก'!AL6,'📝 Four-tier กรอก'!AM41="Y"),"✅ Sound",IF(AND('📝 Four-tier กรอก'!AJ41='📝 Four-tier กรอก'!AJ6,'📝 Four-tier กรอก'!AK41="Y",'📝 Four-tier กรอก'!AL41&lt;&gt;'📝 Four-tier กรอก'!AL6,'📝 Four-tier กรอก'!AM41="Y"),"🎲 Guess",IF(AND('📝 Four-tier กรอก'!AJ41&lt;&gt;'📝 Four-tier กรอก'!AJ6,'📝 Four-tier กรอก'!AK41="Y",'📝 Four-tier กรอก'!AL41&lt;&gt;'📝 Four-tier กรอก'!AL6,'📝 Four-tier กรอก'!AM41="Y"),"❌ Misc.",IF(AND('📝 Four-tier กรอก'!AJ41&lt;&gt;'📝 Four-tier กรอก'!AJ6,'📝 Four-tier กรอก'!AK41="N",'📝 Four-tier กรอก'!AL41&lt;&gt;'📝 Four-tier กรอก'!AL6,'📝 Four-tier กรอก'!AM41="N"),"❓ NoK","🤔 Partial")))))</f>
        <v/>
      </c>
      <c r="M39" s="67">
        <f>IF(OR('📝 Four-tier กรอก'!AN41="",'📝 Four-tier กรอก'!AP41=""),"—",IF(AND('📝 Four-tier กรอก'!AN41='📝 Four-tier กรอก'!AN6,'📝 Four-tier กรอก'!AO41="Y",'📝 Four-tier กรอก'!AP41='📝 Four-tier กรอก'!AP6,'📝 Four-tier กรอก'!AQ41="Y"),"✅ Sound",IF(AND('📝 Four-tier กรอก'!AN41='📝 Four-tier กรอก'!AN6,'📝 Four-tier กรอก'!AO41="Y",'📝 Four-tier กรอก'!AP41&lt;&gt;'📝 Four-tier กรอก'!AP6,'📝 Four-tier กรอก'!AQ41="Y"),"🎲 Guess",IF(AND('📝 Four-tier กรอก'!AN41&lt;&gt;'📝 Four-tier กรอก'!AN6,'📝 Four-tier กรอก'!AO41="Y",'📝 Four-tier กรอก'!AP41&lt;&gt;'📝 Four-tier กรอก'!AP6,'📝 Four-tier กรอก'!AQ41="Y"),"❌ Misc.",IF(AND('📝 Four-tier กรอก'!AN41&lt;&gt;'📝 Four-tier กรอก'!AN6,'📝 Four-tier กรอก'!AO41="N",'📝 Four-tier กรอก'!AP41&lt;&gt;'📝 Four-tier กรอก'!AP6,'📝 Four-tier กรอก'!AQ41="N"),"❓ NoK","🤔 Partial")))))</f>
        <v/>
      </c>
      <c r="N39" s="67">
        <f>IF(OR('📝 Four-tier กรอก'!AR41="",'📝 Four-tier กรอก'!AT41=""),"—",IF(AND('📝 Four-tier กรอก'!AR41='📝 Four-tier กรอก'!AR6,'📝 Four-tier กรอก'!AS41="Y",'📝 Four-tier กรอก'!AT41='📝 Four-tier กรอก'!AT6,'📝 Four-tier กรอก'!AU41="Y"),"✅ Sound",IF(AND('📝 Four-tier กรอก'!AR41='📝 Four-tier กรอก'!AR6,'📝 Four-tier กรอก'!AS41="Y",'📝 Four-tier กรอก'!AT41&lt;&gt;'📝 Four-tier กรอก'!AT6,'📝 Four-tier กรอก'!AU41="Y"),"🎲 Guess",IF(AND('📝 Four-tier กรอก'!AR41&lt;&gt;'📝 Four-tier กรอก'!AR6,'📝 Four-tier กรอก'!AS41="Y",'📝 Four-tier กรอก'!AT41&lt;&gt;'📝 Four-tier กรอก'!AT6,'📝 Four-tier กรอก'!AU41="Y"),"❌ Misc.",IF(AND('📝 Four-tier กรอก'!AR41&lt;&gt;'📝 Four-tier กรอก'!AR6,'📝 Four-tier กรอก'!AS41="N",'📝 Four-tier กรอก'!AT41&lt;&gt;'📝 Four-tier กรอก'!AT6,'📝 Four-tier กรอก'!AU41="N"),"❓ NoK","🤔 Partial")))))</f>
        <v/>
      </c>
      <c r="O39" s="67">
        <f>IF(OR('📝 Four-tier กรอก'!AV41="",'📝 Four-tier กรอก'!AX41=""),"—",IF(AND('📝 Four-tier กรอก'!AV41='📝 Four-tier กรอก'!AV6,'📝 Four-tier กรอก'!AW41="Y",'📝 Four-tier กรอก'!AX41='📝 Four-tier กรอก'!AX6,'📝 Four-tier กรอก'!AY41="Y"),"✅ Sound",IF(AND('📝 Four-tier กรอก'!AV41='📝 Four-tier กรอก'!AV6,'📝 Four-tier กรอก'!AW41="Y",'📝 Four-tier กรอก'!AX41&lt;&gt;'📝 Four-tier กรอก'!AX6,'📝 Four-tier กรอก'!AY41="Y"),"🎲 Guess",IF(AND('📝 Four-tier กรอก'!AV41&lt;&gt;'📝 Four-tier กรอก'!AV6,'📝 Four-tier กรอก'!AW41="Y",'📝 Four-tier กรอก'!AX41&lt;&gt;'📝 Four-tier กรอก'!AX6,'📝 Four-tier กรอก'!AY41="Y"),"❌ Misc.",IF(AND('📝 Four-tier กรอก'!AV41&lt;&gt;'📝 Four-tier กรอก'!AV6,'📝 Four-tier กรอก'!AW41="N",'📝 Four-tier กรอก'!AX41&lt;&gt;'📝 Four-tier กรอก'!AX6,'📝 Four-tier กรอก'!AY41="N"),"❓ NoK","🤔 Partial")))))</f>
        <v/>
      </c>
      <c r="P39" s="67">
        <f>IF(OR('📝 Four-tier กรอก'!AZ41="",'📝 Four-tier กรอก'!BB41=""),"—",IF(AND('📝 Four-tier กรอก'!AZ41='📝 Four-tier กรอก'!AZ6,'📝 Four-tier กรอก'!BA41="Y",'📝 Four-tier กรอก'!BB41='📝 Four-tier กรอก'!BB6,'📝 Four-tier กรอก'!BC41="Y"),"✅ Sound",IF(AND('📝 Four-tier กรอก'!AZ41='📝 Four-tier กรอก'!AZ6,'📝 Four-tier กรอก'!BA41="Y",'📝 Four-tier กรอก'!BB41&lt;&gt;'📝 Four-tier กรอก'!BB6,'📝 Four-tier กรอก'!BC41="Y"),"🎲 Guess",IF(AND('📝 Four-tier กรอก'!AZ41&lt;&gt;'📝 Four-tier กรอก'!AZ6,'📝 Four-tier กรอก'!BA41="Y",'📝 Four-tier กรอก'!BB41&lt;&gt;'📝 Four-tier กรอก'!BB6,'📝 Four-tier กรอก'!BC41="Y"),"❌ Misc.",IF(AND('📝 Four-tier กรอก'!AZ41&lt;&gt;'📝 Four-tier กรอก'!AZ6,'📝 Four-tier กรอก'!BA41="N",'📝 Four-tier กรอก'!BB41&lt;&gt;'📝 Four-tier กรอก'!BB6,'📝 Four-tier กรอก'!BC41="N"),"❓ NoK","🤔 Partial")))))</f>
        <v/>
      </c>
      <c r="Q39" s="67">
        <f>IF(OR('📝 Four-tier กรอก'!BD41="",'📝 Four-tier กรอก'!BF41=""),"—",IF(AND('📝 Four-tier กรอก'!BD41='📝 Four-tier กรอก'!BD6,'📝 Four-tier กรอก'!BE41="Y",'📝 Four-tier กรอก'!BF41='📝 Four-tier กรอก'!BF6,'📝 Four-tier กรอก'!BG41="Y"),"✅ Sound",IF(AND('📝 Four-tier กรอก'!BD41='📝 Four-tier กรอก'!BD6,'📝 Four-tier กรอก'!BE41="Y",'📝 Four-tier กรอก'!BF41&lt;&gt;'📝 Four-tier กรอก'!BF6,'📝 Four-tier กรอก'!BG41="Y"),"🎲 Guess",IF(AND('📝 Four-tier กรอก'!BD41&lt;&gt;'📝 Four-tier กรอก'!BD6,'📝 Four-tier กรอก'!BE41="Y",'📝 Four-tier กรอก'!BF41&lt;&gt;'📝 Four-tier กรอก'!BF6,'📝 Four-tier กรอก'!BG41="Y"),"❌ Misc.",IF(AND('📝 Four-tier กรอก'!BD41&lt;&gt;'📝 Four-tier กรอก'!BD6,'📝 Four-tier กรอก'!BE41="N",'📝 Four-tier กรอก'!BF41&lt;&gt;'📝 Four-tier กรอก'!BF6,'📝 Four-tier กรอก'!BG41="N"),"❓ NoK","🤔 Partial")))))</f>
        <v/>
      </c>
      <c r="R39" s="67">
        <f>IF(OR('📝 Four-tier กรอก'!BH41="",'📝 Four-tier กรอก'!BJ41=""),"—",IF(AND('📝 Four-tier กรอก'!BH41='📝 Four-tier กรอก'!BH6,'📝 Four-tier กรอก'!BI41="Y",'📝 Four-tier กรอก'!BJ41='📝 Four-tier กรอก'!BJ6,'📝 Four-tier กรอก'!BK41="Y"),"✅ Sound",IF(AND('📝 Four-tier กรอก'!BH41='📝 Four-tier กรอก'!BH6,'📝 Four-tier กรอก'!BI41="Y",'📝 Four-tier กรอก'!BJ41&lt;&gt;'📝 Four-tier กรอก'!BJ6,'📝 Four-tier กรอก'!BK41="Y"),"🎲 Guess",IF(AND('📝 Four-tier กรอก'!BH41&lt;&gt;'📝 Four-tier กรอก'!BH6,'📝 Four-tier กรอก'!BI41="Y",'📝 Four-tier กรอก'!BJ41&lt;&gt;'📝 Four-tier กรอก'!BJ6,'📝 Four-tier กรอก'!BK41="Y"),"❌ Misc.",IF(AND('📝 Four-tier กรอก'!BH41&lt;&gt;'📝 Four-tier กรอก'!BH6,'📝 Four-tier กรอก'!BI41="N",'📝 Four-tier กรอก'!BJ41&lt;&gt;'📝 Four-tier กรอก'!BJ6,'📝 Four-tier กรอก'!BK41="N"),"❓ NoK","🤔 Partial")))))</f>
        <v/>
      </c>
      <c r="S39" s="67">
        <f>IF(OR('📝 Four-tier กรอก'!BL41="",'📝 Four-tier กรอก'!BN41=""),"—",IF(AND('📝 Four-tier กรอก'!BL41='📝 Four-tier กรอก'!BL6,'📝 Four-tier กรอก'!BM41="Y",'📝 Four-tier กรอก'!BN41='📝 Four-tier กรอก'!BN6,'📝 Four-tier กรอก'!BO41="Y"),"✅ Sound",IF(AND('📝 Four-tier กรอก'!BL41='📝 Four-tier กรอก'!BL6,'📝 Four-tier กรอก'!BM41="Y",'📝 Four-tier กรอก'!BN41&lt;&gt;'📝 Four-tier กรอก'!BN6,'📝 Four-tier กรอก'!BO41="Y"),"🎲 Guess",IF(AND('📝 Four-tier กรอก'!BL41&lt;&gt;'📝 Four-tier กรอก'!BL6,'📝 Four-tier กรอก'!BM41="Y",'📝 Four-tier กรอก'!BN41&lt;&gt;'📝 Four-tier กรอก'!BN6,'📝 Four-tier กรอก'!BO41="Y"),"❌ Misc.",IF(AND('📝 Four-tier กรอก'!BL41&lt;&gt;'📝 Four-tier กรอก'!BL6,'📝 Four-tier กรอก'!BM41="N",'📝 Four-tier กรอก'!BN41&lt;&gt;'📝 Four-tier กรอก'!BN6,'📝 Four-tier กรอก'!BO41="N"),"❓ NoK","🤔 Partial")))))</f>
        <v/>
      </c>
      <c r="T39" s="67">
        <f>IF(OR('📝 Four-tier กรอก'!BP41="",'📝 Four-tier กรอก'!BR41=""),"—",IF(AND('📝 Four-tier กรอก'!BP41='📝 Four-tier กรอก'!BP6,'📝 Four-tier กรอก'!BQ41="Y",'📝 Four-tier กรอก'!BR41='📝 Four-tier กรอก'!BR6,'📝 Four-tier กรอก'!BS41="Y"),"✅ Sound",IF(AND('📝 Four-tier กรอก'!BP41='📝 Four-tier กรอก'!BP6,'📝 Four-tier กรอก'!BQ41="Y",'📝 Four-tier กรอก'!BR41&lt;&gt;'📝 Four-tier กรอก'!BR6,'📝 Four-tier กรอก'!BS41="Y"),"🎲 Guess",IF(AND('📝 Four-tier กรอก'!BP41&lt;&gt;'📝 Four-tier กรอก'!BP6,'📝 Four-tier กรอก'!BQ41="Y",'📝 Four-tier กรอก'!BR41&lt;&gt;'📝 Four-tier กรอก'!BR6,'📝 Four-tier กรอก'!BS41="Y"),"❌ Misc.",IF(AND('📝 Four-tier กรอก'!BP41&lt;&gt;'📝 Four-tier กรอก'!BP6,'📝 Four-tier กรอก'!BQ41="N",'📝 Four-tier กรอก'!BR41&lt;&gt;'📝 Four-tier กรอก'!BR6,'📝 Four-tier กรอก'!BS41="N"),"❓ NoK","🤔 Partial")))))</f>
        <v/>
      </c>
      <c r="U39" s="67">
        <f>IF(OR('📝 Four-tier กรอก'!BT41="",'📝 Four-tier กรอก'!BV41=""),"—",IF(AND('📝 Four-tier กรอก'!BT41='📝 Four-tier กรอก'!BT6,'📝 Four-tier กรอก'!BU41="Y",'📝 Four-tier กรอก'!BV41='📝 Four-tier กรอก'!BV6,'📝 Four-tier กรอก'!BW41="Y"),"✅ Sound",IF(AND('📝 Four-tier กรอก'!BT41='📝 Four-tier กรอก'!BT6,'📝 Four-tier กรอก'!BU41="Y",'📝 Four-tier กรอก'!BV41&lt;&gt;'📝 Four-tier กรอก'!BV6,'📝 Four-tier กรอก'!BW41="Y"),"🎲 Guess",IF(AND('📝 Four-tier กรอก'!BT41&lt;&gt;'📝 Four-tier กรอก'!BT6,'📝 Four-tier กรอก'!BU41="Y",'📝 Four-tier กรอก'!BV41&lt;&gt;'📝 Four-tier กรอก'!BV6,'📝 Four-tier กรอก'!BW41="Y"),"❌ Misc.",IF(AND('📝 Four-tier กรอก'!BT41&lt;&gt;'📝 Four-tier กรอก'!BT6,'📝 Four-tier กรอก'!BU41="N",'📝 Four-tier กรอก'!BV41&lt;&gt;'📝 Four-tier กรอก'!BV6,'📝 Four-tier กรอก'!BW41="N"),"❓ NoK","🤔 Partial")))))</f>
        <v/>
      </c>
      <c r="V39" s="67">
        <f>IF(OR('📝 Four-tier กรอก'!BX41="",'📝 Four-tier กรอก'!BZ41=""),"—",IF(AND('📝 Four-tier กรอก'!BX41='📝 Four-tier กรอก'!BX6,'📝 Four-tier กรอก'!BY41="Y",'📝 Four-tier กรอก'!BZ41='📝 Four-tier กรอก'!BZ6,'📝 Four-tier กรอก'!CA41="Y"),"✅ Sound",IF(AND('📝 Four-tier กรอก'!BX41='📝 Four-tier กรอก'!BX6,'📝 Four-tier กรอก'!BY41="Y",'📝 Four-tier กรอก'!BZ41&lt;&gt;'📝 Four-tier กรอก'!BZ6,'📝 Four-tier กรอก'!CA41="Y"),"🎲 Guess",IF(AND('📝 Four-tier กรอก'!BX41&lt;&gt;'📝 Four-tier กรอก'!BX6,'📝 Four-tier กรอก'!BY41="Y",'📝 Four-tier กรอก'!BZ41&lt;&gt;'📝 Four-tier กรอก'!BZ6,'📝 Four-tier กรอก'!CA41="Y"),"❌ Misc.",IF(AND('📝 Four-tier กรอก'!BX41&lt;&gt;'📝 Four-tier กรอก'!BX6,'📝 Four-tier กรอก'!BY41="N",'📝 Four-tier กรอก'!BZ41&lt;&gt;'📝 Four-tier กรอก'!BZ6,'📝 Four-tier กรอก'!CA41="N"),"❓ NoK","🤔 Partial")))))</f>
        <v/>
      </c>
      <c r="W39" s="67">
        <f>IF(OR('📝 Four-tier กรอก'!CB41="",'📝 Four-tier กรอก'!CD41=""),"—",IF(AND('📝 Four-tier กรอก'!CB41='📝 Four-tier กรอก'!CB6,'📝 Four-tier กรอก'!CC41="Y",'📝 Four-tier กรอก'!CD41='📝 Four-tier กรอก'!CD6,'📝 Four-tier กรอก'!CE41="Y"),"✅ Sound",IF(AND('📝 Four-tier กรอก'!CB41='📝 Four-tier กรอก'!CB6,'📝 Four-tier กรอก'!CC41="Y",'📝 Four-tier กรอก'!CD41&lt;&gt;'📝 Four-tier กรอก'!CD6,'📝 Four-tier กรอก'!CE41="Y"),"🎲 Guess",IF(AND('📝 Four-tier กรอก'!CB41&lt;&gt;'📝 Four-tier กรอก'!CB6,'📝 Four-tier กรอก'!CC41="Y",'📝 Four-tier กรอก'!CD41&lt;&gt;'📝 Four-tier กรอก'!CD6,'📝 Four-tier กรอก'!CE41="Y"),"❌ Misc.",IF(AND('📝 Four-tier กรอก'!CB41&lt;&gt;'📝 Four-tier กรอก'!CB6,'📝 Four-tier กรอก'!CC41="N",'📝 Four-tier กรอก'!CD41&lt;&gt;'📝 Four-tier กรอก'!CD6,'📝 Four-tier กรอก'!CE41="N"),"❓ NoK","🤔 Partial")))))</f>
        <v/>
      </c>
      <c r="X39" s="37">
        <f>COUNTIF(D39:W39,"✅ Sound")</f>
        <v/>
      </c>
      <c r="Y39" s="37">
        <f>COUNTIF(D39:W39,"❌ Misc.")</f>
        <v/>
      </c>
      <c r="Z39" s="37">
        <f>COUNTIF(D39:W39,"🎲 Guess")</f>
        <v/>
      </c>
      <c r="AA39" s="37">
        <f>COUNTIF(D39:W39,"❓ NoK")</f>
        <v/>
      </c>
    </row>
    <row r="40" ht="18" customHeight="1">
      <c r="B40" s="46">
        <f>'📝 Four-tier กรอก'!B42</f>
        <v/>
      </c>
      <c r="C40" s="51">
        <f>'📝 Four-tier กรอก'!C42</f>
        <v/>
      </c>
      <c r="D40" s="68">
        <f>IF(OR('📝 Four-tier กรอก'!D42="",'📝 Four-tier กรอก'!F42=""),"—",IF(AND('📝 Four-tier กรอก'!D42='📝 Four-tier กรอก'!D6,'📝 Four-tier กรอก'!E42="Y",'📝 Four-tier กรอก'!F42='📝 Four-tier กรอก'!F6,'📝 Four-tier กรอก'!G42="Y"),"✅ Sound",IF(AND('📝 Four-tier กรอก'!D42='📝 Four-tier กรอก'!D6,'📝 Four-tier กรอก'!E42="Y",'📝 Four-tier กรอก'!F42&lt;&gt;'📝 Four-tier กรอก'!F6,'📝 Four-tier กรอก'!G42="Y"),"🎲 Guess",IF(AND('📝 Four-tier กรอก'!D42&lt;&gt;'📝 Four-tier กรอก'!D6,'📝 Four-tier กรอก'!E42="Y",'📝 Four-tier กรอก'!F42&lt;&gt;'📝 Four-tier กรอก'!F6,'📝 Four-tier กรอก'!G42="Y"),"❌ Misc.",IF(AND('📝 Four-tier กรอก'!D42&lt;&gt;'📝 Four-tier กรอก'!D6,'📝 Four-tier กรอก'!E42="N",'📝 Four-tier กรอก'!F42&lt;&gt;'📝 Four-tier กรอก'!F6,'📝 Four-tier กรอก'!G42="N"),"❓ NoK","🤔 Partial")))))</f>
        <v/>
      </c>
      <c r="E40" s="68">
        <f>IF(OR('📝 Four-tier กรอก'!H42="",'📝 Four-tier กรอก'!J42=""),"—",IF(AND('📝 Four-tier กรอก'!H42='📝 Four-tier กรอก'!H6,'📝 Four-tier กรอก'!I42="Y",'📝 Four-tier กรอก'!J42='📝 Four-tier กรอก'!J6,'📝 Four-tier กรอก'!K42="Y"),"✅ Sound",IF(AND('📝 Four-tier กรอก'!H42='📝 Four-tier กรอก'!H6,'📝 Four-tier กรอก'!I42="Y",'📝 Four-tier กรอก'!J42&lt;&gt;'📝 Four-tier กรอก'!J6,'📝 Four-tier กรอก'!K42="Y"),"🎲 Guess",IF(AND('📝 Four-tier กรอก'!H42&lt;&gt;'📝 Four-tier กรอก'!H6,'📝 Four-tier กรอก'!I42="Y",'📝 Four-tier กรอก'!J42&lt;&gt;'📝 Four-tier กรอก'!J6,'📝 Four-tier กรอก'!K42="Y"),"❌ Misc.",IF(AND('📝 Four-tier กรอก'!H42&lt;&gt;'📝 Four-tier กรอก'!H6,'📝 Four-tier กรอก'!I42="N",'📝 Four-tier กรอก'!J42&lt;&gt;'📝 Four-tier กรอก'!J6,'📝 Four-tier กรอก'!K42="N"),"❓ NoK","🤔 Partial")))))</f>
        <v/>
      </c>
      <c r="F40" s="68">
        <f>IF(OR('📝 Four-tier กรอก'!L42="",'📝 Four-tier กรอก'!N42=""),"—",IF(AND('📝 Four-tier กรอก'!L42='📝 Four-tier กรอก'!L6,'📝 Four-tier กรอก'!M42="Y",'📝 Four-tier กรอก'!N42='📝 Four-tier กรอก'!N6,'📝 Four-tier กรอก'!O42="Y"),"✅ Sound",IF(AND('📝 Four-tier กรอก'!L42='📝 Four-tier กรอก'!L6,'📝 Four-tier กรอก'!M42="Y",'📝 Four-tier กรอก'!N42&lt;&gt;'📝 Four-tier กรอก'!N6,'📝 Four-tier กรอก'!O42="Y"),"🎲 Guess",IF(AND('📝 Four-tier กรอก'!L42&lt;&gt;'📝 Four-tier กรอก'!L6,'📝 Four-tier กรอก'!M42="Y",'📝 Four-tier กรอก'!N42&lt;&gt;'📝 Four-tier กรอก'!N6,'📝 Four-tier กรอก'!O42="Y"),"❌ Misc.",IF(AND('📝 Four-tier กรอก'!L42&lt;&gt;'📝 Four-tier กรอก'!L6,'📝 Four-tier กรอก'!M42="N",'📝 Four-tier กรอก'!N42&lt;&gt;'📝 Four-tier กรอก'!N6,'📝 Four-tier กรอก'!O42="N"),"❓ NoK","🤔 Partial")))))</f>
        <v/>
      </c>
      <c r="G40" s="68">
        <f>IF(OR('📝 Four-tier กรอก'!P42="",'📝 Four-tier กรอก'!R42=""),"—",IF(AND('📝 Four-tier กรอก'!P42='📝 Four-tier กรอก'!P6,'📝 Four-tier กรอก'!Q42="Y",'📝 Four-tier กรอก'!R42='📝 Four-tier กรอก'!R6,'📝 Four-tier กรอก'!S42="Y"),"✅ Sound",IF(AND('📝 Four-tier กรอก'!P42='📝 Four-tier กรอก'!P6,'📝 Four-tier กรอก'!Q42="Y",'📝 Four-tier กรอก'!R42&lt;&gt;'📝 Four-tier กรอก'!R6,'📝 Four-tier กรอก'!S42="Y"),"🎲 Guess",IF(AND('📝 Four-tier กรอก'!P42&lt;&gt;'📝 Four-tier กรอก'!P6,'📝 Four-tier กรอก'!Q42="Y",'📝 Four-tier กรอก'!R42&lt;&gt;'📝 Four-tier กรอก'!R6,'📝 Four-tier กรอก'!S42="Y"),"❌ Misc.",IF(AND('📝 Four-tier กรอก'!P42&lt;&gt;'📝 Four-tier กรอก'!P6,'📝 Four-tier กรอก'!Q42="N",'📝 Four-tier กรอก'!R42&lt;&gt;'📝 Four-tier กรอก'!R6,'📝 Four-tier กรอก'!S42="N"),"❓ NoK","🤔 Partial")))))</f>
        <v/>
      </c>
      <c r="H40" s="68">
        <f>IF(OR('📝 Four-tier กรอก'!T42="",'📝 Four-tier กรอก'!V42=""),"—",IF(AND('📝 Four-tier กรอก'!T42='📝 Four-tier กรอก'!T6,'📝 Four-tier กรอก'!U42="Y",'📝 Four-tier กรอก'!V42='📝 Four-tier กรอก'!V6,'📝 Four-tier กรอก'!W42="Y"),"✅ Sound",IF(AND('📝 Four-tier กรอก'!T42='📝 Four-tier กรอก'!T6,'📝 Four-tier กรอก'!U42="Y",'📝 Four-tier กรอก'!V42&lt;&gt;'📝 Four-tier กรอก'!V6,'📝 Four-tier กรอก'!W42="Y"),"🎲 Guess",IF(AND('📝 Four-tier กรอก'!T42&lt;&gt;'📝 Four-tier กรอก'!T6,'📝 Four-tier กรอก'!U42="Y",'📝 Four-tier กรอก'!V42&lt;&gt;'📝 Four-tier กรอก'!V6,'📝 Four-tier กรอก'!W42="Y"),"❌ Misc.",IF(AND('📝 Four-tier กรอก'!T42&lt;&gt;'📝 Four-tier กรอก'!T6,'📝 Four-tier กรอก'!U42="N",'📝 Four-tier กรอก'!V42&lt;&gt;'📝 Four-tier กรอก'!V6,'📝 Four-tier กรอก'!W42="N"),"❓ NoK","🤔 Partial")))))</f>
        <v/>
      </c>
      <c r="I40" s="68">
        <f>IF(OR('📝 Four-tier กรอก'!X42="",'📝 Four-tier กรอก'!Z42=""),"—",IF(AND('📝 Four-tier กรอก'!X42='📝 Four-tier กรอก'!X6,'📝 Four-tier กรอก'!Y42="Y",'📝 Four-tier กรอก'!Z42='📝 Four-tier กรอก'!Z6,'📝 Four-tier กรอก'!AA42="Y"),"✅ Sound",IF(AND('📝 Four-tier กรอก'!X42='📝 Four-tier กรอก'!X6,'📝 Four-tier กรอก'!Y42="Y",'📝 Four-tier กรอก'!Z42&lt;&gt;'📝 Four-tier กรอก'!Z6,'📝 Four-tier กรอก'!AA42="Y"),"🎲 Guess",IF(AND('📝 Four-tier กรอก'!X42&lt;&gt;'📝 Four-tier กรอก'!X6,'📝 Four-tier กรอก'!Y42="Y",'📝 Four-tier กรอก'!Z42&lt;&gt;'📝 Four-tier กรอก'!Z6,'📝 Four-tier กรอก'!AA42="Y"),"❌ Misc.",IF(AND('📝 Four-tier กรอก'!X42&lt;&gt;'📝 Four-tier กรอก'!X6,'📝 Four-tier กรอก'!Y42="N",'📝 Four-tier กรอก'!Z42&lt;&gt;'📝 Four-tier กรอก'!Z6,'📝 Four-tier กรอก'!AA42="N"),"❓ NoK","🤔 Partial")))))</f>
        <v/>
      </c>
      <c r="J40" s="68">
        <f>IF(OR('📝 Four-tier กรอก'!AB42="",'📝 Four-tier กรอก'!AD42=""),"—",IF(AND('📝 Four-tier กรอก'!AB42='📝 Four-tier กรอก'!AB6,'📝 Four-tier กรอก'!AC42="Y",'📝 Four-tier กรอก'!AD42='📝 Four-tier กรอก'!AD6,'📝 Four-tier กรอก'!AE42="Y"),"✅ Sound",IF(AND('📝 Four-tier กรอก'!AB42='📝 Four-tier กรอก'!AB6,'📝 Four-tier กรอก'!AC42="Y",'📝 Four-tier กรอก'!AD42&lt;&gt;'📝 Four-tier กรอก'!AD6,'📝 Four-tier กรอก'!AE42="Y"),"🎲 Guess",IF(AND('📝 Four-tier กรอก'!AB42&lt;&gt;'📝 Four-tier กรอก'!AB6,'📝 Four-tier กรอก'!AC42="Y",'📝 Four-tier กรอก'!AD42&lt;&gt;'📝 Four-tier กรอก'!AD6,'📝 Four-tier กรอก'!AE42="Y"),"❌ Misc.",IF(AND('📝 Four-tier กรอก'!AB42&lt;&gt;'📝 Four-tier กรอก'!AB6,'📝 Four-tier กรอก'!AC42="N",'📝 Four-tier กรอก'!AD42&lt;&gt;'📝 Four-tier กรอก'!AD6,'📝 Four-tier กรอก'!AE42="N"),"❓ NoK","🤔 Partial")))))</f>
        <v/>
      </c>
      <c r="K40" s="68">
        <f>IF(OR('📝 Four-tier กรอก'!AF42="",'📝 Four-tier กรอก'!AH42=""),"—",IF(AND('📝 Four-tier กรอก'!AF42='📝 Four-tier กรอก'!AF6,'📝 Four-tier กรอก'!AG42="Y",'📝 Four-tier กรอก'!AH42='📝 Four-tier กรอก'!AH6,'📝 Four-tier กรอก'!AI42="Y"),"✅ Sound",IF(AND('📝 Four-tier กรอก'!AF42='📝 Four-tier กรอก'!AF6,'📝 Four-tier กรอก'!AG42="Y",'📝 Four-tier กรอก'!AH42&lt;&gt;'📝 Four-tier กรอก'!AH6,'📝 Four-tier กรอก'!AI42="Y"),"🎲 Guess",IF(AND('📝 Four-tier กรอก'!AF42&lt;&gt;'📝 Four-tier กรอก'!AF6,'📝 Four-tier กรอก'!AG42="Y",'📝 Four-tier กรอก'!AH42&lt;&gt;'📝 Four-tier กรอก'!AH6,'📝 Four-tier กรอก'!AI42="Y"),"❌ Misc.",IF(AND('📝 Four-tier กรอก'!AF42&lt;&gt;'📝 Four-tier กรอก'!AF6,'📝 Four-tier กรอก'!AG42="N",'📝 Four-tier กรอก'!AH42&lt;&gt;'📝 Four-tier กรอก'!AH6,'📝 Four-tier กรอก'!AI42="N"),"❓ NoK","🤔 Partial")))))</f>
        <v/>
      </c>
      <c r="L40" s="68">
        <f>IF(OR('📝 Four-tier กรอก'!AJ42="",'📝 Four-tier กรอก'!AL42=""),"—",IF(AND('📝 Four-tier กรอก'!AJ42='📝 Four-tier กรอก'!AJ6,'📝 Four-tier กรอก'!AK42="Y",'📝 Four-tier กรอก'!AL42='📝 Four-tier กรอก'!AL6,'📝 Four-tier กรอก'!AM42="Y"),"✅ Sound",IF(AND('📝 Four-tier กรอก'!AJ42='📝 Four-tier กรอก'!AJ6,'📝 Four-tier กรอก'!AK42="Y",'📝 Four-tier กรอก'!AL42&lt;&gt;'📝 Four-tier กรอก'!AL6,'📝 Four-tier กรอก'!AM42="Y"),"🎲 Guess",IF(AND('📝 Four-tier กรอก'!AJ42&lt;&gt;'📝 Four-tier กรอก'!AJ6,'📝 Four-tier กรอก'!AK42="Y",'📝 Four-tier กรอก'!AL42&lt;&gt;'📝 Four-tier กรอก'!AL6,'📝 Four-tier กรอก'!AM42="Y"),"❌ Misc.",IF(AND('📝 Four-tier กรอก'!AJ42&lt;&gt;'📝 Four-tier กรอก'!AJ6,'📝 Four-tier กรอก'!AK42="N",'📝 Four-tier กรอก'!AL42&lt;&gt;'📝 Four-tier กรอก'!AL6,'📝 Four-tier กรอก'!AM42="N"),"❓ NoK","🤔 Partial")))))</f>
        <v/>
      </c>
      <c r="M40" s="68">
        <f>IF(OR('📝 Four-tier กรอก'!AN42="",'📝 Four-tier กรอก'!AP42=""),"—",IF(AND('📝 Four-tier กรอก'!AN42='📝 Four-tier กรอก'!AN6,'📝 Four-tier กรอก'!AO42="Y",'📝 Four-tier กรอก'!AP42='📝 Four-tier กรอก'!AP6,'📝 Four-tier กรอก'!AQ42="Y"),"✅ Sound",IF(AND('📝 Four-tier กรอก'!AN42='📝 Four-tier กรอก'!AN6,'📝 Four-tier กรอก'!AO42="Y",'📝 Four-tier กรอก'!AP42&lt;&gt;'📝 Four-tier กรอก'!AP6,'📝 Four-tier กรอก'!AQ42="Y"),"🎲 Guess",IF(AND('📝 Four-tier กรอก'!AN42&lt;&gt;'📝 Four-tier กรอก'!AN6,'📝 Four-tier กรอก'!AO42="Y",'📝 Four-tier กรอก'!AP42&lt;&gt;'📝 Four-tier กรอก'!AP6,'📝 Four-tier กรอก'!AQ42="Y"),"❌ Misc.",IF(AND('📝 Four-tier กรอก'!AN42&lt;&gt;'📝 Four-tier กรอก'!AN6,'📝 Four-tier กรอก'!AO42="N",'📝 Four-tier กรอก'!AP42&lt;&gt;'📝 Four-tier กรอก'!AP6,'📝 Four-tier กรอก'!AQ42="N"),"❓ NoK","🤔 Partial")))))</f>
        <v/>
      </c>
      <c r="N40" s="68">
        <f>IF(OR('📝 Four-tier กรอก'!AR42="",'📝 Four-tier กรอก'!AT42=""),"—",IF(AND('📝 Four-tier กรอก'!AR42='📝 Four-tier กรอก'!AR6,'📝 Four-tier กรอก'!AS42="Y",'📝 Four-tier กรอก'!AT42='📝 Four-tier กรอก'!AT6,'📝 Four-tier กรอก'!AU42="Y"),"✅ Sound",IF(AND('📝 Four-tier กรอก'!AR42='📝 Four-tier กรอก'!AR6,'📝 Four-tier กรอก'!AS42="Y",'📝 Four-tier กรอก'!AT42&lt;&gt;'📝 Four-tier กรอก'!AT6,'📝 Four-tier กรอก'!AU42="Y"),"🎲 Guess",IF(AND('📝 Four-tier กรอก'!AR42&lt;&gt;'📝 Four-tier กรอก'!AR6,'📝 Four-tier กรอก'!AS42="Y",'📝 Four-tier กรอก'!AT42&lt;&gt;'📝 Four-tier กรอก'!AT6,'📝 Four-tier กรอก'!AU42="Y"),"❌ Misc.",IF(AND('📝 Four-tier กรอก'!AR42&lt;&gt;'📝 Four-tier กรอก'!AR6,'📝 Four-tier กรอก'!AS42="N",'📝 Four-tier กรอก'!AT42&lt;&gt;'📝 Four-tier กรอก'!AT6,'📝 Four-tier กรอก'!AU42="N"),"❓ NoK","🤔 Partial")))))</f>
        <v/>
      </c>
      <c r="O40" s="68">
        <f>IF(OR('📝 Four-tier กรอก'!AV42="",'📝 Four-tier กรอก'!AX42=""),"—",IF(AND('📝 Four-tier กรอก'!AV42='📝 Four-tier กรอก'!AV6,'📝 Four-tier กรอก'!AW42="Y",'📝 Four-tier กรอก'!AX42='📝 Four-tier กรอก'!AX6,'📝 Four-tier กรอก'!AY42="Y"),"✅ Sound",IF(AND('📝 Four-tier กรอก'!AV42='📝 Four-tier กรอก'!AV6,'📝 Four-tier กรอก'!AW42="Y",'📝 Four-tier กรอก'!AX42&lt;&gt;'📝 Four-tier กรอก'!AX6,'📝 Four-tier กรอก'!AY42="Y"),"🎲 Guess",IF(AND('📝 Four-tier กรอก'!AV42&lt;&gt;'📝 Four-tier กรอก'!AV6,'📝 Four-tier กรอก'!AW42="Y",'📝 Four-tier กรอก'!AX42&lt;&gt;'📝 Four-tier กรอก'!AX6,'📝 Four-tier กรอก'!AY42="Y"),"❌ Misc.",IF(AND('📝 Four-tier กรอก'!AV42&lt;&gt;'📝 Four-tier กรอก'!AV6,'📝 Four-tier กรอก'!AW42="N",'📝 Four-tier กรอก'!AX42&lt;&gt;'📝 Four-tier กรอก'!AX6,'📝 Four-tier กรอก'!AY42="N"),"❓ NoK","🤔 Partial")))))</f>
        <v/>
      </c>
      <c r="P40" s="68">
        <f>IF(OR('📝 Four-tier กรอก'!AZ42="",'📝 Four-tier กรอก'!BB42=""),"—",IF(AND('📝 Four-tier กรอก'!AZ42='📝 Four-tier กรอก'!AZ6,'📝 Four-tier กรอก'!BA42="Y",'📝 Four-tier กรอก'!BB42='📝 Four-tier กรอก'!BB6,'📝 Four-tier กรอก'!BC42="Y"),"✅ Sound",IF(AND('📝 Four-tier กรอก'!AZ42='📝 Four-tier กรอก'!AZ6,'📝 Four-tier กรอก'!BA42="Y",'📝 Four-tier กรอก'!BB42&lt;&gt;'📝 Four-tier กรอก'!BB6,'📝 Four-tier กรอก'!BC42="Y"),"🎲 Guess",IF(AND('📝 Four-tier กรอก'!AZ42&lt;&gt;'📝 Four-tier กรอก'!AZ6,'📝 Four-tier กรอก'!BA42="Y",'📝 Four-tier กรอก'!BB42&lt;&gt;'📝 Four-tier กรอก'!BB6,'📝 Four-tier กรอก'!BC42="Y"),"❌ Misc.",IF(AND('📝 Four-tier กรอก'!AZ42&lt;&gt;'📝 Four-tier กรอก'!AZ6,'📝 Four-tier กรอก'!BA42="N",'📝 Four-tier กรอก'!BB42&lt;&gt;'📝 Four-tier กรอก'!BB6,'📝 Four-tier กรอก'!BC42="N"),"❓ NoK","🤔 Partial")))))</f>
        <v/>
      </c>
      <c r="Q40" s="68">
        <f>IF(OR('📝 Four-tier กรอก'!BD42="",'📝 Four-tier กรอก'!BF42=""),"—",IF(AND('📝 Four-tier กรอก'!BD42='📝 Four-tier กรอก'!BD6,'📝 Four-tier กรอก'!BE42="Y",'📝 Four-tier กรอก'!BF42='📝 Four-tier กรอก'!BF6,'📝 Four-tier กรอก'!BG42="Y"),"✅ Sound",IF(AND('📝 Four-tier กรอก'!BD42='📝 Four-tier กรอก'!BD6,'📝 Four-tier กรอก'!BE42="Y",'📝 Four-tier กรอก'!BF42&lt;&gt;'📝 Four-tier กรอก'!BF6,'📝 Four-tier กรอก'!BG42="Y"),"🎲 Guess",IF(AND('📝 Four-tier กรอก'!BD42&lt;&gt;'📝 Four-tier กรอก'!BD6,'📝 Four-tier กรอก'!BE42="Y",'📝 Four-tier กรอก'!BF42&lt;&gt;'📝 Four-tier กรอก'!BF6,'📝 Four-tier กรอก'!BG42="Y"),"❌ Misc.",IF(AND('📝 Four-tier กรอก'!BD42&lt;&gt;'📝 Four-tier กรอก'!BD6,'📝 Four-tier กรอก'!BE42="N",'📝 Four-tier กรอก'!BF42&lt;&gt;'📝 Four-tier กรอก'!BF6,'📝 Four-tier กรอก'!BG42="N"),"❓ NoK","🤔 Partial")))))</f>
        <v/>
      </c>
      <c r="R40" s="68">
        <f>IF(OR('📝 Four-tier กรอก'!BH42="",'📝 Four-tier กรอก'!BJ42=""),"—",IF(AND('📝 Four-tier กรอก'!BH42='📝 Four-tier กรอก'!BH6,'📝 Four-tier กรอก'!BI42="Y",'📝 Four-tier กรอก'!BJ42='📝 Four-tier กรอก'!BJ6,'📝 Four-tier กรอก'!BK42="Y"),"✅ Sound",IF(AND('📝 Four-tier กรอก'!BH42='📝 Four-tier กรอก'!BH6,'📝 Four-tier กรอก'!BI42="Y",'📝 Four-tier กรอก'!BJ42&lt;&gt;'📝 Four-tier กรอก'!BJ6,'📝 Four-tier กรอก'!BK42="Y"),"🎲 Guess",IF(AND('📝 Four-tier กรอก'!BH42&lt;&gt;'📝 Four-tier กรอก'!BH6,'📝 Four-tier กรอก'!BI42="Y",'📝 Four-tier กรอก'!BJ42&lt;&gt;'📝 Four-tier กรอก'!BJ6,'📝 Four-tier กรอก'!BK42="Y"),"❌ Misc.",IF(AND('📝 Four-tier กรอก'!BH42&lt;&gt;'📝 Four-tier กรอก'!BH6,'📝 Four-tier กรอก'!BI42="N",'📝 Four-tier กรอก'!BJ42&lt;&gt;'📝 Four-tier กรอก'!BJ6,'📝 Four-tier กรอก'!BK42="N"),"❓ NoK","🤔 Partial")))))</f>
        <v/>
      </c>
      <c r="S40" s="68">
        <f>IF(OR('📝 Four-tier กรอก'!BL42="",'📝 Four-tier กรอก'!BN42=""),"—",IF(AND('📝 Four-tier กรอก'!BL42='📝 Four-tier กรอก'!BL6,'📝 Four-tier กรอก'!BM42="Y",'📝 Four-tier กรอก'!BN42='📝 Four-tier กรอก'!BN6,'📝 Four-tier กรอก'!BO42="Y"),"✅ Sound",IF(AND('📝 Four-tier กรอก'!BL42='📝 Four-tier กรอก'!BL6,'📝 Four-tier กรอก'!BM42="Y",'📝 Four-tier กรอก'!BN42&lt;&gt;'📝 Four-tier กรอก'!BN6,'📝 Four-tier กรอก'!BO42="Y"),"🎲 Guess",IF(AND('📝 Four-tier กรอก'!BL42&lt;&gt;'📝 Four-tier กรอก'!BL6,'📝 Four-tier กรอก'!BM42="Y",'📝 Four-tier กรอก'!BN42&lt;&gt;'📝 Four-tier กรอก'!BN6,'📝 Four-tier กรอก'!BO42="Y"),"❌ Misc.",IF(AND('📝 Four-tier กรอก'!BL42&lt;&gt;'📝 Four-tier กรอก'!BL6,'📝 Four-tier กรอก'!BM42="N",'📝 Four-tier กรอก'!BN42&lt;&gt;'📝 Four-tier กรอก'!BN6,'📝 Four-tier กรอก'!BO42="N"),"❓ NoK","🤔 Partial")))))</f>
        <v/>
      </c>
      <c r="T40" s="68">
        <f>IF(OR('📝 Four-tier กรอก'!BP42="",'📝 Four-tier กรอก'!BR42=""),"—",IF(AND('📝 Four-tier กรอก'!BP42='📝 Four-tier กรอก'!BP6,'📝 Four-tier กรอก'!BQ42="Y",'📝 Four-tier กรอก'!BR42='📝 Four-tier กรอก'!BR6,'📝 Four-tier กรอก'!BS42="Y"),"✅ Sound",IF(AND('📝 Four-tier กรอก'!BP42='📝 Four-tier กรอก'!BP6,'📝 Four-tier กรอก'!BQ42="Y",'📝 Four-tier กรอก'!BR42&lt;&gt;'📝 Four-tier กรอก'!BR6,'📝 Four-tier กรอก'!BS42="Y"),"🎲 Guess",IF(AND('📝 Four-tier กรอก'!BP42&lt;&gt;'📝 Four-tier กรอก'!BP6,'📝 Four-tier กรอก'!BQ42="Y",'📝 Four-tier กรอก'!BR42&lt;&gt;'📝 Four-tier กรอก'!BR6,'📝 Four-tier กรอก'!BS42="Y"),"❌ Misc.",IF(AND('📝 Four-tier กรอก'!BP42&lt;&gt;'📝 Four-tier กรอก'!BP6,'📝 Four-tier กรอก'!BQ42="N",'📝 Four-tier กรอก'!BR42&lt;&gt;'📝 Four-tier กรอก'!BR6,'📝 Four-tier กรอก'!BS42="N"),"❓ NoK","🤔 Partial")))))</f>
        <v/>
      </c>
      <c r="U40" s="68">
        <f>IF(OR('📝 Four-tier กรอก'!BT42="",'📝 Four-tier กรอก'!BV42=""),"—",IF(AND('📝 Four-tier กรอก'!BT42='📝 Four-tier กรอก'!BT6,'📝 Four-tier กรอก'!BU42="Y",'📝 Four-tier กรอก'!BV42='📝 Four-tier กรอก'!BV6,'📝 Four-tier กรอก'!BW42="Y"),"✅ Sound",IF(AND('📝 Four-tier กรอก'!BT42='📝 Four-tier กรอก'!BT6,'📝 Four-tier กรอก'!BU42="Y",'📝 Four-tier กรอก'!BV42&lt;&gt;'📝 Four-tier กรอก'!BV6,'📝 Four-tier กรอก'!BW42="Y"),"🎲 Guess",IF(AND('📝 Four-tier กรอก'!BT42&lt;&gt;'📝 Four-tier กรอก'!BT6,'📝 Four-tier กรอก'!BU42="Y",'📝 Four-tier กรอก'!BV42&lt;&gt;'📝 Four-tier กรอก'!BV6,'📝 Four-tier กรอก'!BW42="Y"),"❌ Misc.",IF(AND('📝 Four-tier กรอก'!BT42&lt;&gt;'📝 Four-tier กรอก'!BT6,'📝 Four-tier กรอก'!BU42="N",'📝 Four-tier กรอก'!BV42&lt;&gt;'📝 Four-tier กรอก'!BV6,'📝 Four-tier กรอก'!BW42="N"),"❓ NoK","🤔 Partial")))))</f>
        <v/>
      </c>
      <c r="V40" s="68">
        <f>IF(OR('📝 Four-tier กรอก'!BX42="",'📝 Four-tier กรอก'!BZ42=""),"—",IF(AND('📝 Four-tier กรอก'!BX42='📝 Four-tier กรอก'!BX6,'📝 Four-tier กรอก'!BY42="Y",'📝 Four-tier กรอก'!BZ42='📝 Four-tier กรอก'!BZ6,'📝 Four-tier กรอก'!CA42="Y"),"✅ Sound",IF(AND('📝 Four-tier กรอก'!BX42='📝 Four-tier กรอก'!BX6,'📝 Four-tier กรอก'!BY42="Y",'📝 Four-tier กรอก'!BZ42&lt;&gt;'📝 Four-tier กรอก'!BZ6,'📝 Four-tier กรอก'!CA42="Y"),"🎲 Guess",IF(AND('📝 Four-tier กรอก'!BX42&lt;&gt;'📝 Four-tier กรอก'!BX6,'📝 Four-tier กรอก'!BY42="Y",'📝 Four-tier กรอก'!BZ42&lt;&gt;'📝 Four-tier กรอก'!BZ6,'📝 Four-tier กรอก'!CA42="Y"),"❌ Misc.",IF(AND('📝 Four-tier กรอก'!BX42&lt;&gt;'📝 Four-tier กรอก'!BX6,'📝 Four-tier กรอก'!BY42="N",'📝 Four-tier กรอก'!BZ42&lt;&gt;'📝 Four-tier กรอก'!BZ6,'📝 Four-tier กรอก'!CA42="N"),"❓ NoK","🤔 Partial")))))</f>
        <v/>
      </c>
      <c r="W40" s="68">
        <f>IF(OR('📝 Four-tier กรอก'!CB42="",'📝 Four-tier กรอก'!CD42=""),"—",IF(AND('📝 Four-tier กรอก'!CB42='📝 Four-tier กรอก'!CB6,'📝 Four-tier กรอก'!CC42="Y",'📝 Four-tier กรอก'!CD42='📝 Four-tier กรอก'!CD6,'📝 Four-tier กรอก'!CE42="Y"),"✅ Sound",IF(AND('📝 Four-tier กรอก'!CB42='📝 Four-tier กรอก'!CB6,'📝 Four-tier กรอก'!CC42="Y",'📝 Four-tier กรอก'!CD42&lt;&gt;'📝 Four-tier กรอก'!CD6,'📝 Four-tier กรอก'!CE42="Y"),"🎲 Guess",IF(AND('📝 Four-tier กรอก'!CB42&lt;&gt;'📝 Four-tier กรอก'!CB6,'📝 Four-tier กรอก'!CC42="Y",'📝 Four-tier กรอก'!CD42&lt;&gt;'📝 Four-tier กรอก'!CD6,'📝 Four-tier กรอก'!CE42="Y"),"❌ Misc.",IF(AND('📝 Four-tier กรอก'!CB42&lt;&gt;'📝 Four-tier กรอก'!CB6,'📝 Four-tier กรอก'!CC42="N",'📝 Four-tier กรอก'!CD42&lt;&gt;'📝 Four-tier กรอก'!CD6,'📝 Four-tier กรอก'!CE42="N"),"❓ NoK","🤔 Partial")))))</f>
        <v/>
      </c>
      <c r="X40" s="37">
        <f>COUNTIF(D40:W40,"✅ Sound")</f>
        <v/>
      </c>
      <c r="Y40" s="37">
        <f>COUNTIF(D40:W40,"❌ Misc.")</f>
        <v/>
      </c>
      <c r="Z40" s="37">
        <f>COUNTIF(D40:W40,"🎲 Guess")</f>
        <v/>
      </c>
      <c r="AA40" s="37">
        <f>COUNTIF(D40:W40,"❓ NoK")</f>
        <v/>
      </c>
    </row>
    <row r="41" ht="18" customHeight="1">
      <c r="B41" s="46">
        <f>'📝 Four-tier กรอก'!B43</f>
        <v/>
      </c>
      <c r="C41" s="47">
        <f>'📝 Four-tier กรอก'!C43</f>
        <v/>
      </c>
      <c r="D41" s="67">
        <f>IF(OR('📝 Four-tier กรอก'!D43="",'📝 Four-tier กรอก'!F43=""),"—",IF(AND('📝 Four-tier กรอก'!D43='📝 Four-tier กรอก'!D6,'📝 Four-tier กรอก'!E43="Y",'📝 Four-tier กรอก'!F43='📝 Four-tier กรอก'!F6,'📝 Four-tier กรอก'!G43="Y"),"✅ Sound",IF(AND('📝 Four-tier กรอก'!D43='📝 Four-tier กรอก'!D6,'📝 Four-tier กรอก'!E43="Y",'📝 Four-tier กรอก'!F43&lt;&gt;'📝 Four-tier กรอก'!F6,'📝 Four-tier กรอก'!G43="Y"),"🎲 Guess",IF(AND('📝 Four-tier กรอก'!D43&lt;&gt;'📝 Four-tier กรอก'!D6,'📝 Four-tier กรอก'!E43="Y",'📝 Four-tier กรอก'!F43&lt;&gt;'📝 Four-tier กรอก'!F6,'📝 Four-tier กรอก'!G43="Y"),"❌ Misc.",IF(AND('📝 Four-tier กรอก'!D43&lt;&gt;'📝 Four-tier กรอก'!D6,'📝 Four-tier กรอก'!E43="N",'📝 Four-tier กรอก'!F43&lt;&gt;'📝 Four-tier กรอก'!F6,'📝 Four-tier กรอก'!G43="N"),"❓ NoK","🤔 Partial")))))</f>
        <v/>
      </c>
      <c r="E41" s="67">
        <f>IF(OR('📝 Four-tier กรอก'!H43="",'📝 Four-tier กรอก'!J43=""),"—",IF(AND('📝 Four-tier กรอก'!H43='📝 Four-tier กรอก'!H6,'📝 Four-tier กรอก'!I43="Y",'📝 Four-tier กรอก'!J43='📝 Four-tier กรอก'!J6,'📝 Four-tier กรอก'!K43="Y"),"✅ Sound",IF(AND('📝 Four-tier กรอก'!H43='📝 Four-tier กรอก'!H6,'📝 Four-tier กรอก'!I43="Y",'📝 Four-tier กรอก'!J43&lt;&gt;'📝 Four-tier กรอก'!J6,'📝 Four-tier กรอก'!K43="Y"),"🎲 Guess",IF(AND('📝 Four-tier กรอก'!H43&lt;&gt;'📝 Four-tier กรอก'!H6,'📝 Four-tier กรอก'!I43="Y",'📝 Four-tier กรอก'!J43&lt;&gt;'📝 Four-tier กรอก'!J6,'📝 Four-tier กรอก'!K43="Y"),"❌ Misc.",IF(AND('📝 Four-tier กรอก'!H43&lt;&gt;'📝 Four-tier กรอก'!H6,'📝 Four-tier กรอก'!I43="N",'📝 Four-tier กรอก'!J43&lt;&gt;'📝 Four-tier กรอก'!J6,'📝 Four-tier กรอก'!K43="N"),"❓ NoK","🤔 Partial")))))</f>
        <v/>
      </c>
      <c r="F41" s="67">
        <f>IF(OR('📝 Four-tier กรอก'!L43="",'📝 Four-tier กรอก'!N43=""),"—",IF(AND('📝 Four-tier กรอก'!L43='📝 Four-tier กรอก'!L6,'📝 Four-tier กรอก'!M43="Y",'📝 Four-tier กรอก'!N43='📝 Four-tier กรอก'!N6,'📝 Four-tier กรอก'!O43="Y"),"✅ Sound",IF(AND('📝 Four-tier กรอก'!L43='📝 Four-tier กรอก'!L6,'📝 Four-tier กรอก'!M43="Y",'📝 Four-tier กรอก'!N43&lt;&gt;'📝 Four-tier กรอก'!N6,'📝 Four-tier กรอก'!O43="Y"),"🎲 Guess",IF(AND('📝 Four-tier กรอก'!L43&lt;&gt;'📝 Four-tier กรอก'!L6,'📝 Four-tier กรอก'!M43="Y",'📝 Four-tier กรอก'!N43&lt;&gt;'📝 Four-tier กรอก'!N6,'📝 Four-tier กรอก'!O43="Y"),"❌ Misc.",IF(AND('📝 Four-tier กรอก'!L43&lt;&gt;'📝 Four-tier กรอก'!L6,'📝 Four-tier กรอก'!M43="N",'📝 Four-tier กรอก'!N43&lt;&gt;'📝 Four-tier กรอก'!N6,'📝 Four-tier กรอก'!O43="N"),"❓ NoK","🤔 Partial")))))</f>
        <v/>
      </c>
      <c r="G41" s="67">
        <f>IF(OR('📝 Four-tier กรอก'!P43="",'📝 Four-tier กรอก'!R43=""),"—",IF(AND('📝 Four-tier กรอก'!P43='📝 Four-tier กรอก'!P6,'📝 Four-tier กรอก'!Q43="Y",'📝 Four-tier กรอก'!R43='📝 Four-tier กรอก'!R6,'📝 Four-tier กรอก'!S43="Y"),"✅ Sound",IF(AND('📝 Four-tier กรอก'!P43='📝 Four-tier กรอก'!P6,'📝 Four-tier กรอก'!Q43="Y",'📝 Four-tier กรอก'!R43&lt;&gt;'📝 Four-tier กรอก'!R6,'📝 Four-tier กรอก'!S43="Y"),"🎲 Guess",IF(AND('📝 Four-tier กรอก'!P43&lt;&gt;'📝 Four-tier กรอก'!P6,'📝 Four-tier กรอก'!Q43="Y",'📝 Four-tier กรอก'!R43&lt;&gt;'📝 Four-tier กรอก'!R6,'📝 Four-tier กรอก'!S43="Y"),"❌ Misc.",IF(AND('📝 Four-tier กรอก'!P43&lt;&gt;'📝 Four-tier กรอก'!P6,'📝 Four-tier กรอก'!Q43="N",'📝 Four-tier กรอก'!R43&lt;&gt;'📝 Four-tier กรอก'!R6,'📝 Four-tier กรอก'!S43="N"),"❓ NoK","🤔 Partial")))))</f>
        <v/>
      </c>
      <c r="H41" s="67">
        <f>IF(OR('📝 Four-tier กรอก'!T43="",'📝 Four-tier กรอก'!V43=""),"—",IF(AND('📝 Four-tier กรอก'!T43='📝 Four-tier กรอก'!T6,'📝 Four-tier กรอก'!U43="Y",'📝 Four-tier กรอก'!V43='📝 Four-tier กรอก'!V6,'📝 Four-tier กรอก'!W43="Y"),"✅ Sound",IF(AND('📝 Four-tier กรอก'!T43='📝 Four-tier กรอก'!T6,'📝 Four-tier กรอก'!U43="Y",'📝 Four-tier กรอก'!V43&lt;&gt;'📝 Four-tier กรอก'!V6,'📝 Four-tier กรอก'!W43="Y"),"🎲 Guess",IF(AND('📝 Four-tier กรอก'!T43&lt;&gt;'📝 Four-tier กรอก'!T6,'📝 Four-tier กรอก'!U43="Y",'📝 Four-tier กรอก'!V43&lt;&gt;'📝 Four-tier กรอก'!V6,'📝 Four-tier กรอก'!W43="Y"),"❌ Misc.",IF(AND('📝 Four-tier กรอก'!T43&lt;&gt;'📝 Four-tier กรอก'!T6,'📝 Four-tier กรอก'!U43="N",'📝 Four-tier กรอก'!V43&lt;&gt;'📝 Four-tier กรอก'!V6,'📝 Four-tier กรอก'!W43="N"),"❓ NoK","🤔 Partial")))))</f>
        <v/>
      </c>
      <c r="I41" s="67">
        <f>IF(OR('📝 Four-tier กรอก'!X43="",'📝 Four-tier กรอก'!Z43=""),"—",IF(AND('📝 Four-tier กรอก'!X43='📝 Four-tier กรอก'!X6,'📝 Four-tier กรอก'!Y43="Y",'📝 Four-tier กรอก'!Z43='📝 Four-tier กรอก'!Z6,'📝 Four-tier กรอก'!AA43="Y"),"✅ Sound",IF(AND('📝 Four-tier กรอก'!X43='📝 Four-tier กรอก'!X6,'📝 Four-tier กรอก'!Y43="Y",'📝 Four-tier กรอก'!Z43&lt;&gt;'📝 Four-tier กรอก'!Z6,'📝 Four-tier กรอก'!AA43="Y"),"🎲 Guess",IF(AND('📝 Four-tier กรอก'!X43&lt;&gt;'📝 Four-tier กรอก'!X6,'📝 Four-tier กรอก'!Y43="Y",'📝 Four-tier กรอก'!Z43&lt;&gt;'📝 Four-tier กรอก'!Z6,'📝 Four-tier กรอก'!AA43="Y"),"❌ Misc.",IF(AND('📝 Four-tier กรอก'!X43&lt;&gt;'📝 Four-tier กรอก'!X6,'📝 Four-tier กรอก'!Y43="N",'📝 Four-tier กรอก'!Z43&lt;&gt;'📝 Four-tier กรอก'!Z6,'📝 Four-tier กรอก'!AA43="N"),"❓ NoK","🤔 Partial")))))</f>
        <v/>
      </c>
      <c r="J41" s="67">
        <f>IF(OR('📝 Four-tier กรอก'!AB43="",'📝 Four-tier กรอก'!AD43=""),"—",IF(AND('📝 Four-tier กรอก'!AB43='📝 Four-tier กรอก'!AB6,'📝 Four-tier กรอก'!AC43="Y",'📝 Four-tier กรอก'!AD43='📝 Four-tier กรอก'!AD6,'📝 Four-tier กรอก'!AE43="Y"),"✅ Sound",IF(AND('📝 Four-tier กรอก'!AB43='📝 Four-tier กรอก'!AB6,'📝 Four-tier กรอก'!AC43="Y",'📝 Four-tier กรอก'!AD43&lt;&gt;'📝 Four-tier กรอก'!AD6,'📝 Four-tier กรอก'!AE43="Y"),"🎲 Guess",IF(AND('📝 Four-tier กรอก'!AB43&lt;&gt;'📝 Four-tier กรอก'!AB6,'📝 Four-tier กรอก'!AC43="Y",'📝 Four-tier กรอก'!AD43&lt;&gt;'📝 Four-tier กรอก'!AD6,'📝 Four-tier กรอก'!AE43="Y"),"❌ Misc.",IF(AND('📝 Four-tier กรอก'!AB43&lt;&gt;'📝 Four-tier กรอก'!AB6,'📝 Four-tier กรอก'!AC43="N",'📝 Four-tier กรอก'!AD43&lt;&gt;'📝 Four-tier กรอก'!AD6,'📝 Four-tier กรอก'!AE43="N"),"❓ NoK","🤔 Partial")))))</f>
        <v/>
      </c>
      <c r="K41" s="67">
        <f>IF(OR('📝 Four-tier กรอก'!AF43="",'📝 Four-tier กรอก'!AH43=""),"—",IF(AND('📝 Four-tier กรอก'!AF43='📝 Four-tier กรอก'!AF6,'📝 Four-tier กรอก'!AG43="Y",'📝 Four-tier กรอก'!AH43='📝 Four-tier กรอก'!AH6,'📝 Four-tier กรอก'!AI43="Y"),"✅ Sound",IF(AND('📝 Four-tier กรอก'!AF43='📝 Four-tier กรอก'!AF6,'📝 Four-tier กรอก'!AG43="Y",'📝 Four-tier กรอก'!AH43&lt;&gt;'📝 Four-tier กรอก'!AH6,'📝 Four-tier กรอก'!AI43="Y"),"🎲 Guess",IF(AND('📝 Four-tier กรอก'!AF43&lt;&gt;'📝 Four-tier กรอก'!AF6,'📝 Four-tier กรอก'!AG43="Y",'📝 Four-tier กรอก'!AH43&lt;&gt;'📝 Four-tier กรอก'!AH6,'📝 Four-tier กรอก'!AI43="Y"),"❌ Misc.",IF(AND('📝 Four-tier กรอก'!AF43&lt;&gt;'📝 Four-tier กรอก'!AF6,'📝 Four-tier กรอก'!AG43="N",'📝 Four-tier กรอก'!AH43&lt;&gt;'📝 Four-tier กรอก'!AH6,'📝 Four-tier กรอก'!AI43="N"),"❓ NoK","🤔 Partial")))))</f>
        <v/>
      </c>
      <c r="L41" s="67">
        <f>IF(OR('📝 Four-tier กรอก'!AJ43="",'📝 Four-tier กรอก'!AL43=""),"—",IF(AND('📝 Four-tier กรอก'!AJ43='📝 Four-tier กรอก'!AJ6,'📝 Four-tier กรอก'!AK43="Y",'📝 Four-tier กรอก'!AL43='📝 Four-tier กรอก'!AL6,'📝 Four-tier กรอก'!AM43="Y"),"✅ Sound",IF(AND('📝 Four-tier กรอก'!AJ43='📝 Four-tier กรอก'!AJ6,'📝 Four-tier กรอก'!AK43="Y",'📝 Four-tier กรอก'!AL43&lt;&gt;'📝 Four-tier กรอก'!AL6,'📝 Four-tier กรอก'!AM43="Y"),"🎲 Guess",IF(AND('📝 Four-tier กรอก'!AJ43&lt;&gt;'📝 Four-tier กรอก'!AJ6,'📝 Four-tier กรอก'!AK43="Y",'📝 Four-tier กรอก'!AL43&lt;&gt;'📝 Four-tier กรอก'!AL6,'📝 Four-tier กรอก'!AM43="Y"),"❌ Misc.",IF(AND('📝 Four-tier กรอก'!AJ43&lt;&gt;'📝 Four-tier กรอก'!AJ6,'📝 Four-tier กรอก'!AK43="N",'📝 Four-tier กรอก'!AL43&lt;&gt;'📝 Four-tier กรอก'!AL6,'📝 Four-tier กรอก'!AM43="N"),"❓ NoK","🤔 Partial")))))</f>
        <v/>
      </c>
      <c r="M41" s="67">
        <f>IF(OR('📝 Four-tier กรอก'!AN43="",'📝 Four-tier กรอก'!AP43=""),"—",IF(AND('📝 Four-tier กรอก'!AN43='📝 Four-tier กรอก'!AN6,'📝 Four-tier กรอก'!AO43="Y",'📝 Four-tier กรอก'!AP43='📝 Four-tier กรอก'!AP6,'📝 Four-tier กรอก'!AQ43="Y"),"✅ Sound",IF(AND('📝 Four-tier กรอก'!AN43='📝 Four-tier กรอก'!AN6,'📝 Four-tier กรอก'!AO43="Y",'📝 Four-tier กรอก'!AP43&lt;&gt;'📝 Four-tier กรอก'!AP6,'📝 Four-tier กรอก'!AQ43="Y"),"🎲 Guess",IF(AND('📝 Four-tier กรอก'!AN43&lt;&gt;'📝 Four-tier กรอก'!AN6,'📝 Four-tier กรอก'!AO43="Y",'📝 Four-tier กรอก'!AP43&lt;&gt;'📝 Four-tier กรอก'!AP6,'📝 Four-tier กรอก'!AQ43="Y"),"❌ Misc.",IF(AND('📝 Four-tier กรอก'!AN43&lt;&gt;'📝 Four-tier กรอก'!AN6,'📝 Four-tier กรอก'!AO43="N",'📝 Four-tier กรอก'!AP43&lt;&gt;'📝 Four-tier กรอก'!AP6,'📝 Four-tier กรอก'!AQ43="N"),"❓ NoK","🤔 Partial")))))</f>
        <v/>
      </c>
      <c r="N41" s="67">
        <f>IF(OR('📝 Four-tier กรอก'!AR43="",'📝 Four-tier กรอก'!AT43=""),"—",IF(AND('📝 Four-tier กรอก'!AR43='📝 Four-tier กรอก'!AR6,'📝 Four-tier กรอก'!AS43="Y",'📝 Four-tier กรอก'!AT43='📝 Four-tier กรอก'!AT6,'📝 Four-tier กรอก'!AU43="Y"),"✅ Sound",IF(AND('📝 Four-tier กรอก'!AR43='📝 Four-tier กรอก'!AR6,'📝 Four-tier กรอก'!AS43="Y",'📝 Four-tier กรอก'!AT43&lt;&gt;'📝 Four-tier กรอก'!AT6,'📝 Four-tier กรอก'!AU43="Y"),"🎲 Guess",IF(AND('📝 Four-tier กรอก'!AR43&lt;&gt;'📝 Four-tier กรอก'!AR6,'📝 Four-tier กรอก'!AS43="Y",'📝 Four-tier กรอก'!AT43&lt;&gt;'📝 Four-tier กรอก'!AT6,'📝 Four-tier กรอก'!AU43="Y"),"❌ Misc.",IF(AND('📝 Four-tier กรอก'!AR43&lt;&gt;'📝 Four-tier กรอก'!AR6,'📝 Four-tier กรอก'!AS43="N",'📝 Four-tier กรอก'!AT43&lt;&gt;'📝 Four-tier กรอก'!AT6,'📝 Four-tier กรอก'!AU43="N"),"❓ NoK","🤔 Partial")))))</f>
        <v/>
      </c>
      <c r="O41" s="67">
        <f>IF(OR('📝 Four-tier กรอก'!AV43="",'📝 Four-tier กรอก'!AX43=""),"—",IF(AND('📝 Four-tier กรอก'!AV43='📝 Four-tier กรอก'!AV6,'📝 Four-tier กรอก'!AW43="Y",'📝 Four-tier กรอก'!AX43='📝 Four-tier กรอก'!AX6,'📝 Four-tier กรอก'!AY43="Y"),"✅ Sound",IF(AND('📝 Four-tier กรอก'!AV43='📝 Four-tier กรอก'!AV6,'📝 Four-tier กรอก'!AW43="Y",'📝 Four-tier กรอก'!AX43&lt;&gt;'📝 Four-tier กรอก'!AX6,'📝 Four-tier กรอก'!AY43="Y"),"🎲 Guess",IF(AND('📝 Four-tier กรอก'!AV43&lt;&gt;'📝 Four-tier กรอก'!AV6,'📝 Four-tier กรอก'!AW43="Y",'📝 Four-tier กรอก'!AX43&lt;&gt;'📝 Four-tier กรอก'!AX6,'📝 Four-tier กรอก'!AY43="Y"),"❌ Misc.",IF(AND('📝 Four-tier กรอก'!AV43&lt;&gt;'📝 Four-tier กรอก'!AV6,'📝 Four-tier กรอก'!AW43="N",'📝 Four-tier กรอก'!AX43&lt;&gt;'📝 Four-tier กรอก'!AX6,'📝 Four-tier กรอก'!AY43="N"),"❓ NoK","🤔 Partial")))))</f>
        <v/>
      </c>
      <c r="P41" s="67">
        <f>IF(OR('📝 Four-tier กรอก'!AZ43="",'📝 Four-tier กรอก'!BB43=""),"—",IF(AND('📝 Four-tier กรอก'!AZ43='📝 Four-tier กรอก'!AZ6,'📝 Four-tier กรอก'!BA43="Y",'📝 Four-tier กรอก'!BB43='📝 Four-tier กรอก'!BB6,'📝 Four-tier กรอก'!BC43="Y"),"✅ Sound",IF(AND('📝 Four-tier กรอก'!AZ43='📝 Four-tier กรอก'!AZ6,'📝 Four-tier กรอก'!BA43="Y",'📝 Four-tier กรอก'!BB43&lt;&gt;'📝 Four-tier กรอก'!BB6,'📝 Four-tier กรอก'!BC43="Y"),"🎲 Guess",IF(AND('📝 Four-tier กรอก'!AZ43&lt;&gt;'📝 Four-tier กรอก'!AZ6,'📝 Four-tier กรอก'!BA43="Y",'📝 Four-tier กรอก'!BB43&lt;&gt;'📝 Four-tier กรอก'!BB6,'📝 Four-tier กรอก'!BC43="Y"),"❌ Misc.",IF(AND('📝 Four-tier กรอก'!AZ43&lt;&gt;'📝 Four-tier กรอก'!AZ6,'📝 Four-tier กรอก'!BA43="N",'📝 Four-tier กรอก'!BB43&lt;&gt;'📝 Four-tier กรอก'!BB6,'📝 Four-tier กรอก'!BC43="N"),"❓ NoK","🤔 Partial")))))</f>
        <v/>
      </c>
      <c r="Q41" s="67">
        <f>IF(OR('📝 Four-tier กรอก'!BD43="",'📝 Four-tier กรอก'!BF43=""),"—",IF(AND('📝 Four-tier กรอก'!BD43='📝 Four-tier กรอก'!BD6,'📝 Four-tier กรอก'!BE43="Y",'📝 Four-tier กรอก'!BF43='📝 Four-tier กรอก'!BF6,'📝 Four-tier กรอก'!BG43="Y"),"✅ Sound",IF(AND('📝 Four-tier กรอก'!BD43='📝 Four-tier กรอก'!BD6,'📝 Four-tier กรอก'!BE43="Y",'📝 Four-tier กรอก'!BF43&lt;&gt;'📝 Four-tier กรอก'!BF6,'📝 Four-tier กรอก'!BG43="Y"),"🎲 Guess",IF(AND('📝 Four-tier กรอก'!BD43&lt;&gt;'📝 Four-tier กรอก'!BD6,'📝 Four-tier กรอก'!BE43="Y",'📝 Four-tier กรอก'!BF43&lt;&gt;'📝 Four-tier กรอก'!BF6,'📝 Four-tier กรอก'!BG43="Y"),"❌ Misc.",IF(AND('📝 Four-tier กรอก'!BD43&lt;&gt;'📝 Four-tier กรอก'!BD6,'📝 Four-tier กรอก'!BE43="N",'📝 Four-tier กรอก'!BF43&lt;&gt;'📝 Four-tier กรอก'!BF6,'📝 Four-tier กรอก'!BG43="N"),"❓ NoK","🤔 Partial")))))</f>
        <v/>
      </c>
      <c r="R41" s="67">
        <f>IF(OR('📝 Four-tier กรอก'!BH43="",'📝 Four-tier กรอก'!BJ43=""),"—",IF(AND('📝 Four-tier กรอก'!BH43='📝 Four-tier กรอก'!BH6,'📝 Four-tier กรอก'!BI43="Y",'📝 Four-tier กรอก'!BJ43='📝 Four-tier กรอก'!BJ6,'📝 Four-tier กรอก'!BK43="Y"),"✅ Sound",IF(AND('📝 Four-tier กรอก'!BH43='📝 Four-tier กรอก'!BH6,'📝 Four-tier กรอก'!BI43="Y",'📝 Four-tier กรอก'!BJ43&lt;&gt;'📝 Four-tier กรอก'!BJ6,'📝 Four-tier กรอก'!BK43="Y"),"🎲 Guess",IF(AND('📝 Four-tier กรอก'!BH43&lt;&gt;'📝 Four-tier กรอก'!BH6,'📝 Four-tier กรอก'!BI43="Y",'📝 Four-tier กรอก'!BJ43&lt;&gt;'📝 Four-tier กรอก'!BJ6,'📝 Four-tier กรอก'!BK43="Y"),"❌ Misc.",IF(AND('📝 Four-tier กรอก'!BH43&lt;&gt;'📝 Four-tier กรอก'!BH6,'📝 Four-tier กรอก'!BI43="N",'📝 Four-tier กรอก'!BJ43&lt;&gt;'📝 Four-tier กรอก'!BJ6,'📝 Four-tier กรอก'!BK43="N"),"❓ NoK","🤔 Partial")))))</f>
        <v/>
      </c>
      <c r="S41" s="67">
        <f>IF(OR('📝 Four-tier กรอก'!BL43="",'📝 Four-tier กรอก'!BN43=""),"—",IF(AND('📝 Four-tier กรอก'!BL43='📝 Four-tier กรอก'!BL6,'📝 Four-tier กรอก'!BM43="Y",'📝 Four-tier กรอก'!BN43='📝 Four-tier กรอก'!BN6,'📝 Four-tier กรอก'!BO43="Y"),"✅ Sound",IF(AND('📝 Four-tier กรอก'!BL43='📝 Four-tier กรอก'!BL6,'📝 Four-tier กรอก'!BM43="Y",'📝 Four-tier กรอก'!BN43&lt;&gt;'📝 Four-tier กรอก'!BN6,'📝 Four-tier กรอก'!BO43="Y"),"🎲 Guess",IF(AND('📝 Four-tier กรอก'!BL43&lt;&gt;'📝 Four-tier กรอก'!BL6,'📝 Four-tier กรอก'!BM43="Y",'📝 Four-tier กรอก'!BN43&lt;&gt;'📝 Four-tier กรอก'!BN6,'📝 Four-tier กรอก'!BO43="Y"),"❌ Misc.",IF(AND('📝 Four-tier กรอก'!BL43&lt;&gt;'📝 Four-tier กรอก'!BL6,'📝 Four-tier กรอก'!BM43="N",'📝 Four-tier กรอก'!BN43&lt;&gt;'📝 Four-tier กรอก'!BN6,'📝 Four-tier กรอก'!BO43="N"),"❓ NoK","🤔 Partial")))))</f>
        <v/>
      </c>
      <c r="T41" s="67">
        <f>IF(OR('📝 Four-tier กรอก'!BP43="",'📝 Four-tier กรอก'!BR43=""),"—",IF(AND('📝 Four-tier กรอก'!BP43='📝 Four-tier กรอก'!BP6,'📝 Four-tier กรอก'!BQ43="Y",'📝 Four-tier กรอก'!BR43='📝 Four-tier กรอก'!BR6,'📝 Four-tier กรอก'!BS43="Y"),"✅ Sound",IF(AND('📝 Four-tier กรอก'!BP43='📝 Four-tier กรอก'!BP6,'📝 Four-tier กรอก'!BQ43="Y",'📝 Four-tier กรอก'!BR43&lt;&gt;'📝 Four-tier กรอก'!BR6,'📝 Four-tier กรอก'!BS43="Y"),"🎲 Guess",IF(AND('📝 Four-tier กรอก'!BP43&lt;&gt;'📝 Four-tier กรอก'!BP6,'📝 Four-tier กรอก'!BQ43="Y",'📝 Four-tier กรอก'!BR43&lt;&gt;'📝 Four-tier กรอก'!BR6,'📝 Four-tier กรอก'!BS43="Y"),"❌ Misc.",IF(AND('📝 Four-tier กรอก'!BP43&lt;&gt;'📝 Four-tier กรอก'!BP6,'📝 Four-tier กรอก'!BQ43="N",'📝 Four-tier กรอก'!BR43&lt;&gt;'📝 Four-tier กรอก'!BR6,'📝 Four-tier กรอก'!BS43="N"),"❓ NoK","🤔 Partial")))))</f>
        <v/>
      </c>
      <c r="U41" s="67">
        <f>IF(OR('📝 Four-tier กรอก'!BT43="",'📝 Four-tier กรอก'!BV43=""),"—",IF(AND('📝 Four-tier กรอก'!BT43='📝 Four-tier กรอก'!BT6,'📝 Four-tier กรอก'!BU43="Y",'📝 Four-tier กรอก'!BV43='📝 Four-tier กรอก'!BV6,'📝 Four-tier กรอก'!BW43="Y"),"✅ Sound",IF(AND('📝 Four-tier กรอก'!BT43='📝 Four-tier กรอก'!BT6,'📝 Four-tier กรอก'!BU43="Y",'📝 Four-tier กรอก'!BV43&lt;&gt;'📝 Four-tier กรอก'!BV6,'📝 Four-tier กรอก'!BW43="Y"),"🎲 Guess",IF(AND('📝 Four-tier กรอก'!BT43&lt;&gt;'📝 Four-tier กรอก'!BT6,'📝 Four-tier กรอก'!BU43="Y",'📝 Four-tier กรอก'!BV43&lt;&gt;'📝 Four-tier กรอก'!BV6,'📝 Four-tier กรอก'!BW43="Y"),"❌ Misc.",IF(AND('📝 Four-tier กรอก'!BT43&lt;&gt;'📝 Four-tier กรอก'!BT6,'📝 Four-tier กรอก'!BU43="N",'📝 Four-tier กรอก'!BV43&lt;&gt;'📝 Four-tier กรอก'!BV6,'📝 Four-tier กรอก'!BW43="N"),"❓ NoK","🤔 Partial")))))</f>
        <v/>
      </c>
      <c r="V41" s="67">
        <f>IF(OR('📝 Four-tier กรอก'!BX43="",'📝 Four-tier กรอก'!BZ43=""),"—",IF(AND('📝 Four-tier กรอก'!BX43='📝 Four-tier กรอก'!BX6,'📝 Four-tier กรอก'!BY43="Y",'📝 Four-tier กรอก'!BZ43='📝 Four-tier กรอก'!BZ6,'📝 Four-tier กรอก'!CA43="Y"),"✅ Sound",IF(AND('📝 Four-tier กรอก'!BX43='📝 Four-tier กรอก'!BX6,'📝 Four-tier กรอก'!BY43="Y",'📝 Four-tier กรอก'!BZ43&lt;&gt;'📝 Four-tier กรอก'!BZ6,'📝 Four-tier กรอก'!CA43="Y"),"🎲 Guess",IF(AND('📝 Four-tier กรอก'!BX43&lt;&gt;'📝 Four-tier กรอก'!BX6,'📝 Four-tier กรอก'!BY43="Y",'📝 Four-tier กรอก'!BZ43&lt;&gt;'📝 Four-tier กรอก'!BZ6,'📝 Four-tier กรอก'!CA43="Y"),"❌ Misc.",IF(AND('📝 Four-tier กรอก'!BX43&lt;&gt;'📝 Four-tier กรอก'!BX6,'📝 Four-tier กรอก'!BY43="N",'📝 Four-tier กรอก'!BZ43&lt;&gt;'📝 Four-tier กรอก'!BZ6,'📝 Four-tier กรอก'!CA43="N"),"❓ NoK","🤔 Partial")))))</f>
        <v/>
      </c>
      <c r="W41" s="67">
        <f>IF(OR('📝 Four-tier กรอก'!CB43="",'📝 Four-tier กรอก'!CD43=""),"—",IF(AND('📝 Four-tier กรอก'!CB43='📝 Four-tier กรอก'!CB6,'📝 Four-tier กรอก'!CC43="Y",'📝 Four-tier กรอก'!CD43='📝 Four-tier กรอก'!CD6,'📝 Four-tier กรอก'!CE43="Y"),"✅ Sound",IF(AND('📝 Four-tier กรอก'!CB43='📝 Four-tier กรอก'!CB6,'📝 Four-tier กรอก'!CC43="Y",'📝 Four-tier กรอก'!CD43&lt;&gt;'📝 Four-tier กรอก'!CD6,'📝 Four-tier กรอก'!CE43="Y"),"🎲 Guess",IF(AND('📝 Four-tier กรอก'!CB43&lt;&gt;'📝 Four-tier กรอก'!CB6,'📝 Four-tier กรอก'!CC43="Y",'📝 Four-tier กรอก'!CD43&lt;&gt;'📝 Four-tier กรอก'!CD6,'📝 Four-tier กรอก'!CE43="Y"),"❌ Misc.",IF(AND('📝 Four-tier กรอก'!CB43&lt;&gt;'📝 Four-tier กรอก'!CB6,'📝 Four-tier กรอก'!CC43="N",'📝 Four-tier กรอก'!CD43&lt;&gt;'📝 Four-tier กรอก'!CD6,'📝 Four-tier กรอก'!CE43="N"),"❓ NoK","🤔 Partial")))))</f>
        <v/>
      </c>
      <c r="X41" s="37">
        <f>COUNTIF(D41:W41,"✅ Sound")</f>
        <v/>
      </c>
      <c r="Y41" s="37">
        <f>COUNTIF(D41:W41,"❌ Misc.")</f>
        <v/>
      </c>
      <c r="Z41" s="37">
        <f>COUNTIF(D41:W41,"🎲 Guess")</f>
        <v/>
      </c>
      <c r="AA41" s="37">
        <f>COUNTIF(D41:W41,"❓ NoK")</f>
        <v/>
      </c>
    </row>
    <row r="42" ht="18" customHeight="1">
      <c r="B42" s="46">
        <f>'📝 Four-tier กรอก'!B44</f>
        <v/>
      </c>
      <c r="C42" s="51">
        <f>'📝 Four-tier กรอก'!C44</f>
        <v/>
      </c>
      <c r="D42" s="68">
        <f>IF(OR('📝 Four-tier กรอก'!D44="",'📝 Four-tier กรอก'!F44=""),"—",IF(AND('📝 Four-tier กรอก'!D44='📝 Four-tier กรอก'!D6,'📝 Four-tier กรอก'!E44="Y",'📝 Four-tier กรอก'!F44='📝 Four-tier กรอก'!F6,'📝 Four-tier กรอก'!G44="Y"),"✅ Sound",IF(AND('📝 Four-tier กรอก'!D44='📝 Four-tier กรอก'!D6,'📝 Four-tier กรอก'!E44="Y",'📝 Four-tier กรอก'!F44&lt;&gt;'📝 Four-tier กรอก'!F6,'📝 Four-tier กรอก'!G44="Y"),"🎲 Guess",IF(AND('📝 Four-tier กรอก'!D44&lt;&gt;'📝 Four-tier กรอก'!D6,'📝 Four-tier กรอก'!E44="Y",'📝 Four-tier กรอก'!F44&lt;&gt;'📝 Four-tier กรอก'!F6,'📝 Four-tier กรอก'!G44="Y"),"❌ Misc.",IF(AND('📝 Four-tier กรอก'!D44&lt;&gt;'📝 Four-tier กรอก'!D6,'📝 Four-tier กรอก'!E44="N",'📝 Four-tier กรอก'!F44&lt;&gt;'📝 Four-tier กรอก'!F6,'📝 Four-tier กรอก'!G44="N"),"❓ NoK","🤔 Partial")))))</f>
        <v/>
      </c>
      <c r="E42" s="68">
        <f>IF(OR('📝 Four-tier กรอก'!H44="",'📝 Four-tier กรอก'!J44=""),"—",IF(AND('📝 Four-tier กรอก'!H44='📝 Four-tier กรอก'!H6,'📝 Four-tier กรอก'!I44="Y",'📝 Four-tier กรอก'!J44='📝 Four-tier กรอก'!J6,'📝 Four-tier กรอก'!K44="Y"),"✅ Sound",IF(AND('📝 Four-tier กรอก'!H44='📝 Four-tier กรอก'!H6,'📝 Four-tier กรอก'!I44="Y",'📝 Four-tier กรอก'!J44&lt;&gt;'📝 Four-tier กรอก'!J6,'📝 Four-tier กรอก'!K44="Y"),"🎲 Guess",IF(AND('📝 Four-tier กรอก'!H44&lt;&gt;'📝 Four-tier กรอก'!H6,'📝 Four-tier กรอก'!I44="Y",'📝 Four-tier กรอก'!J44&lt;&gt;'📝 Four-tier กรอก'!J6,'📝 Four-tier กรอก'!K44="Y"),"❌ Misc.",IF(AND('📝 Four-tier กรอก'!H44&lt;&gt;'📝 Four-tier กรอก'!H6,'📝 Four-tier กรอก'!I44="N",'📝 Four-tier กรอก'!J44&lt;&gt;'📝 Four-tier กรอก'!J6,'📝 Four-tier กรอก'!K44="N"),"❓ NoK","🤔 Partial")))))</f>
        <v/>
      </c>
      <c r="F42" s="68">
        <f>IF(OR('📝 Four-tier กรอก'!L44="",'📝 Four-tier กรอก'!N44=""),"—",IF(AND('📝 Four-tier กรอก'!L44='📝 Four-tier กรอก'!L6,'📝 Four-tier กรอก'!M44="Y",'📝 Four-tier กรอก'!N44='📝 Four-tier กรอก'!N6,'📝 Four-tier กรอก'!O44="Y"),"✅ Sound",IF(AND('📝 Four-tier กรอก'!L44='📝 Four-tier กรอก'!L6,'📝 Four-tier กรอก'!M44="Y",'📝 Four-tier กรอก'!N44&lt;&gt;'📝 Four-tier กรอก'!N6,'📝 Four-tier กรอก'!O44="Y"),"🎲 Guess",IF(AND('📝 Four-tier กรอก'!L44&lt;&gt;'📝 Four-tier กรอก'!L6,'📝 Four-tier กรอก'!M44="Y",'📝 Four-tier กรอก'!N44&lt;&gt;'📝 Four-tier กรอก'!N6,'📝 Four-tier กรอก'!O44="Y"),"❌ Misc.",IF(AND('📝 Four-tier กรอก'!L44&lt;&gt;'📝 Four-tier กรอก'!L6,'📝 Four-tier กรอก'!M44="N",'📝 Four-tier กรอก'!N44&lt;&gt;'📝 Four-tier กรอก'!N6,'📝 Four-tier กรอก'!O44="N"),"❓ NoK","🤔 Partial")))))</f>
        <v/>
      </c>
      <c r="G42" s="68">
        <f>IF(OR('📝 Four-tier กรอก'!P44="",'📝 Four-tier กรอก'!R44=""),"—",IF(AND('📝 Four-tier กรอก'!P44='📝 Four-tier กรอก'!P6,'📝 Four-tier กรอก'!Q44="Y",'📝 Four-tier กรอก'!R44='📝 Four-tier กรอก'!R6,'📝 Four-tier กรอก'!S44="Y"),"✅ Sound",IF(AND('📝 Four-tier กรอก'!P44='📝 Four-tier กรอก'!P6,'📝 Four-tier กรอก'!Q44="Y",'📝 Four-tier กรอก'!R44&lt;&gt;'📝 Four-tier กรอก'!R6,'📝 Four-tier กรอก'!S44="Y"),"🎲 Guess",IF(AND('📝 Four-tier กรอก'!P44&lt;&gt;'📝 Four-tier กรอก'!P6,'📝 Four-tier กรอก'!Q44="Y",'📝 Four-tier กรอก'!R44&lt;&gt;'📝 Four-tier กรอก'!R6,'📝 Four-tier กรอก'!S44="Y"),"❌ Misc.",IF(AND('📝 Four-tier กรอก'!P44&lt;&gt;'📝 Four-tier กรอก'!P6,'📝 Four-tier กรอก'!Q44="N",'📝 Four-tier กรอก'!R44&lt;&gt;'📝 Four-tier กรอก'!R6,'📝 Four-tier กรอก'!S44="N"),"❓ NoK","🤔 Partial")))))</f>
        <v/>
      </c>
      <c r="H42" s="68">
        <f>IF(OR('📝 Four-tier กรอก'!T44="",'📝 Four-tier กรอก'!V44=""),"—",IF(AND('📝 Four-tier กรอก'!T44='📝 Four-tier กรอก'!T6,'📝 Four-tier กรอก'!U44="Y",'📝 Four-tier กรอก'!V44='📝 Four-tier กรอก'!V6,'📝 Four-tier กรอก'!W44="Y"),"✅ Sound",IF(AND('📝 Four-tier กรอก'!T44='📝 Four-tier กรอก'!T6,'📝 Four-tier กรอก'!U44="Y",'📝 Four-tier กรอก'!V44&lt;&gt;'📝 Four-tier กรอก'!V6,'📝 Four-tier กรอก'!W44="Y"),"🎲 Guess",IF(AND('📝 Four-tier กรอก'!T44&lt;&gt;'📝 Four-tier กรอก'!T6,'📝 Four-tier กรอก'!U44="Y",'📝 Four-tier กรอก'!V44&lt;&gt;'📝 Four-tier กรอก'!V6,'📝 Four-tier กรอก'!W44="Y"),"❌ Misc.",IF(AND('📝 Four-tier กรอก'!T44&lt;&gt;'📝 Four-tier กรอก'!T6,'📝 Four-tier กรอก'!U44="N",'📝 Four-tier กรอก'!V44&lt;&gt;'📝 Four-tier กรอก'!V6,'📝 Four-tier กรอก'!W44="N"),"❓ NoK","🤔 Partial")))))</f>
        <v/>
      </c>
      <c r="I42" s="68">
        <f>IF(OR('📝 Four-tier กรอก'!X44="",'📝 Four-tier กรอก'!Z44=""),"—",IF(AND('📝 Four-tier กรอก'!X44='📝 Four-tier กรอก'!X6,'📝 Four-tier กรอก'!Y44="Y",'📝 Four-tier กรอก'!Z44='📝 Four-tier กรอก'!Z6,'📝 Four-tier กรอก'!AA44="Y"),"✅ Sound",IF(AND('📝 Four-tier กรอก'!X44='📝 Four-tier กรอก'!X6,'📝 Four-tier กรอก'!Y44="Y",'📝 Four-tier กรอก'!Z44&lt;&gt;'📝 Four-tier กรอก'!Z6,'📝 Four-tier กรอก'!AA44="Y"),"🎲 Guess",IF(AND('📝 Four-tier กรอก'!X44&lt;&gt;'📝 Four-tier กรอก'!X6,'📝 Four-tier กรอก'!Y44="Y",'📝 Four-tier กรอก'!Z44&lt;&gt;'📝 Four-tier กรอก'!Z6,'📝 Four-tier กรอก'!AA44="Y"),"❌ Misc.",IF(AND('📝 Four-tier กรอก'!X44&lt;&gt;'📝 Four-tier กรอก'!X6,'📝 Four-tier กรอก'!Y44="N",'📝 Four-tier กรอก'!Z44&lt;&gt;'📝 Four-tier กรอก'!Z6,'📝 Four-tier กรอก'!AA44="N"),"❓ NoK","🤔 Partial")))))</f>
        <v/>
      </c>
      <c r="J42" s="68">
        <f>IF(OR('📝 Four-tier กรอก'!AB44="",'📝 Four-tier กรอก'!AD44=""),"—",IF(AND('📝 Four-tier กรอก'!AB44='📝 Four-tier กรอก'!AB6,'📝 Four-tier กรอก'!AC44="Y",'📝 Four-tier กรอก'!AD44='📝 Four-tier กรอก'!AD6,'📝 Four-tier กรอก'!AE44="Y"),"✅ Sound",IF(AND('📝 Four-tier กรอก'!AB44='📝 Four-tier กรอก'!AB6,'📝 Four-tier กรอก'!AC44="Y",'📝 Four-tier กรอก'!AD44&lt;&gt;'📝 Four-tier กรอก'!AD6,'📝 Four-tier กรอก'!AE44="Y"),"🎲 Guess",IF(AND('📝 Four-tier กรอก'!AB44&lt;&gt;'📝 Four-tier กรอก'!AB6,'📝 Four-tier กรอก'!AC44="Y",'📝 Four-tier กรอก'!AD44&lt;&gt;'📝 Four-tier กรอก'!AD6,'📝 Four-tier กรอก'!AE44="Y"),"❌ Misc.",IF(AND('📝 Four-tier กรอก'!AB44&lt;&gt;'📝 Four-tier กรอก'!AB6,'📝 Four-tier กรอก'!AC44="N",'📝 Four-tier กรอก'!AD44&lt;&gt;'📝 Four-tier กรอก'!AD6,'📝 Four-tier กรอก'!AE44="N"),"❓ NoK","🤔 Partial")))))</f>
        <v/>
      </c>
      <c r="K42" s="68">
        <f>IF(OR('📝 Four-tier กรอก'!AF44="",'📝 Four-tier กรอก'!AH44=""),"—",IF(AND('📝 Four-tier กรอก'!AF44='📝 Four-tier กรอก'!AF6,'📝 Four-tier กรอก'!AG44="Y",'📝 Four-tier กรอก'!AH44='📝 Four-tier กรอก'!AH6,'📝 Four-tier กรอก'!AI44="Y"),"✅ Sound",IF(AND('📝 Four-tier กรอก'!AF44='📝 Four-tier กรอก'!AF6,'📝 Four-tier กรอก'!AG44="Y",'📝 Four-tier กรอก'!AH44&lt;&gt;'📝 Four-tier กรอก'!AH6,'📝 Four-tier กรอก'!AI44="Y"),"🎲 Guess",IF(AND('📝 Four-tier กรอก'!AF44&lt;&gt;'📝 Four-tier กรอก'!AF6,'📝 Four-tier กรอก'!AG44="Y",'📝 Four-tier กรอก'!AH44&lt;&gt;'📝 Four-tier กรอก'!AH6,'📝 Four-tier กรอก'!AI44="Y"),"❌ Misc.",IF(AND('📝 Four-tier กรอก'!AF44&lt;&gt;'📝 Four-tier กรอก'!AF6,'📝 Four-tier กรอก'!AG44="N",'📝 Four-tier กรอก'!AH44&lt;&gt;'📝 Four-tier กรอก'!AH6,'📝 Four-tier กรอก'!AI44="N"),"❓ NoK","🤔 Partial")))))</f>
        <v/>
      </c>
      <c r="L42" s="68">
        <f>IF(OR('📝 Four-tier กรอก'!AJ44="",'📝 Four-tier กรอก'!AL44=""),"—",IF(AND('📝 Four-tier กรอก'!AJ44='📝 Four-tier กรอก'!AJ6,'📝 Four-tier กรอก'!AK44="Y",'📝 Four-tier กรอก'!AL44='📝 Four-tier กรอก'!AL6,'📝 Four-tier กรอก'!AM44="Y"),"✅ Sound",IF(AND('📝 Four-tier กรอก'!AJ44='📝 Four-tier กรอก'!AJ6,'📝 Four-tier กรอก'!AK44="Y",'📝 Four-tier กรอก'!AL44&lt;&gt;'📝 Four-tier กรอก'!AL6,'📝 Four-tier กรอก'!AM44="Y"),"🎲 Guess",IF(AND('📝 Four-tier กรอก'!AJ44&lt;&gt;'📝 Four-tier กรอก'!AJ6,'📝 Four-tier กรอก'!AK44="Y",'📝 Four-tier กรอก'!AL44&lt;&gt;'📝 Four-tier กรอก'!AL6,'📝 Four-tier กรอก'!AM44="Y"),"❌ Misc.",IF(AND('📝 Four-tier กรอก'!AJ44&lt;&gt;'📝 Four-tier กรอก'!AJ6,'📝 Four-tier กรอก'!AK44="N",'📝 Four-tier กรอก'!AL44&lt;&gt;'📝 Four-tier กรอก'!AL6,'📝 Four-tier กรอก'!AM44="N"),"❓ NoK","🤔 Partial")))))</f>
        <v/>
      </c>
      <c r="M42" s="68">
        <f>IF(OR('📝 Four-tier กรอก'!AN44="",'📝 Four-tier กรอก'!AP44=""),"—",IF(AND('📝 Four-tier กรอก'!AN44='📝 Four-tier กรอก'!AN6,'📝 Four-tier กรอก'!AO44="Y",'📝 Four-tier กรอก'!AP44='📝 Four-tier กรอก'!AP6,'📝 Four-tier กรอก'!AQ44="Y"),"✅ Sound",IF(AND('📝 Four-tier กรอก'!AN44='📝 Four-tier กรอก'!AN6,'📝 Four-tier กรอก'!AO44="Y",'📝 Four-tier กรอก'!AP44&lt;&gt;'📝 Four-tier กรอก'!AP6,'📝 Four-tier กรอก'!AQ44="Y"),"🎲 Guess",IF(AND('📝 Four-tier กรอก'!AN44&lt;&gt;'📝 Four-tier กรอก'!AN6,'📝 Four-tier กรอก'!AO44="Y",'📝 Four-tier กรอก'!AP44&lt;&gt;'📝 Four-tier กรอก'!AP6,'📝 Four-tier กรอก'!AQ44="Y"),"❌ Misc.",IF(AND('📝 Four-tier กรอก'!AN44&lt;&gt;'📝 Four-tier กรอก'!AN6,'📝 Four-tier กรอก'!AO44="N",'📝 Four-tier กรอก'!AP44&lt;&gt;'📝 Four-tier กรอก'!AP6,'📝 Four-tier กรอก'!AQ44="N"),"❓ NoK","🤔 Partial")))))</f>
        <v/>
      </c>
      <c r="N42" s="68">
        <f>IF(OR('📝 Four-tier กรอก'!AR44="",'📝 Four-tier กรอก'!AT44=""),"—",IF(AND('📝 Four-tier กรอก'!AR44='📝 Four-tier กรอก'!AR6,'📝 Four-tier กรอก'!AS44="Y",'📝 Four-tier กรอก'!AT44='📝 Four-tier กรอก'!AT6,'📝 Four-tier กรอก'!AU44="Y"),"✅ Sound",IF(AND('📝 Four-tier กรอก'!AR44='📝 Four-tier กรอก'!AR6,'📝 Four-tier กรอก'!AS44="Y",'📝 Four-tier กรอก'!AT44&lt;&gt;'📝 Four-tier กรอก'!AT6,'📝 Four-tier กรอก'!AU44="Y"),"🎲 Guess",IF(AND('📝 Four-tier กรอก'!AR44&lt;&gt;'📝 Four-tier กรอก'!AR6,'📝 Four-tier กรอก'!AS44="Y",'📝 Four-tier กรอก'!AT44&lt;&gt;'📝 Four-tier กรอก'!AT6,'📝 Four-tier กรอก'!AU44="Y"),"❌ Misc.",IF(AND('📝 Four-tier กรอก'!AR44&lt;&gt;'📝 Four-tier กรอก'!AR6,'📝 Four-tier กรอก'!AS44="N",'📝 Four-tier กรอก'!AT44&lt;&gt;'📝 Four-tier กรอก'!AT6,'📝 Four-tier กรอก'!AU44="N"),"❓ NoK","🤔 Partial")))))</f>
        <v/>
      </c>
      <c r="O42" s="68">
        <f>IF(OR('📝 Four-tier กรอก'!AV44="",'📝 Four-tier กรอก'!AX44=""),"—",IF(AND('📝 Four-tier กรอก'!AV44='📝 Four-tier กรอก'!AV6,'📝 Four-tier กรอก'!AW44="Y",'📝 Four-tier กรอก'!AX44='📝 Four-tier กรอก'!AX6,'📝 Four-tier กรอก'!AY44="Y"),"✅ Sound",IF(AND('📝 Four-tier กรอก'!AV44='📝 Four-tier กรอก'!AV6,'📝 Four-tier กรอก'!AW44="Y",'📝 Four-tier กรอก'!AX44&lt;&gt;'📝 Four-tier กรอก'!AX6,'📝 Four-tier กรอก'!AY44="Y"),"🎲 Guess",IF(AND('📝 Four-tier กรอก'!AV44&lt;&gt;'📝 Four-tier กรอก'!AV6,'📝 Four-tier กรอก'!AW44="Y",'📝 Four-tier กรอก'!AX44&lt;&gt;'📝 Four-tier กรอก'!AX6,'📝 Four-tier กรอก'!AY44="Y"),"❌ Misc.",IF(AND('📝 Four-tier กรอก'!AV44&lt;&gt;'📝 Four-tier กรอก'!AV6,'📝 Four-tier กรอก'!AW44="N",'📝 Four-tier กรอก'!AX44&lt;&gt;'📝 Four-tier กรอก'!AX6,'📝 Four-tier กรอก'!AY44="N"),"❓ NoK","🤔 Partial")))))</f>
        <v/>
      </c>
      <c r="P42" s="68">
        <f>IF(OR('📝 Four-tier กรอก'!AZ44="",'📝 Four-tier กรอก'!BB44=""),"—",IF(AND('📝 Four-tier กรอก'!AZ44='📝 Four-tier กรอก'!AZ6,'📝 Four-tier กรอก'!BA44="Y",'📝 Four-tier กรอก'!BB44='📝 Four-tier กรอก'!BB6,'📝 Four-tier กรอก'!BC44="Y"),"✅ Sound",IF(AND('📝 Four-tier กรอก'!AZ44='📝 Four-tier กรอก'!AZ6,'📝 Four-tier กรอก'!BA44="Y",'📝 Four-tier กรอก'!BB44&lt;&gt;'📝 Four-tier กรอก'!BB6,'📝 Four-tier กรอก'!BC44="Y"),"🎲 Guess",IF(AND('📝 Four-tier กรอก'!AZ44&lt;&gt;'📝 Four-tier กรอก'!AZ6,'📝 Four-tier กรอก'!BA44="Y",'📝 Four-tier กรอก'!BB44&lt;&gt;'📝 Four-tier กรอก'!BB6,'📝 Four-tier กรอก'!BC44="Y"),"❌ Misc.",IF(AND('📝 Four-tier กรอก'!AZ44&lt;&gt;'📝 Four-tier กรอก'!AZ6,'📝 Four-tier กรอก'!BA44="N",'📝 Four-tier กรอก'!BB44&lt;&gt;'📝 Four-tier กรอก'!BB6,'📝 Four-tier กรอก'!BC44="N"),"❓ NoK","🤔 Partial")))))</f>
        <v/>
      </c>
      <c r="Q42" s="68">
        <f>IF(OR('📝 Four-tier กรอก'!BD44="",'📝 Four-tier กรอก'!BF44=""),"—",IF(AND('📝 Four-tier กรอก'!BD44='📝 Four-tier กรอก'!BD6,'📝 Four-tier กรอก'!BE44="Y",'📝 Four-tier กรอก'!BF44='📝 Four-tier กรอก'!BF6,'📝 Four-tier กรอก'!BG44="Y"),"✅ Sound",IF(AND('📝 Four-tier กรอก'!BD44='📝 Four-tier กรอก'!BD6,'📝 Four-tier กรอก'!BE44="Y",'📝 Four-tier กรอก'!BF44&lt;&gt;'📝 Four-tier กรอก'!BF6,'📝 Four-tier กรอก'!BG44="Y"),"🎲 Guess",IF(AND('📝 Four-tier กรอก'!BD44&lt;&gt;'📝 Four-tier กรอก'!BD6,'📝 Four-tier กรอก'!BE44="Y",'📝 Four-tier กรอก'!BF44&lt;&gt;'📝 Four-tier กรอก'!BF6,'📝 Four-tier กรอก'!BG44="Y"),"❌ Misc.",IF(AND('📝 Four-tier กรอก'!BD44&lt;&gt;'📝 Four-tier กรอก'!BD6,'📝 Four-tier กรอก'!BE44="N",'📝 Four-tier กรอก'!BF44&lt;&gt;'📝 Four-tier กรอก'!BF6,'📝 Four-tier กรอก'!BG44="N"),"❓ NoK","🤔 Partial")))))</f>
        <v/>
      </c>
      <c r="R42" s="68">
        <f>IF(OR('📝 Four-tier กรอก'!BH44="",'📝 Four-tier กรอก'!BJ44=""),"—",IF(AND('📝 Four-tier กรอก'!BH44='📝 Four-tier กรอก'!BH6,'📝 Four-tier กรอก'!BI44="Y",'📝 Four-tier กรอก'!BJ44='📝 Four-tier กรอก'!BJ6,'📝 Four-tier กรอก'!BK44="Y"),"✅ Sound",IF(AND('📝 Four-tier กรอก'!BH44='📝 Four-tier กรอก'!BH6,'📝 Four-tier กรอก'!BI44="Y",'📝 Four-tier กรอก'!BJ44&lt;&gt;'📝 Four-tier กรอก'!BJ6,'📝 Four-tier กรอก'!BK44="Y"),"🎲 Guess",IF(AND('📝 Four-tier กรอก'!BH44&lt;&gt;'📝 Four-tier กรอก'!BH6,'📝 Four-tier กรอก'!BI44="Y",'📝 Four-tier กรอก'!BJ44&lt;&gt;'📝 Four-tier กรอก'!BJ6,'📝 Four-tier กรอก'!BK44="Y"),"❌ Misc.",IF(AND('📝 Four-tier กรอก'!BH44&lt;&gt;'📝 Four-tier กรอก'!BH6,'📝 Four-tier กรอก'!BI44="N",'📝 Four-tier กรอก'!BJ44&lt;&gt;'📝 Four-tier กรอก'!BJ6,'📝 Four-tier กรอก'!BK44="N"),"❓ NoK","🤔 Partial")))))</f>
        <v/>
      </c>
      <c r="S42" s="68">
        <f>IF(OR('📝 Four-tier กรอก'!BL44="",'📝 Four-tier กรอก'!BN44=""),"—",IF(AND('📝 Four-tier กรอก'!BL44='📝 Four-tier กรอก'!BL6,'📝 Four-tier กรอก'!BM44="Y",'📝 Four-tier กรอก'!BN44='📝 Four-tier กรอก'!BN6,'📝 Four-tier กรอก'!BO44="Y"),"✅ Sound",IF(AND('📝 Four-tier กรอก'!BL44='📝 Four-tier กรอก'!BL6,'📝 Four-tier กรอก'!BM44="Y",'📝 Four-tier กรอก'!BN44&lt;&gt;'📝 Four-tier กรอก'!BN6,'📝 Four-tier กรอก'!BO44="Y"),"🎲 Guess",IF(AND('📝 Four-tier กรอก'!BL44&lt;&gt;'📝 Four-tier กรอก'!BL6,'📝 Four-tier กรอก'!BM44="Y",'📝 Four-tier กรอก'!BN44&lt;&gt;'📝 Four-tier กรอก'!BN6,'📝 Four-tier กรอก'!BO44="Y"),"❌ Misc.",IF(AND('📝 Four-tier กรอก'!BL44&lt;&gt;'📝 Four-tier กรอก'!BL6,'📝 Four-tier กรอก'!BM44="N",'📝 Four-tier กรอก'!BN44&lt;&gt;'📝 Four-tier กรอก'!BN6,'📝 Four-tier กรอก'!BO44="N"),"❓ NoK","🤔 Partial")))))</f>
        <v/>
      </c>
      <c r="T42" s="68">
        <f>IF(OR('📝 Four-tier กรอก'!BP44="",'📝 Four-tier กรอก'!BR44=""),"—",IF(AND('📝 Four-tier กรอก'!BP44='📝 Four-tier กรอก'!BP6,'📝 Four-tier กรอก'!BQ44="Y",'📝 Four-tier กรอก'!BR44='📝 Four-tier กรอก'!BR6,'📝 Four-tier กรอก'!BS44="Y"),"✅ Sound",IF(AND('📝 Four-tier กรอก'!BP44='📝 Four-tier กรอก'!BP6,'📝 Four-tier กรอก'!BQ44="Y",'📝 Four-tier กรอก'!BR44&lt;&gt;'📝 Four-tier กรอก'!BR6,'📝 Four-tier กรอก'!BS44="Y"),"🎲 Guess",IF(AND('📝 Four-tier กรอก'!BP44&lt;&gt;'📝 Four-tier กรอก'!BP6,'📝 Four-tier กรอก'!BQ44="Y",'📝 Four-tier กรอก'!BR44&lt;&gt;'📝 Four-tier กรอก'!BR6,'📝 Four-tier กรอก'!BS44="Y"),"❌ Misc.",IF(AND('📝 Four-tier กรอก'!BP44&lt;&gt;'📝 Four-tier กรอก'!BP6,'📝 Four-tier กรอก'!BQ44="N",'📝 Four-tier กรอก'!BR44&lt;&gt;'📝 Four-tier กรอก'!BR6,'📝 Four-tier กรอก'!BS44="N"),"❓ NoK","🤔 Partial")))))</f>
        <v/>
      </c>
      <c r="U42" s="68">
        <f>IF(OR('📝 Four-tier กรอก'!BT44="",'📝 Four-tier กรอก'!BV44=""),"—",IF(AND('📝 Four-tier กรอก'!BT44='📝 Four-tier กรอก'!BT6,'📝 Four-tier กรอก'!BU44="Y",'📝 Four-tier กรอก'!BV44='📝 Four-tier กรอก'!BV6,'📝 Four-tier กรอก'!BW44="Y"),"✅ Sound",IF(AND('📝 Four-tier กรอก'!BT44='📝 Four-tier กรอก'!BT6,'📝 Four-tier กรอก'!BU44="Y",'📝 Four-tier กรอก'!BV44&lt;&gt;'📝 Four-tier กรอก'!BV6,'📝 Four-tier กรอก'!BW44="Y"),"🎲 Guess",IF(AND('📝 Four-tier กรอก'!BT44&lt;&gt;'📝 Four-tier กรอก'!BT6,'📝 Four-tier กรอก'!BU44="Y",'📝 Four-tier กรอก'!BV44&lt;&gt;'📝 Four-tier กรอก'!BV6,'📝 Four-tier กรอก'!BW44="Y"),"❌ Misc.",IF(AND('📝 Four-tier กรอก'!BT44&lt;&gt;'📝 Four-tier กรอก'!BT6,'📝 Four-tier กรอก'!BU44="N",'📝 Four-tier กรอก'!BV44&lt;&gt;'📝 Four-tier กรอก'!BV6,'📝 Four-tier กรอก'!BW44="N"),"❓ NoK","🤔 Partial")))))</f>
        <v/>
      </c>
      <c r="V42" s="68">
        <f>IF(OR('📝 Four-tier กรอก'!BX44="",'📝 Four-tier กรอก'!BZ44=""),"—",IF(AND('📝 Four-tier กรอก'!BX44='📝 Four-tier กรอก'!BX6,'📝 Four-tier กรอก'!BY44="Y",'📝 Four-tier กรอก'!BZ44='📝 Four-tier กรอก'!BZ6,'📝 Four-tier กรอก'!CA44="Y"),"✅ Sound",IF(AND('📝 Four-tier กรอก'!BX44='📝 Four-tier กรอก'!BX6,'📝 Four-tier กรอก'!BY44="Y",'📝 Four-tier กรอก'!BZ44&lt;&gt;'📝 Four-tier กรอก'!BZ6,'📝 Four-tier กรอก'!CA44="Y"),"🎲 Guess",IF(AND('📝 Four-tier กรอก'!BX44&lt;&gt;'📝 Four-tier กรอก'!BX6,'📝 Four-tier กรอก'!BY44="Y",'📝 Four-tier กรอก'!BZ44&lt;&gt;'📝 Four-tier กรอก'!BZ6,'📝 Four-tier กรอก'!CA44="Y"),"❌ Misc.",IF(AND('📝 Four-tier กรอก'!BX44&lt;&gt;'📝 Four-tier กรอก'!BX6,'📝 Four-tier กรอก'!BY44="N",'📝 Four-tier กรอก'!BZ44&lt;&gt;'📝 Four-tier กรอก'!BZ6,'📝 Four-tier กรอก'!CA44="N"),"❓ NoK","🤔 Partial")))))</f>
        <v/>
      </c>
      <c r="W42" s="68">
        <f>IF(OR('📝 Four-tier กรอก'!CB44="",'📝 Four-tier กรอก'!CD44=""),"—",IF(AND('📝 Four-tier กรอก'!CB44='📝 Four-tier กรอก'!CB6,'📝 Four-tier กรอก'!CC44="Y",'📝 Four-tier กรอก'!CD44='📝 Four-tier กรอก'!CD6,'📝 Four-tier กรอก'!CE44="Y"),"✅ Sound",IF(AND('📝 Four-tier กรอก'!CB44='📝 Four-tier กรอก'!CB6,'📝 Four-tier กรอก'!CC44="Y",'📝 Four-tier กรอก'!CD44&lt;&gt;'📝 Four-tier กรอก'!CD6,'📝 Four-tier กรอก'!CE44="Y"),"🎲 Guess",IF(AND('📝 Four-tier กรอก'!CB44&lt;&gt;'📝 Four-tier กรอก'!CB6,'📝 Four-tier กรอก'!CC44="Y",'📝 Four-tier กรอก'!CD44&lt;&gt;'📝 Four-tier กรอก'!CD6,'📝 Four-tier กรอก'!CE44="Y"),"❌ Misc.",IF(AND('📝 Four-tier กรอก'!CB44&lt;&gt;'📝 Four-tier กรอก'!CB6,'📝 Four-tier กรอก'!CC44="N",'📝 Four-tier กรอก'!CD44&lt;&gt;'📝 Four-tier กรอก'!CD6,'📝 Four-tier กรอก'!CE44="N"),"❓ NoK","🤔 Partial")))))</f>
        <v/>
      </c>
      <c r="X42" s="37">
        <f>COUNTIF(D42:W42,"✅ Sound")</f>
        <v/>
      </c>
      <c r="Y42" s="37">
        <f>COUNTIF(D42:W42,"❌ Misc.")</f>
        <v/>
      </c>
      <c r="Z42" s="37">
        <f>COUNTIF(D42:W42,"🎲 Guess")</f>
        <v/>
      </c>
      <c r="AA42" s="37">
        <f>COUNTIF(D42:W42,"❓ NoK")</f>
        <v/>
      </c>
    </row>
    <row r="43" ht="18" customHeight="1">
      <c r="B43" s="46">
        <f>'📝 Four-tier กรอก'!B45</f>
        <v/>
      </c>
      <c r="C43" s="47">
        <f>'📝 Four-tier กรอก'!C45</f>
        <v/>
      </c>
      <c r="D43" s="67">
        <f>IF(OR('📝 Four-tier กรอก'!D45="",'📝 Four-tier กรอก'!F45=""),"—",IF(AND('📝 Four-tier กรอก'!D45='📝 Four-tier กรอก'!D6,'📝 Four-tier กรอก'!E45="Y",'📝 Four-tier กรอก'!F45='📝 Four-tier กรอก'!F6,'📝 Four-tier กรอก'!G45="Y"),"✅ Sound",IF(AND('📝 Four-tier กรอก'!D45='📝 Four-tier กรอก'!D6,'📝 Four-tier กรอก'!E45="Y",'📝 Four-tier กรอก'!F45&lt;&gt;'📝 Four-tier กรอก'!F6,'📝 Four-tier กรอก'!G45="Y"),"🎲 Guess",IF(AND('📝 Four-tier กรอก'!D45&lt;&gt;'📝 Four-tier กรอก'!D6,'📝 Four-tier กรอก'!E45="Y",'📝 Four-tier กรอก'!F45&lt;&gt;'📝 Four-tier กรอก'!F6,'📝 Four-tier กรอก'!G45="Y"),"❌ Misc.",IF(AND('📝 Four-tier กรอก'!D45&lt;&gt;'📝 Four-tier กรอก'!D6,'📝 Four-tier กรอก'!E45="N",'📝 Four-tier กรอก'!F45&lt;&gt;'📝 Four-tier กรอก'!F6,'📝 Four-tier กรอก'!G45="N"),"❓ NoK","🤔 Partial")))))</f>
        <v/>
      </c>
      <c r="E43" s="67">
        <f>IF(OR('📝 Four-tier กรอก'!H45="",'📝 Four-tier กรอก'!J45=""),"—",IF(AND('📝 Four-tier กรอก'!H45='📝 Four-tier กรอก'!H6,'📝 Four-tier กรอก'!I45="Y",'📝 Four-tier กรอก'!J45='📝 Four-tier กรอก'!J6,'📝 Four-tier กรอก'!K45="Y"),"✅ Sound",IF(AND('📝 Four-tier กรอก'!H45='📝 Four-tier กรอก'!H6,'📝 Four-tier กรอก'!I45="Y",'📝 Four-tier กรอก'!J45&lt;&gt;'📝 Four-tier กรอก'!J6,'📝 Four-tier กรอก'!K45="Y"),"🎲 Guess",IF(AND('📝 Four-tier กรอก'!H45&lt;&gt;'📝 Four-tier กรอก'!H6,'📝 Four-tier กรอก'!I45="Y",'📝 Four-tier กรอก'!J45&lt;&gt;'📝 Four-tier กรอก'!J6,'📝 Four-tier กรอก'!K45="Y"),"❌ Misc.",IF(AND('📝 Four-tier กรอก'!H45&lt;&gt;'📝 Four-tier กรอก'!H6,'📝 Four-tier กรอก'!I45="N",'📝 Four-tier กรอก'!J45&lt;&gt;'📝 Four-tier กรอก'!J6,'📝 Four-tier กรอก'!K45="N"),"❓ NoK","🤔 Partial")))))</f>
        <v/>
      </c>
      <c r="F43" s="67">
        <f>IF(OR('📝 Four-tier กรอก'!L45="",'📝 Four-tier กรอก'!N45=""),"—",IF(AND('📝 Four-tier กรอก'!L45='📝 Four-tier กรอก'!L6,'📝 Four-tier กรอก'!M45="Y",'📝 Four-tier กรอก'!N45='📝 Four-tier กรอก'!N6,'📝 Four-tier กรอก'!O45="Y"),"✅ Sound",IF(AND('📝 Four-tier กรอก'!L45='📝 Four-tier กรอก'!L6,'📝 Four-tier กรอก'!M45="Y",'📝 Four-tier กรอก'!N45&lt;&gt;'📝 Four-tier กรอก'!N6,'📝 Four-tier กรอก'!O45="Y"),"🎲 Guess",IF(AND('📝 Four-tier กรอก'!L45&lt;&gt;'📝 Four-tier กรอก'!L6,'📝 Four-tier กรอก'!M45="Y",'📝 Four-tier กรอก'!N45&lt;&gt;'📝 Four-tier กรอก'!N6,'📝 Four-tier กรอก'!O45="Y"),"❌ Misc.",IF(AND('📝 Four-tier กรอก'!L45&lt;&gt;'📝 Four-tier กรอก'!L6,'📝 Four-tier กรอก'!M45="N",'📝 Four-tier กรอก'!N45&lt;&gt;'📝 Four-tier กรอก'!N6,'📝 Four-tier กรอก'!O45="N"),"❓ NoK","🤔 Partial")))))</f>
        <v/>
      </c>
      <c r="G43" s="67">
        <f>IF(OR('📝 Four-tier กรอก'!P45="",'📝 Four-tier กรอก'!R45=""),"—",IF(AND('📝 Four-tier กรอก'!P45='📝 Four-tier กรอก'!P6,'📝 Four-tier กรอก'!Q45="Y",'📝 Four-tier กรอก'!R45='📝 Four-tier กรอก'!R6,'📝 Four-tier กรอก'!S45="Y"),"✅ Sound",IF(AND('📝 Four-tier กรอก'!P45='📝 Four-tier กรอก'!P6,'📝 Four-tier กรอก'!Q45="Y",'📝 Four-tier กรอก'!R45&lt;&gt;'📝 Four-tier กรอก'!R6,'📝 Four-tier กรอก'!S45="Y"),"🎲 Guess",IF(AND('📝 Four-tier กรอก'!P45&lt;&gt;'📝 Four-tier กรอก'!P6,'📝 Four-tier กรอก'!Q45="Y",'📝 Four-tier กรอก'!R45&lt;&gt;'📝 Four-tier กรอก'!R6,'📝 Four-tier กรอก'!S45="Y"),"❌ Misc.",IF(AND('📝 Four-tier กรอก'!P45&lt;&gt;'📝 Four-tier กรอก'!P6,'📝 Four-tier กรอก'!Q45="N",'📝 Four-tier กรอก'!R45&lt;&gt;'📝 Four-tier กรอก'!R6,'📝 Four-tier กรอก'!S45="N"),"❓ NoK","🤔 Partial")))))</f>
        <v/>
      </c>
      <c r="H43" s="67">
        <f>IF(OR('📝 Four-tier กรอก'!T45="",'📝 Four-tier กรอก'!V45=""),"—",IF(AND('📝 Four-tier กรอก'!T45='📝 Four-tier กรอก'!T6,'📝 Four-tier กรอก'!U45="Y",'📝 Four-tier กรอก'!V45='📝 Four-tier กรอก'!V6,'📝 Four-tier กรอก'!W45="Y"),"✅ Sound",IF(AND('📝 Four-tier กรอก'!T45='📝 Four-tier กรอก'!T6,'📝 Four-tier กรอก'!U45="Y",'📝 Four-tier กรอก'!V45&lt;&gt;'📝 Four-tier กรอก'!V6,'📝 Four-tier กรอก'!W45="Y"),"🎲 Guess",IF(AND('📝 Four-tier กรอก'!T45&lt;&gt;'📝 Four-tier กรอก'!T6,'📝 Four-tier กรอก'!U45="Y",'📝 Four-tier กรอก'!V45&lt;&gt;'📝 Four-tier กรอก'!V6,'📝 Four-tier กรอก'!W45="Y"),"❌ Misc.",IF(AND('📝 Four-tier กรอก'!T45&lt;&gt;'📝 Four-tier กรอก'!T6,'📝 Four-tier กรอก'!U45="N",'📝 Four-tier กรอก'!V45&lt;&gt;'📝 Four-tier กรอก'!V6,'📝 Four-tier กรอก'!W45="N"),"❓ NoK","🤔 Partial")))))</f>
        <v/>
      </c>
      <c r="I43" s="67">
        <f>IF(OR('📝 Four-tier กรอก'!X45="",'📝 Four-tier กรอก'!Z45=""),"—",IF(AND('📝 Four-tier กรอก'!X45='📝 Four-tier กรอก'!X6,'📝 Four-tier กรอก'!Y45="Y",'📝 Four-tier กรอก'!Z45='📝 Four-tier กรอก'!Z6,'📝 Four-tier กรอก'!AA45="Y"),"✅ Sound",IF(AND('📝 Four-tier กรอก'!X45='📝 Four-tier กรอก'!X6,'📝 Four-tier กรอก'!Y45="Y",'📝 Four-tier กรอก'!Z45&lt;&gt;'📝 Four-tier กรอก'!Z6,'📝 Four-tier กรอก'!AA45="Y"),"🎲 Guess",IF(AND('📝 Four-tier กรอก'!X45&lt;&gt;'📝 Four-tier กรอก'!X6,'📝 Four-tier กรอก'!Y45="Y",'📝 Four-tier กรอก'!Z45&lt;&gt;'📝 Four-tier กรอก'!Z6,'📝 Four-tier กรอก'!AA45="Y"),"❌ Misc.",IF(AND('📝 Four-tier กรอก'!X45&lt;&gt;'📝 Four-tier กรอก'!X6,'📝 Four-tier กรอก'!Y45="N",'📝 Four-tier กรอก'!Z45&lt;&gt;'📝 Four-tier กรอก'!Z6,'📝 Four-tier กรอก'!AA45="N"),"❓ NoK","🤔 Partial")))))</f>
        <v/>
      </c>
      <c r="J43" s="67">
        <f>IF(OR('📝 Four-tier กรอก'!AB45="",'📝 Four-tier กรอก'!AD45=""),"—",IF(AND('📝 Four-tier กรอก'!AB45='📝 Four-tier กรอก'!AB6,'📝 Four-tier กรอก'!AC45="Y",'📝 Four-tier กรอก'!AD45='📝 Four-tier กรอก'!AD6,'📝 Four-tier กรอก'!AE45="Y"),"✅ Sound",IF(AND('📝 Four-tier กรอก'!AB45='📝 Four-tier กรอก'!AB6,'📝 Four-tier กรอก'!AC45="Y",'📝 Four-tier กรอก'!AD45&lt;&gt;'📝 Four-tier กรอก'!AD6,'📝 Four-tier กรอก'!AE45="Y"),"🎲 Guess",IF(AND('📝 Four-tier กรอก'!AB45&lt;&gt;'📝 Four-tier กรอก'!AB6,'📝 Four-tier กรอก'!AC45="Y",'📝 Four-tier กรอก'!AD45&lt;&gt;'📝 Four-tier กรอก'!AD6,'📝 Four-tier กรอก'!AE45="Y"),"❌ Misc.",IF(AND('📝 Four-tier กรอก'!AB45&lt;&gt;'📝 Four-tier กรอก'!AB6,'📝 Four-tier กรอก'!AC45="N",'📝 Four-tier กรอก'!AD45&lt;&gt;'📝 Four-tier กรอก'!AD6,'📝 Four-tier กรอก'!AE45="N"),"❓ NoK","🤔 Partial")))))</f>
        <v/>
      </c>
      <c r="K43" s="67">
        <f>IF(OR('📝 Four-tier กรอก'!AF45="",'📝 Four-tier กรอก'!AH45=""),"—",IF(AND('📝 Four-tier กรอก'!AF45='📝 Four-tier กรอก'!AF6,'📝 Four-tier กรอก'!AG45="Y",'📝 Four-tier กรอก'!AH45='📝 Four-tier กรอก'!AH6,'📝 Four-tier กรอก'!AI45="Y"),"✅ Sound",IF(AND('📝 Four-tier กรอก'!AF45='📝 Four-tier กรอก'!AF6,'📝 Four-tier กรอก'!AG45="Y",'📝 Four-tier กรอก'!AH45&lt;&gt;'📝 Four-tier กรอก'!AH6,'📝 Four-tier กรอก'!AI45="Y"),"🎲 Guess",IF(AND('📝 Four-tier กรอก'!AF45&lt;&gt;'📝 Four-tier กรอก'!AF6,'📝 Four-tier กรอก'!AG45="Y",'📝 Four-tier กรอก'!AH45&lt;&gt;'📝 Four-tier กรอก'!AH6,'📝 Four-tier กรอก'!AI45="Y"),"❌ Misc.",IF(AND('📝 Four-tier กรอก'!AF45&lt;&gt;'📝 Four-tier กรอก'!AF6,'📝 Four-tier กรอก'!AG45="N",'📝 Four-tier กรอก'!AH45&lt;&gt;'📝 Four-tier กรอก'!AH6,'📝 Four-tier กรอก'!AI45="N"),"❓ NoK","🤔 Partial")))))</f>
        <v/>
      </c>
      <c r="L43" s="67">
        <f>IF(OR('📝 Four-tier กรอก'!AJ45="",'📝 Four-tier กรอก'!AL45=""),"—",IF(AND('📝 Four-tier กรอก'!AJ45='📝 Four-tier กรอก'!AJ6,'📝 Four-tier กรอก'!AK45="Y",'📝 Four-tier กรอก'!AL45='📝 Four-tier กรอก'!AL6,'📝 Four-tier กรอก'!AM45="Y"),"✅ Sound",IF(AND('📝 Four-tier กรอก'!AJ45='📝 Four-tier กรอก'!AJ6,'📝 Four-tier กรอก'!AK45="Y",'📝 Four-tier กรอก'!AL45&lt;&gt;'📝 Four-tier กรอก'!AL6,'📝 Four-tier กรอก'!AM45="Y"),"🎲 Guess",IF(AND('📝 Four-tier กรอก'!AJ45&lt;&gt;'📝 Four-tier กรอก'!AJ6,'📝 Four-tier กรอก'!AK45="Y",'📝 Four-tier กรอก'!AL45&lt;&gt;'📝 Four-tier กรอก'!AL6,'📝 Four-tier กรอก'!AM45="Y"),"❌ Misc.",IF(AND('📝 Four-tier กรอก'!AJ45&lt;&gt;'📝 Four-tier กรอก'!AJ6,'📝 Four-tier กรอก'!AK45="N",'📝 Four-tier กรอก'!AL45&lt;&gt;'📝 Four-tier กรอก'!AL6,'📝 Four-tier กรอก'!AM45="N"),"❓ NoK","🤔 Partial")))))</f>
        <v/>
      </c>
      <c r="M43" s="67">
        <f>IF(OR('📝 Four-tier กรอก'!AN45="",'📝 Four-tier กรอก'!AP45=""),"—",IF(AND('📝 Four-tier กรอก'!AN45='📝 Four-tier กรอก'!AN6,'📝 Four-tier กรอก'!AO45="Y",'📝 Four-tier กรอก'!AP45='📝 Four-tier กรอก'!AP6,'📝 Four-tier กรอก'!AQ45="Y"),"✅ Sound",IF(AND('📝 Four-tier กรอก'!AN45='📝 Four-tier กรอก'!AN6,'📝 Four-tier กรอก'!AO45="Y",'📝 Four-tier กรอก'!AP45&lt;&gt;'📝 Four-tier กรอก'!AP6,'📝 Four-tier กรอก'!AQ45="Y"),"🎲 Guess",IF(AND('📝 Four-tier กรอก'!AN45&lt;&gt;'📝 Four-tier กรอก'!AN6,'📝 Four-tier กรอก'!AO45="Y",'📝 Four-tier กรอก'!AP45&lt;&gt;'📝 Four-tier กรอก'!AP6,'📝 Four-tier กรอก'!AQ45="Y"),"❌ Misc.",IF(AND('📝 Four-tier กรอก'!AN45&lt;&gt;'📝 Four-tier กรอก'!AN6,'📝 Four-tier กรอก'!AO45="N",'📝 Four-tier กรอก'!AP45&lt;&gt;'📝 Four-tier กรอก'!AP6,'📝 Four-tier กรอก'!AQ45="N"),"❓ NoK","🤔 Partial")))))</f>
        <v/>
      </c>
      <c r="N43" s="67">
        <f>IF(OR('📝 Four-tier กรอก'!AR45="",'📝 Four-tier กรอก'!AT45=""),"—",IF(AND('📝 Four-tier กรอก'!AR45='📝 Four-tier กรอก'!AR6,'📝 Four-tier กรอก'!AS45="Y",'📝 Four-tier กรอก'!AT45='📝 Four-tier กรอก'!AT6,'📝 Four-tier กรอก'!AU45="Y"),"✅ Sound",IF(AND('📝 Four-tier กรอก'!AR45='📝 Four-tier กรอก'!AR6,'📝 Four-tier กรอก'!AS45="Y",'📝 Four-tier กรอก'!AT45&lt;&gt;'📝 Four-tier กรอก'!AT6,'📝 Four-tier กรอก'!AU45="Y"),"🎲 Guess",IF(AND('📝 Four-tier กรอก'!AR45&lt;&gt;'📝 Four-tier กรอก'!AR6,'📝 Four-tier กรอก'!AS45="Y",'📝 Four-tier กรอก'!AT45&lt;&gt;'📝 Four-tier กรอก'!AT6,'📝 Four-tier กรอก'!AU45="Y"),"❌ Misc.",IF(AND('📝 Four-tier กรอก'!AR45&lt;&gt;'📝 Four-tier กรอก'!AR6,'📝 Four-tier กรอก'!AS45="N",'📝 Four-tier กรอก'!AT45&lt;&gt;'📝 Four-tier กรอก'!AT6,'📝 Four-tier กรอก'!AU45="N"),"❓ NoK","🤔 Partial")))))</f>
        <v/>
      </c>
      <c r="O43" s="67">
        <f>IF(OR('📝 Four-tier กรอก'!AV45="",'📝 Four-tier กรอก'!AX45=""),"—",IF(AND('📝 Four-tier กรอก'!AV45='📝 Four-tier กรอก'!AV6,'📝 Four-tier กรอก'!AW45="Y",'📝 Four-tier กรอก'!AX45='📝 Four-tier กรอก'!AX6,'📝 Four-tier กรอก'!AY45="Y"),"✅ Sound",IF(AND('📝 Four-tier กรอก'!AV45='📝 Four-tier กรอก'!AV6,'📝 Four-tier กรอก'!AW45="Y",'📝 Four-tier กรอก'!AX45&lt;&gt;'📝 Four-tier กรอก'!AX6,'📝 Four-tier กรอก'!AY45="Y"),"🎲 Guess",IF(AND('📝 Four-tier กรอก'!AV45&lt;&gt;'📝 Four-tier กรอก'!AV6,'📝 Four-tier กรอก'!AW45="Y",'📝 Four-tier กรอก'!AX45&lt;&gt;'📝 Four-tier กรอก'!AX6,'📝 Four-tier กรอก'!AY45="Y"),"❌ Misc.",IF(AND('📝 Four-tier กรอก'!AV45&lt;&gt;'📝 Four-tier กรอก'!AV6,'📝 Four-tier กรอก'!AW45="N",'📝 Four-tier กรอก'!AX45&lt;&gt;'📝 Four-tier กรอก'!AX6,'📝 Four-tier กรอก'!AY45="N"),"❓ NoK","🤔 Partial")))))</f>
        <v/>
      </c>
      <c r="P43" s="67">
        <f>IF(OR('📝 Four-tier กรอก'!AZ45="",'📝 Four-tier กรอก'!BB45=""),"—",IF(AND('📝 Four-tier กรอก'!AZ45='📝 Four-tier กรอก'!AZ6,'📝 Four-tier กรอก'!BA45="Y",'📝 Four-tier กรอก'!BB45='📝 Four-tier กรอก'!BB6,'📝 Four-tier กรอก'!BC45="Y"),"✅ Sound",IF(AND('📝 Four-tier กรอก'!AZ45='📝 Four-tier กรอก'!AZ6,'📝 Four-tier กรอก'!BA45="Y",'📝 Four-tier กรอก'!BB45&lt;&gt;'📝 Four-tier กรอก'!BB6,'📝 Four-tier กรอก'!BC45="Y"),"🎲 Guess",IF(AND('📝 Four-tier กรอก'!AZ45&lt;&gt;'📝 Four-tier กรอก'!AZ6,'📝 Four-tier กรอก'!BA45="Y",'📝 Four-tier กรอก'!BB45&lt;&gt;'📝 Four-tier กรอก'!BB6,'📝 Four-tier กรอก'!BC45="Y"),"❌ Misc.",IF(AND('📝 Four-tier กรอก'!AZ45&lt;&gt;'📝 Four-tier กรอก'!AZ6,'📝 Four-tier กรอก'!BA45="N",'📝 Four-tier กรอก'!BB45&lt;&gt;'📝 Four-tier กรอก'!BB6,'📝 Four-tier กรอก'!BC45="N"),"❓ NoK","🤔 Partial")))))</f>
        <v/>
      </c>
      <c r="Q43" s="67">
        <f>IF(OR('📝 Four-tier กรอก'!BD45="",'📝 Four-tier กรอก'!BF45=""),"—",IF(AND('📝 Four-tier กรอก'!BD45='📝 Four-tier กรอก'!BD6,'📝 Four-tier กรอก'!BE45="Y",'📝 Four-tier กรอก'!BF45='📝 Four-tier กรอก'!BF6,'📝 Four-tier กรอก'!BG45="Y"),"✅ Sound",IF(AND('📝 Four-tier กรอก'!BD45='📝 Four-tier กรอก'!BD6,'📝 Four-tier กรอก'!BE45="Y",'📝 Four-tier กรอก'!BF45&lt;&gt;'📝 Four-tier กรอก'!BF6,'📝 Four-tier กรอก'!BG45="Y"),"🎲 Guess",IF(AND('📝 Four-tier กรอก'!BD45&lt;&gt;'📝 Four-tier กรอก'!BD6,'📝 Four-tier กรอก'!BE45="Y",'📝 Four-tier กรอก'!BF45&lt;&gt;'📝 Four-tier กรอก'!BF6,'📝 Four-tier กรอก'!BG45="Y"),"❌ Misc.",IF(AND('📝 Four-tier กรอก'!BD45&lt;&gt;'📝 Four-tier กรอก'!BD6,'📝 Four-tier กรอก'!BE45="N",'📝 Four-tier กรอก'!BF45&lt;&gt;'📝 Four-tier กรอก'!BF6,'📝 Four-tier กรอก'!BG45="N"),"❓ NoK","🤔 Partial")))))</f>
        <v/>
      </c>
      <c r="R43" s="67">
        <f>IF(OR('📝 Four-tier กรอก'!BH45="",'📝 Four-tier กรอก'!BJ45=""),"—",IF(AND('📝 Four-tier กรอก'!BH45='📝 Four-tier กรอก'!BH6,'📝 Four-tier กรอก'!BI45="Y",'📝 Four-tier กรอก'!BJ45='📝 Four-tier กรอก'!BJ6,'📝 Four-tier กรอก'!BK45="Y"),"✅ Sound",IF(AND('📝 Four-tier กรอก'!BH45='📝 Four-tier กรอก'!BH6,'📝 Four-tier กรอก'!BI45="Y",'📝 Four-tier กรอก'!BJ45&lt;&gt;'📝 Four-tier กรอก'!BJ6,'📝 Four-tier กรอก'!BK45="Y"),"🎲 Guess",IF(AND('📝 Four-tier กรอก'!BH45&lt;&gt;'📝 Four-tier กรอก'!BH6,'📝 Four-tier กรอก'!BI45="Y",'📝 Four-tier กรอก'!BJ45&lt;&gt;'📝 Four-tier กรอก'!BJ6,'📝 Four-tier กรอก'!BK45="Y"),"❌ Misc.",IF(AND('📝 Four-tier กรอก'!BH45&lt;&gt;'📝 Four-tier กรอก'!BH6,'📝 Four-tier กรอก'!BI45="N",'📝 Four-tier กรอก'!BJ45&lt;&gt;'📝 Four-tier กรอก'!BJ6,'📝 Four-tier กรอก'!BK45="N"),"❓ NoK","🤔 Partial")))))</f>
        <v/>
      </c>
      <c r="S43" s="67">
        <f>IF(OR('📝 Four-tier กรอก'!BL45="",'📝 Four-tier กรอก'!BN45=""),"—",IF(AND('📝 Four-tier กรอก'!BL45='📝 Four-tier กรอก'!BL6,'📝 Four-tier กรอก'!BM45="Y",'📝 Four-tier กรอก'!BN45='📝 Four-tier กรอก'!BN6,'📝 Four-tier กรอก'!BO45="Y"),"✅ Sound",IF(AND('📝 Four-tier กรอก'!BL45='📝 Four-tier กรอก'!BL6,'📝 Four-tier กรอก'!BM45="Y",'📝 Four-tier กรอก'!BN45&lt;&gt;'📝 Four-tier กรอก'!BN6,'📝 Four-tier กรอก'!BO45="Y"),"🎲 Guess",IF(AND('📝 Four-tier กรอก'!BL45&lt;&gt;'📝 Four-tier กรอก'!BL6,'📝 Four-tier กรอก'!BM45="Y",'📝 Four-tier กรอก'!BN45&lt;&gt;'📝 Four-tier กรอก'!BN6,'📝 Four-tier กรอก'!BO45="Y"),"❌ Misc.",IF(AND('📝 Four-tier กรอก'!BL45&lt;&gt;'📝 Four-tier กรอก'!BL6,'📝 Four-tier กรอก'!BM45="N",'📝 Four-tier กรอก'!BN45&lt;&gt;'📝 Four-tier กรอก'!BN6,'📝 Four-tier กรอก'!BO45="N"),"❓ NoK","🤔 Partial")))))</f>
        <v/>
      </c>
      <c r="T43" s="67">
        <f>IF(OR('📝 Four-tier กรอก'!BP45="",'📝 Four-tier กรอก'!BR45=""),"—",IF(AND('📝 Four-tier กรอก'!BP45='📝 Four-tier กรอก'!BP6,'📝 Four-tier กรอก'!BQ45="Y",'📝 Four-tier กรอก'!BR45='📝 Four-tier กรอก'!BR6,'📝 Four-tier กรอก'!BS45="Y"),"✅ Sound",IF(AND('📝 Four-tier กรอก'!BP45='📝 Four-tier กรอก'!BP6,'📝 Four-tier กรอก'!BQ45="Y",'📝 Four-tier กรอก'!BR45&lt;&gt;'📝 Four-tier กรอก'!BR6,'📝 Four-tier กรอก'!BS45="Y"),"🎲 Guess",IF(AND('📝 Four-tier กรอก'!BP45&lt;&gt;'📝 Four-tier กรอก'!BP6,'📝 Four-tier กรอก'!BQ45="Y",'📝 Four-tier กรอก'!BR45&lt;&gt;'📝 Four-tier กรอก'!BR6,'📝 Four-tier กรอก'!BS45="Y"),"❌ Misc.",IF(AND('📝 Four-tier กรอก'!BP45&lt;&gt;'📝 Four-tier กรอก'!BP6,'📝 Four-tier กรอก'!BQ45="N",'📝 Four-tier กรอก'!BR45&lt;&gt;'📝 Four-tier กรอก'!BR6,'📝 Four-tier กรอก'!BS45="N"),"❓ NoK","🤔 Partial")))))</f>
        <v/>
      </c>
      <c r="U43" s="67">
        <f>IF(OR('📝 Four-tier กรอก'!BT45="",'📝 Four-tier กรอก'!BV45=""),"—",IF(AND('📝 Four-tier กรอก'!BT45='📝 Four-tier กรอก'!BT6,'📝 Four-tier กรอก'!BU45="Y",'📝 Four-tier กรอก'!BV45='📝 Four-tier กรอก'!BV6,'📝 Four-tier กรอก'!BW45="Y"),"✅ Sound",IF(AND('📝 Four-tier กรอก'!BT45='📝 Four-tier กรอก'!BT6,'📝 Four-tier กรอก'!BU45="Y",'📝 Four-tier กรอก'!BV45&lt;&gt;'📝 Four-tier กรอก'!BV6,'📝 Four-tier กรอก'!BW45="Y"),"🎲 Guess",IF(AND('📝 Four-tier กรอก'!BT45&lt;&gt;'📝 Four-tier กรอก'!BT6,'📝 Four-tier กรอก'!BU45="Y",'📝 Four-tier กรอก'!BV45&lt;&gt;'📝 Four-tier กรอก'!BV6,'📝 Four-tier กรอก'!BW45="Y"),"❌ Misc.",IF(AND('📝 Four-tier กรอก'!BT45&lt;&gt;'📝 Four-tier กรอก'!BT6,'📝 Four-tier กรอก'!BU45="N",'📝 Four-tier กรอก'!BV45&lt;&gt;'📝 Four-tier กรอก'!BV6,'📝 Four-tier กรอก'!BW45="N"),"❓ NoK","🤔 Partial")))))</f>
        <v/>
      </c>
      <c r="V43" s="67">
        <f>IF(OR('📝 Four-tier กรอก'!BX45="",'📝 Four-tier กรอก'!BZ45=""),"—",IF(AND('📝 Four-tier กรอก'!BX45='📝 Four-tier กรอก'!BX6,'📝 Four-tier กรอก'!BY45="Y",'📝 Four-tier กรอก'!BZ45='📝 Four-tier กรอก'!BZ6,'📝 Four-tier กรอก'!CA45="Y"),"✅ Sound",IF(AND('📝 Four-tier กรอก'!BX45='📝 Four-tier กรอก'!BX6,'📝 Four-tier กรอก'!BY45="Y",'📝 Four-tier กรอก'!BZ45&lt;&gt;'📝 Four-tier กรอก'!BZ6,'📝 Four-tier กรอก'!CA45="Y"),"🎲 Guess",IF(AND('📝 Four-tier กรอก'!BX45&lt;&gt;'📝 Four-tier กรอก'!BX6,'📝 Four-tier กรอก'!BY45="Y",'📝 Four-tier กรอก'!BZ45&lt;&gt;'📝 Four-tier กรอก'!BZ6,'📝 Four-tier กรอก'!CA45="Y"),"❌ Misc.",IF(AND('📝 Four-tier กรอก'!BX45&lt;&gt;'📝 Four-tier กรอก'!BX6,'📝 Four-tier กรอก'!BY45="N",'📝 Four-tier กรอก'!BZ45&lt;&gt;'📝 Four-tier กรอก'!BZ6,'📝 Four-tier กรอก'!CA45="N"),"❓ NoK","🤔 Partial")))))</f>
        <v/>
      </c>
      <c r="W43" s="67">
        <f>IF(OR('📝 Four-tier กรอก'!CB45="",'📝 Four-tier กรอก'!CD45=""),"—",IF(AND('📝 Four-tier กรอก'!CB45='📝 Four-tier กรอก'!CB6,'📝 Four-tier กรอก'!CC45="Y",'📝 Four-tier กรอก'!CD45='📝 Four-tier กรอก'!CD6,'📝 Four-tier กรอก'!CE45="Y"),"✅ Sound",IF(AND('📝 Four-tier กรอก'!CB45='📝 Four-tier กรอก'!CB6,'📝 Four-tier กรอก'!CC45="Y",'📝 Four-tier กรอก'!CD45&lt;&gt;'📝 Four-tier กรอก'!CD6,'📝 Four-tier กรอก'!CE45="Y"),"🎲 Guess",IF(AND('📝 Four-tier กรอก'!CB45&lt;&gt;'📝 Four-tier กรอก'!CB6,'📝 Four-tier กรอก'!CC45="Y",'📝 Four-tier กรอก'!CD45&lt;&gt;'📝 Four-tier กรอก'!CD6,'📝 Four-tier กรอก'!CE45="Y"),"❌ Misc.",IF(AND('📝 Four-tier กรอก'!CB45&lt;&gt;'📝 Four-tier กรอก'!CB6,'📝 Four-tier กรอก'!CC45="N",'📝 Four-tier กรอก'!CD45&lt;&gt;'📝 Four-tier กรอก'!CD6,'📝 Four-tier กรอก'!CE45="N"),"❓ NoK","🤔 Partial")))))</f>
        <v/>
      </c>
      <c r="X43" s="37">
        <f>COUNTIF(D43:W43,"✅ Sound")</f>
        <v/>
      </c>
      <c r="Y43" s="37">
        <f>COUNTIF(D43:W43,"❌ Misc.")</f>
        <v/>
      </c>
      <c r="Z43" s="37">
        <f>COUNTIF(D43:W43,"🎲 Guess")</f>
        <v/>
      </c>
      <c r="AA43" s="37">
        <f>COUNTIF(D43:W43,"❓ NoK")</f>
        <v/>
      </c>
    </row>
    <row r="44" ht="18" customHeight="1">
      <c r="B44" s="46">
        <f>'📝 Four-tier กรอก'!B46</f>
        <v/>
      </c>
      <c r="C44" s="51">
        <f>'📝 Four-tier กรอก'!C46</f>
        <v/>
      </c>
      <c r="D44" s="68">
        <f>IF(OR('📝 Four-tier กรอก'!D46="",'📝 Four-tier กรอก'!F46=""),"—",IF(AND('📝 Four-tier กรอก'!D46='📝 Four-tier กรอก'!D6,'📝 Four-tier กรอก'!E46="Y",'📝 Four-tier กรอก'!F46='📝 Four-tier กรอก'!F6,'📝 Four-tier กรอก'!G46="Y"),"✅ Sound",IF(AND('📝 Four-tier กรอก'!D46='📝 Four-tier กรอก'!D6,'📝 Four-tier กรอก'!E46="Y",'📝 Four-tier กรอก'!F46&lt;&gt;'📝 Four-tier กรอก'!F6,'📝 Four-tier กรอก'!G46="Y"),"🎲 Guess",IF(AND('📝 Four-tier กรอก'!D46&lt;&gt;'📝 Four-tier กรอก'!D6,'📝 Four-tier กรอก'!E46="Y",'📝 Four-tier กรอก'!F46&lt;&gt;'📝 Four-tier กรอก'!F6,'📝 Four-tier กรอก'!G46="Y"),"❌ Misc.",IF(AND('📝 Four-tier กรอก'!D46&lt;&gt;'📝 Four-tier กรอก'!D6,'📝 Four-tier กรอก'!E46="N",'📝 Four-tier กรอก'!F46&lt;&gt;'📝 Four-tier กรอก'!F6,'📝 Four-tier กรอก'!G46="N"),"❓ NoK","🤔 Partial")))))</f>
        <v/>
      </c>
      <c r="E44" s="68">
        <f>IF(OR('📝 Four-tier กรอก'!H46="",'📝 Four-tier กรอก'!J46=""),"—",IF(AND('📝 Four-tier กรอก'!H46='📝 Four-tier กรอก'!H6,'📝 Four-tier กรอก'!I46="Y",'📝 Four-tier กรอก'!J46='📝 Four-tier กรอก'!J6,'📝 Four-tier กรอก'!K46="Y"),"✅ Sound",IF(AND('📝 Four-tier กรอก'!H46='📝 Four-tier กรอก'!H6,'📝 Four-tier กรอก'!I46="Y",'📝 Four-tier กรอก'!J46&lt;&gt;'📝 Four-tier กรอก'!J6,'📝 Four-tier กรอก'!K46="Y"),"🎲 Guess",IF(AND('📝 Four-tier กรอก'!H46&lt;&gt;'📝 Four-tier กรอก'!H6,'📝 Four-tier กรอก'!I46="Y",'📝 Four-tier กรอก'!J46&lt;&gt;'📝 Four-tier กรอก'!J6,'📝 Four-tier กรอก'!K46="Y"),"❌ Misc.",IF(AND('📝 Four-tier กรอก'!H46&lt;&gt;'📝 Four-tier กรอก'!H6,'📝 Four-tier กรอก'!I46="N",'📝 Four-tier กรอก'!J46&lt;&gt;'📝 Four-tier กรอก'!J6,'📝 Four-tier กรอก'!K46="N"),"❓ NoK","🤔 Partial")))))</f>
        <v/>
      </c>
      <c r="F44" s="68">
        <f>IF(OR('📝 Four-tier กรอก'!L46="",'📝 Four-tier กรอก'!N46=""),"—",IF(AND('📝 Four-tier กรอก'!L46='📝 Four-tier กรอก'!L6,'📝 Four-tier กรอก'!M46="Y",'📝 Four-tier กรอก'!N46='📝 Four-tier กรอก'!N6,'📝 Four-tier กรอก'!O46="Y"),"✅ Sound",IF(AND('📝 Four-tier กรอก'!L46='📝 Four-tier กรอก'!L6,'📝 Four-tier กรอก'!M46="Y",'📝 Four-tier กรอก'!N46&lt;&gt;'📝 Four-tier กรอก'!N6,'📝 Four-tier กรอก'!O46="Y"),"🎲 Guess",IF(AND('📝 Four-tier กรอก'!L46&lt;&gt;'📝 Four-tier กรอก'!L6,'📝 Four-tier กรอก'!M46="Y",'📝 Four-tier กรอก'!N46&lt;&gt;'📝 Four-tier กรอก'!N6,'📝 Four-tier กรอก'!O46="Y"),"❌ Misc.",IF(AND('📝 Four-tier กรอก'!L46&lt;&gt;'📝 Four-tier กรอก'!L6,'📝 Four-tier กรอก'!M46="N",'📝 Four-tier กรอก'!N46&lt;&gt;'📝 Four-tier กรอก'!N6,'📝 Four-tier กรอก'!O46="N"),"❓ NoK","🤔 Partial")))))</f>
        <v/>
      </c>
      <c r="G44" s="68">
        <f>IF(OR('📝 Four-tier กรอก'!P46="",'📝 Four-tier กรอก'!R46=""),"—",IF(AND('📝 Four-tier กรอก'!P46='📝 Four-tier กรอก'!P6,'📝 Four-tier กรอก'!Q46="Y",'📝 Four-tier กรอก'!R46='📝 Four-tier กรอก'!R6,'📝 Four-tier กรอก'!S46="Y"),"✅ Sound",IF(AND('📝 Four-tier กรอก'!P46='📝 Four-tier กรอก'!P6,'📝 Four-tier กรอก'!Q46="Y",'📝 Four-tier กรอก'!R46&lt;&gt;'📝 Four-tier กรอก'!R6,'📝 Four-tier กรอก'!S46="Y"),"🎲 Guess",IF(AND('📝 Four-tier กรอก'!P46&lt;&gt;'📝 Four-tier กรอก'!P6,'📝 Four-tier กรอก'!Q46="Y",'📝 Four-tier กรอก'!R46&lt;&gt;'📝 Four-tier กรอก'!R6,'📝 Four-tier กรอก'!S46="Y"),"❌ Misc.",IF(AND('📝 Four-tier กรอก'!P46&lt;&gt;'📝 Four-tier กรอก'!P6,'📝 Four-tier กรอก'!Q46="N",'📝 Four-tier กรอก'!R46&lt;&gt;'📝 Four-tier กรอก'!R6,'📝 Four-tier กรอก'!S46="N"),"❓ NoK","🤔 Partial")))))</f>
        <v/>
      </c>
      <c r="H44" s="68">
        <f>IF(OR('📝 Four-tier กรอก'!T46="",'📝 Four-tier กรอก'!V46=""),"—",IF(AND('📝 Four-tier กรอก'!T46='📝 Four-tier กรอก'!T6,'📝 Four-tier กรอก'!U46="Y",'📝 Four-tier กรอก'!V46='📝 Four-tier กรอก'!V6,'📝 Four-tier กรอก'!W46="Y"),"✅ Sound",IF(AND('📝 Four-tier กรอก'!T46='📝 Four-tier กรอก'!T6,'📝 Four-tier กรอก'!U46="Y",'📝 Four-tier กรอก'!V46&lt;&gt;'📝 Four-tier กรอก'!V6,'📝 Four-tier กรอก'!W46="Y"),"🎲 Guess",IF(AND('📝 Four-tier กรอก'!T46&lt;&gt;'📝 Four-tier กรอก'!T6,'📝 Four-tier กรอก'!U46="Y",'📝 Four-tier กรอก'!V46&lt;&gt;'📝 Four-tier กรอก'!V6,'📝 Four-tier กรอก'!W46="Y"),"❌ Misc.",IF(AND('📝 Four-tier กรอก'!T46&lt;&gt;'📝 Four-tier กรอก'!T6,'📝 Four-tier กรอก'!U46="N",'📝 Four-tier กรอก'!V46&lt;&gt;'📝 Four-tier กรอก'!V6,'📝 Four-tier กรอก'!W46="N"),"❓ NoK","🤔 Partial")))))</f>
        <v/>
      </c>
      <c r="I44" s="68">
        <f>IF(OR('📝 Four-tier กรอก'!X46="",'📝 Four-tier กรอก'!Z46=""),"—",IF(AND('📝 Four-tier กรอก'!X46='📝 Four-tier กรอก'!X6,'📝 Four-tier กรอก'!Y46="Y",'📝 Four-tier กรอก'!Z46='📝 Four-tier กรอก'!Z6,'📝 Four-tier กรอก'!AA46="Y"),"✅ Sound",IF(AND('📝 Four-tier กรอก'!X46='📝 Four-tier กรอก'!X6,'📝 Four-tier กรอก'!Y46="Y",'📝 Four-tier กรอก'!Z46&lt;&gt;'📝 Four-tier กรอก'!Z6,'📝 Four-tier กรอก'!AA46="Y"),"🎲 Guess",IF(AND('📝 Four-tier กรอก'!X46&lt;&gt;'📝 Four-tier กรอก'!X6,'📝 Four-tier กรอก'!Y46="Y",'📝 Four-tier กรอก'!Z46&lt;&gt;'📝 Four-tier กรอก'!Z6,'📝 Four-tier กรอก'!AA46="Y"),"❌ Misc.",IF(AND('📝 Four-tier กรอก'!X46&lt;&gt;'📝 Four-tier กรอก'!X6,'📝 Four-tier กรอก'!Y46="N",'📝 Four-tier กรอก'!Z46&lt;&gt;'📝 Four-tier กรอก'!Z6,'📝 Four-tier กรอก'!AA46="N"),"❓ NoK","🤔 Partial")))))</f>
        <v/>
      </c>
      <c r="J44" s="68">
        <f>IF(OR('📝 Four-tier กรอก'!AB46="",'📝 Four-tier กรอก'!AD46=""),"—",IF(AND('📝 Four-tier กรอก'!AB46='📝 Four-tier กรอก'!AB6,'📝 Four-tier กรอก'!AC46="Y",'📝 Four-tier กรอก'!AD46='📝 Four-tier กรอก'!AD6,'📝 Four-tier กรอก'!AE46="Y"),"✅ Sound",IF(AND('📝 Four-tier กรอก'!AB46='📝 Four-tier กรอก'!AB6,'📝 Four-tier กรอก'!AC46="Y",'📝 Four-tier กรอก'!AD46&lt;&gt;'📝 Four-tier กรอก'!AD6,'📝 Four-tier กรอก'!AE46="Y"),"🎲 Guess",IF(AND('📝 Four-tier กรอก'!AB46&lt;&gt;'📝 Four-tier กรอก'!AB6,'📝 Four-tier กรอก'!AC46="Y",'📝 Four-tier กรอก'!AD46&lt;&gt;'📝 Four-tier กรอก'!AD6,'📝 Four-tier กรอก'!AE46="Y"),"❌ Misc.",IF(AND('📝 Four-tier กรอก'!AB46&lt;&gt;'📝 Four-tier กรอก'!AB6,'📝 Four-tier กรอก'!AC46="N",'📝 Four-tier กรอก'!AD46&lt;&gt;'📝 Four-tier กรอก'!AD6,'📝 Four-tier กรอก'!AE46="N"),"❓ NoK","🤔 Partial")))))</f>
        <v/>
      </c>
      <c r="K44" s="68">
        <f>IF(OR('📝 Four-tier กรอก'!AF46="",'📝 Four-tier กรอก'!AH46=""),"—",IF(AND('📝 Four-tier กรอก'!AF46='📝 Four-tier กรอก'!AF6,'📝 Four-tier กรอก'!AG46="Y",'📝 Four-tier กรอก'!AH46='📝 Four-tier กรอก'!AH6,'📝 Four-tier กรอก'!AI46="Y"),"✅ Sound",IF(AND('📝 Four-tier กรอก'!AF46='📝 Four-tier กรอก'!AF6,'📝 Four-tier กรอก'!AG46="Y",'📝 Four-tier กรอก'!AH46&lt;&gt;'📝 Four-tier กรอก'!AH6,'📝 Four-tier กรอก'!AI46="Y"),"🎲 Guess",IF(AND('📝 Four-tier กรอก'!AF46&lt;&gt;'📝 Four-tier กรอก'!AF6,'📝 Four-tier กรอก'!AG46="Y",'📝 Four-tier กรอก'!AH46&lt;&gt;'📝 Four-tier กรอก'!AH6,'📝 Four-tier กรอก'!AI46="Y"),"❌ Misc.",IF(AND('📝 Four-tier กรอก'!AF46&lt;&gt;'📝 Four-tier กรอก'!AF6,'📝 Four-tier กรอก'!AG46="N",'📝 Four-tier กรอก'!AH46&lt;&gt;'📝 Four-tier กรอก'!AH6,'📝 Four-tier กรอก'!AI46="N"),"❓ NoK","🤔 Partial")))))</f>
        <v/>
      </c>
      <c r="L44" s="68">
        <f>IF(OR('📝 Four-tier กรอก'!AJ46="",'📝 Four-tier กรอก'!AL46=""),"—",IF(AND('📝 Four-tier กรอก'!AJ46='📝 Four-tier กรอก'!AJ6,'📝 Four-tier กรอก'!AK46="Y",'📝 Four-tier กรอก'!AL46='📝 Four-tier กรอก'!AL6,'📝 Four-tier กรอก'!AM46="Y"),"✅ Sound",IF(AND('📝 Four-tier กรอก'!AJ46='📝 Four-tier กรอก'!AJ6,'📝 Four-tier กรอก'!AK46="Y",'📝 Four-tier กรอก'!AL46&lt;&gt;'📝 Four-tier กรอก'!AL6,'📝 Four-tier กรอก'!AM46="Y"),"🎲 Guess",IF(AND('📝 Four-tier กรอก'!AJ46&lt;&gt;'📝 Four-tier กรอก'!AJ6,'📝 Four-tier กรอก'!AK46="Y",'📝 Four-tier กรอก'!AL46&lt;&gt;'📝 Four-tier กรอก'!AL6,'📝 Four-tier กรอก'!AM46="Y"),"❌ Misc.",IF(AND('📝 Four-tier กรอก'!AJ46&lt;&gt;'📝 Four-tier กรอก'!AJ6,'📝 Four-tier กรอก'!AK46="N",'📝 Four-tier กรอก'!AL46&lt;&gt;'📝 Four-tier กรอก'!AL6,'📝 Four-tier กรอก'!AM46="N"),"❓ NoK","🤔 Partial")))))</f>
        <v/>
      </c>
      <c r="M44" s="68">
        <f>IF(OR('📝 Four-tier กรอก'!AN46="",'📝 Four-tier กรอก'!AP46=""),"—",IF(AND('📝 Four-tier กรอก'!AN46='📝 Four-tier กรอก'!AN6,'📝 Four-tier กรอก'!AO46="Y",'📝 Four-tier กรอก'!AP46='📝 Four-tier กรอก'!AP6,'📝 Four-tier กรอก'!AQ46="Y"),"✅ Sound",IF(AND('📝 Four-tier กรอก'!AN46='📝 Four-tier กรอก'!AN6,'📝 Four-tier กรอก'!AO46="Y",'📝 Four-tier กรอก'!AP46&lt;&gt;'📝 Four-tier กรอก'!AP6,'📝 Four-tier กรอก'!AQ46="Y"),"🎲 Guess",IF(AND('📝 Four-tier กรอก'!AN46&lt;&gt;'📝 Four-tier กรอก'!AN6,'📝 Four-tier กรอก'!AO46="Y",'📝 Four-tier กรอก'!AP46&lt;&gt;'📝 Four-tier กรอก'!AP6,'📝 Four-tier กรอก'!AQ46="Y"),"❌ Misc.",IF(AND('📝 Four-tier กรอก'!AN46&lt;&gt;'📝 Four-tier กรอก'!AN6,'📝 Four-tier กรอก'!AO46="N",'📝 Four-tier กรอก'!AP46&lt;&gt;'📝 Four-tier กรอก'!AP6,'📝 Four-tier กรอก'!AQ46="N"),"❓ NoK","🤔 Partial")))))</f>
        <v/>
      </c>
      <c r="N44" s="68">
        <f>IF(OR('📝 Four-tier กรอก'!AR46="",'📝 Four-tier กรอก'!AT46=""),"—",IF(AND('📝 Four-tier กรอก'!AR46='📝 Four-tier กรอก'!AR6,'📝 Four-tier กรอก'!AS46="Y",'📝 Four-tier กรอก'!AT46='📝 Four-tier กรอก'!AT6,'📝 Four-tier กรอก'!AU46="Y"),"✅ Sound",IF(AND('📝 Four-tier กรอก'!AR46='📝 Four-tier กรอก'!AR6,'📝 Four-tier กรอก'!AS46="Y",'📝 Four-tier กรอก'!AT46&lt;&gt;'📝 Four-tier กรอก'!AT6,'📝 Four-tier กรอก'!AU46="Y"),"🎲 Guess",IF(AND('📝 Four-tier กรอก'!AR46&lt;&gt;'📝 Four-tier กรอก'!AR6,'📝 Four-tier กรอก'!AS46="Y",'📝 Four-tier กรอก'!AT46&lt;&gt;'📝 Four-tier กรอก'!AT6,'📝 Four-tier กรอก'!AU46="Y"),"❌ Misc.",IF(AND('📝 Four-tier กรอก'!AR46&lt;&gt;'📝 Four-tier กรอก'!AR6,'📝 Four-tier กรอก'!AS46="N",'📝 Four-tier กรอก'!AT46&lt;&gt;'📝 Four-tier กรอก'!AT6,'📝 Four-tier กรอก'!AU46="N"),"❓ NoK","🤔 Partial")))))</f>
        <v/>
      </c>
      <c r="O44" s="68">
        <f>IF(OR('📝 Four-tier กรอก'!AV46="",'📝 Four-tier กรอก'!AX46=""),"—",IF(AND('📝 Four-tier กรอก'!AV46='📝 Four-tier กรอก'!AV6,'📝 Four-tier กรอก'!AW46="Y",'📝 Four-tier กรอก'!AX46='📝 Four-tier กรอก'!AX6,'📝 Four-tier กรอก'!AY46="Y"),"✅ Sound",IF(AND('📝 Four-tier กรอก'!AV46='📝 Four-tier กรอก'!AV6,'📝 Four-tier กรอก'!AW46="Y",'📝 Four-tier กรอก'!AX46&lt;&gt;'📝 Four-tier กรอก'!AX6,'📝 Four-tier กรอก'!AY46="Y"),"🎲 Guess",IF(AND('📝 Four-tier กรอก'!AV46&lt;&gt;'📝 Four-tier กรอก'!AV6,'📝 Four-tier กรอก'!AW46="Y",'📝 Four-tier กรอก'!AX46&lt;&gt;'📝 Four-tier กรอก'!AX6,'📝 Four-tier กรอก'!AY46="Y"),"❌ Misc.",IF(AND('📝 Four-tier กรอก'!AV46&lt;&gt;'📝 Four-tier กรอก'!AV6,'📝 Four-tier กรอก'!AW46="N",'📝 Four-tier กรอก'!AX46&lt;&gt;'📝 Four-tier กรอก'!AX6,'📝 Four-tier กรอก'!AY46="N"),"❓ NoK","🤔 Partial")))))</f>
        <v/>
      </c>
      <c r="P44" s="68">
        <f>IF(OR('📝 Four-tier กรอก'!AZ46="",'📝 Four-tier กรอก'!BB46=""),"—",IF(AND('📝 Four-tier กรอก'!AZ46='📝 Four-tier กรอก'!AZ6,'📝 Four-tier กรอก'!BA46="Y",'📝 Four-tier กรอก'!BB46='📝 Four-tier กรอก'!BB6,'📝 Four-tier กรอก'!BC46="Y"),"✅ Sound",IF(AND('📝 Four-tier กรอก'!AZ46='📝 Four-tier กรอก'!AZ6,'📝 Four-tier กรอก'!BA46="Y",'📝 Four-tier กรอก'!BB46&lt;&gt;'📝 Four-tier กรอก'!BB6,'📝 Four-tier กรอก'!BC46="Y"),"🎲 Guess",IF(AND('📝 Four-tier กรอก'!AZ46&lt;&gt;'📝 Four-tier กรอก'!AZ6,'📝 Four-tier กรอก'!BA46="Y",'📝 Four-tier กรอก'!BB46&lt;&gt;'📝 Four-tier กรอก'!BB6,'📝 Four-tier กรอก'!BC46="Y"),"❌ Misc.",IF(AND('📝 Four-tier กรอก'!AZ46&lt;&gt;'📝 Four-tier กรอก'!AZ6,'📝 Four-tier กรอก'!BA46="N",'📝 Four-tier กรอก'!BB46&lt;&gt;'📝 Four-tier กรอก'!BB6,'📝 Four-tier กรอก'!BC46="N"),"❓ NoK","🤔 Partial")))))</f>
        <v/>
      </c>
      <c r="Q44" s="68">
        <f>IF(OR('📝 Four-tier กรอก'!BD46="",'📝 Four-tier กรอก'!BF46=""),"—",IF(AND('📝 Four-tier กรอก'!BD46='📝 Four-tier กรอก'!BD6,'📝 Four-tier กรอก'!BE46="Y",'📝 Four-tier กรอก'!BF46='📝 Four-tier กรอก'!BF6,'📝 Four-tier กรอก'!BG46="Y"),"✅ Sound",IF(AND('📝 Four-tier กรอก'!BD46='📝 Four-tier กรอก'!BD6,'📝 Four-tier กรอก'!BE46="Y",'📝 Four-tier กรอก'!BF46&lt;&gt;'📝 Four-tier กรอก'!BF6,'📝 Four-tier กรอก'!BG46="Y"),"🎲 Guess",IF(AND('📝 Four-tier กรอก'!BD46&lt;&gt;'📝 Four-tier กรอก'!BD6,'📝 Four-tier กรอก'!BE46="Y",'📝 Four-tier กรอก'!BF46&lt;&gt;'📝 Four-tier กรอก'!BF6,'📝 Four-tier กรอก'!BG46="Y"),"❌ Misc.",IF(AND('📝 Four-tier กรอก'!BD46&lt;&gt;'📝 Four-tier กรอก'!BD6,'📝 Four-tier กรอก'!BE46="N",'📝 Four-tier กรอก'!BF46&lt;&gt;'📝 Four-tier กรอก'!BF6,'📝 Four-tier กรอก'!BG46="N"),"❓ NoK","🤔 Partial")))))</f>
        <v/>
      </c>
      <c r="R44" s="68">
        <f>IF(OR('📝 Four-tier กรอก'!BH46="",'📝 Four-tier กรอก'!BJ46=""),"—",IF(AND('📝 Four-tier กรอก'!BH46='📝 Four-tier กรอก'!BH6,'📝 Four-tier กรอก'!BI46="Y",'📝 Four-tier กรอก'!BJ46='📝 Four-tier กรอก'!BJ6,'📝 Four-tier กรอก'!BK46="Y"),"✅ Sound",IF(AND('📝 Four-tier กรอก'!BH46='📝 Four-tier กรอก'!BH6,'📝 Four-tier กรอก'!BI46="Y",'📝 Four-tier กรอก'!BJ46&lt;&gt;'📝 Four-tier กรอก'!BJ6,'📝 Four-tier กรอก'!BK46="Y"),"🎲 Guess",IF(AND('📝 Four-tier กรอก'!BH46&lt;&gt;'📝 Four-tier กรอก'!BH6,'📝 Four-tier กรอก'!BI46="Y",'📝 Four-tier กรอก'!BJ46&lt;&gt;'📝 Four-tier กรอก'!BJ6,'📝 Four-tier กรอก'!BK46="Y"),"❌ Misc.",IF(AND('📝 Four-tier กรอก'!BH46&lt;&gt;'📝 Four-tier กรอก'!BH6,'📝 Four-tier กรอก'!BI46="N",'📝 Four-tier กรอก'!BJ46&lt;&gt;'📝 Four-tier กรอก'!BJ6,'📝 Four-tier กรอก'!BK46="N"),"❓ NoK","🤔 Partial")))))</f>
        <v/>
      </c>
      <c r="S44" s="68">
        <f>IF(OR('📝 Four-tier กรอก'!BL46="",'📝 Four-tier กรอก'!BN46=""),"—",IF(AND('📝 Four-tier กรอก'!BL46='📝 Four-tier กรอก'!BL6,'📝 Four-tier กรอก'!BM46="Y",'📝 Four-tier กรอก'!BN46='📝 Four-tier กรอก'!BN6,'📝 Four-tier กรอก'!BO46="Y"),"✅ Sound",IF(AND('📝 Four-tier กรอก'!BL46='📝 Four-tier กรอก'!BL6,'📝 Four-tier กรอก'!BM46="Y",'📝 Four-tier กรอก'!BN46&lt;&gt;'📝 Four-tier กรอก'!BN6,'📝 Four-tier กรอก'!BO46="Y"),"🎲 Guess",IF(AND('📝 Four-tier กรอก'!BL46&lt;&gt;'📝 Four-tier กรอก'!BL6,'📝 Four-tier กรอก'!BM46="Y",'📝 Four-tier กรอก'!BN46&lt;&gt;'📝 Four-tier กรอก'!BN6,'📝 Four-tier กรอก'!BO46="Y"),"❌ Misc.",IF(AND('📝 Four-tier กรอก'!BL46&lt;&gt;'📝 Four-tier กรอก'!BL6,'📝 Four-tier กรอก'!BM46="N",'📝 Four-tier กรอก'!BN46&lt;&gt;'📝 Four-tier กรอก'!BN6,'📝 Four-tier กรอก'!BO46="N"),"❓ NoK","🤔 Partial")))))</f>
        <v/>
      </c>
      <c r="T44" s="68">
        <f>IF(OR('📝 Four-tier กรอก'!BP46="",'📝 Four-tier กรอก'!BR46=""),"—",IF(AND('📝 Four-tier กรอก'!BP46='📝 Four-tier กรอก'!BP6,'📝 Four-tier กรอก'!BQ46="Y",'📝 Four-tier กรอก'!BR46='📝 Four-tier กรอก'!BR6,'📝 Four-tier กรอก'!BS46="Y"),"✅ Sound",IF(AND('📝 Four-tier กรอก'!BP46='📝 Four-tier กรอก'!BP6,'📝 Four-tier กรอก'!BQ46="Y",'📝 Four-tier กรอก'!BR46&lt;&gt;'📝 Four-tier กรอก'!BR6,'📝 Four-tier กรอก'!BS46="Y"),"🎲 Guess",IF(AND('📝 Four-tier กรอก'!BP46&lt;&gt;'📝 Four-tier กรอก'!BP6,'📝 Four-tier กรอก'!BQ46="Y",'📝 Four-tier กรอก'!BR46&lt;&gt;'📝 Four-tier กรอก'!BR6,'📝 Four-tier กรอก'!BS46="Y"),"❌ Misc.",IF(AND('📝 Four-tier กรอก'!BP46&lt;&gt;'📝 Four-tier กรอก'!BP6,'📝 Four-tier กรอก'!BQ46="N",'📝 Four-tier กรอก'!BR46&lt;&gt;'📝 Four-tier กรอก'!BR6,'📝 Four-tier กรอก'!BS46="N"),"❓ NoK","🤔 Partial")))))</f>
        <v/>
      </c>
      <c r="U44" s="68">
        <f>IF(OR('📝 Four-tier กรอก'!BT46="",'📝 Four-tier กรอก'!BV46=""),"—",IF(AND('📝 Four-tier กรอก'!BT46='📝 Four-tier กรอก'!BT6,'📝 Four-tier กรอก'!BU46="Y",'📝 Four-tier กรอก'!BV46='📝 Four-tier กรอก'!BV6,'📝 Four-tier กรอก'!BW46="Y"),"✅ Sound",IF(AND('📝 Four-tier กรอก'!BT46='📝 Four-tier กรอก'!BT6,'📝 Four-tier กรอก'!BU46="Y",'📝 Four-tier กรอก'!BV46&lt;&gt;'📝 Four-tier กรอก'!BV6,'📝 Four-tier กรอก'!BW46="Y"),"🎲 Guess",IF(AND('📝 Four-tier กรอก'!BT46&lt;&gt;'📝 Four-tier กรอก'!BT6,'📝 Four-tier กรอก'!BU46="Y",'📝 Four-tier กรอก'!BV46&lt;&gt;'📝 Four-tier กรอก'!BV6,'📝 Four-tier กรอก'!BW46="Y"),"❌ Misc.",IF(AND('📝 Four-tier กรอก'!BT46&lt;&gt;'📝 Four-tier กรอก'!BT6,'📝 Four-tier กรอก'!BU46="N",'📝 Four-tier กรอก'!BV46&lt;&gt;'📝 Four-tier กรอก'!BV6,'📝 Four-tier กรอก'!BW46="N"),"❓ NoK","🤔 Partial")))))</f>
        <v/>
      </c>
      <c r="V44" s="68">
        <f>IF(OR('📝 Four-tier กรอก'!BX46="",'📝 Four-tier กรอก'!BZ46=""),"—",IF(AND('📝 Four-tier กรอก'!BX46='📝 Four-tier กรอก'!BX6,'📝 Four-tier กรอก'!BY46="Y",'📝 Four-tier กรอก'!BZ46='📝 Four-tier กรอก'!BZ6,'📝 Four-tier กรอก'!CA46="Y"),"✅ Sound",IF(AND('📝 Four-tier กรอก'!BX46='📝 Four-tier กรอก'!BX6,'📝 Four-tier กรอก'!BY46="Y",'📝 Four-tier กรอก'!BZ46&lt;&gt;'📝 Four-tier กรอก'!BZ6,'📝 Four-tier กรอก'!CA46="Y"),"🎲 Guess",IF(AND('📝 Four-tier กรอก'!BX46&lt;&gt;'📝 Four-tier กรอก'!BX6,'📝 Four-tier กรอก'!BY46="Y",'📝 Four-tier กรอก'!BZ46&lt;&gt;'📝 Four-tier กรอก'!BZ6,'📝 Four-tier กรอก'!CA46="Y"),"❌ Misc.",IF(AND('📝 Four-tier กรอก'!BX46&lt;&gt;'📝 Four-tier กรอก'!BX6,'📝 Four-tier กรอก'!BY46="N",'📝 Four-tier กรอก'!BZ46&lt;&gt;'📝 Four-tier กรอก'!BZ6,'📝 Four-tier กรอก'!CA46="N"),"❓ NoK","🤔 Partial")))))</f>
        <v/>
      </c>
      <c r="W44" s="68">
        <f>IF(OR('📝 Four-tier กรอก'!CB46="",'📝 Four-tier กรอก'!CD46=""),"—",IF(AND('📝 Four-tier กรอก'!CB46='📝 Four-tier กรอก'!CB6,'📝 Four-tier กรอก'!CC46="Y",'📝 Four-tier กรอก'!CD46='📝 Four-tier กรอก'!CD6,'📝 Four-tier กรอก'!CE46="Y"),"✅ Sound",IF(AND('📝 Four-tier กรอก'!CB46='📝 Four-tier กรอก'!CB6,'📝 Four-tier กรอก'!CC46="Y",'📝 Four-tier กรอก'!CD46&lt;&gt;'📝 Four-tier กรอก'!CD6,'📝 Four-tier กรอก'!CE46="Y"),"🎲 Guess",IF(AND('📝 Four-tier กรอก'!CB46&lt;&gt;'📝 Four-tier กรอก'!CB6,'📝 Four-tier กรอก'!CC46="Y",'📝 Four-tier กรอก'!CD46&lt;&gt;'📝 Four-tier กรอก'!CD6,'📝 Four-tier กรอก'!CE46="Y"),"❌ Misc.",IF(AND('📝 Four-tier กรอก'!CB46&lt;&gt;'📝 Four-tier กรอก'!CB6,'📝 Four-tier กรอก'!CC46="N",'📝 Four-tier กรอก'!CD46&lt;&gt;'📝 Four-tier กรอก'!CD6,'📝 Four-tier กรอก'!CE46="N"),"❓ NoK","🤔 Partial")))))</f>
        <v/>
      </c>
      <c r="X44" s="37">
        <f>COUNTIF(D44:W44,"✅ Sound")</f>
        <v/>
      </c>
      <c r="Y44" s="37">
        <f>COUNTIF(D44:W44,"❌ Misc.")</f>
        <v/>
      </c>
      <c r="Z44" s="37">
        <f>COUNTIF(D44:W44,"🎲 Guess")</f>
        <v/>
      </c>
      <c r="AA44" s="37">
        <f>COUNTIF(D44:W44,"❓ NoK")</f>
        <v/>
      </c>
    </row>
    <row r="45" ht="15" customHeight="1">
      <c r="B45" s="229" t="inlineStr">
        <is>
          <t>% ทั้งชั้น (Auto)</t>
        </is>
      </c>
      <c r="C45" s="369" t="n"/>
      <c r="D45" s="69">
        <f>IFERROR(COUNTIF(D5:D44,"✅ Sound")/COUNTA(D5:D44),0)</f>
        <v/>
      </c>
      <c r="E45" s="69">
        <f>IFERROR(COUNTIF(E5:E44,"✅ Sound")/COUNTA(E5:E44),0)</f>
        <v/>
      </c>
      <c r="F45" s="69">
        <f>IFERROR(COUNTIF(F5:F44,"✅ Sound")/COUNTA(F5:F44),0)</f>
        <v/>
      </c>
      <c r="G45" s="69">
        <f>IFERROR(COUNTIF(G5:G44,"✅ Sound")/COUNTA(G5:G44),0)</f>
        <v/>
      </c>
      <c r="H45" s="69">
        <f>IFERROR(COUNTIF(H5:H44,"✅ Sound")/COUNTA(H5:H44),0)</f>
        <v/>
      </c>
      <c r="I45" s="69">
        <f>IFERROR(COUNTIF(I5:I44,"✅ Sound")/COUNTA(I5:I44),0)</f>
        <v/>
      </c>
      <c r="J45" s="69">
        <f>IFERROR(COUNTIF(J5:J44,"✅ Sound")/COUNTA(J5:J44),0)</f>
        <v/>
      </c>
      <c r="K45" s="69">
        <f>IFERROR(COUNTIF(K5:K44,"✅ Sound")/COUNTA(K5:K44),0)</f>
        <v/>
      </c>
      <c r="L45" s="69">
        <f>IFERROR(COUNTIF(L5:L44,"✅ Sound")/COUNTA(L5:L44),0)</f>
        <v/>
      </c>
      <c r="M45" s="69">
        <f>IFERROR(COUNTIF(M5:M44,"✅ Sound")/COUNTA(M5:M44),0)</f>
        <v/>
      </c>
      <c r="N45" s="69">
        <f>IFERROR(COUNTIF(N5:N44,"✅ Sound")/COUNTA(N5:N44),0)</f>
        <v/>
      </c>
      <c r="O45" s="69">
        <f>IFERROR(COUNTIF(O5:O44,"✅ Sound")/COUNTA(O5:O44),0)</f>
        <v/>
      </c>
      <c r="P45" s="69">
        <f>IFERROR(COUNTIF(P5:P44,"✅ Sound")/COUNTA(P5:P44),0)</f>
        <v/>
      </c>
      <c r="Q45" s="69">
        <f>IFERROR(COUNTIF(Q5:Q44,"✅ Sound")/COUNTA(Q5:Q44),0)</f>
        <v/>
      </c>
      <c r="R45" s="69">
        <f>IFERROR(COUNTIF(R5:R44,"✅ Sound")/COUNTA(R5:R44),0)</f>
        <v/>
      </c>
      <c r="S45" s="69">
        <f>IFERROR(COUNTIF(S5:S44,"✅ Sound")/COUNTA(S5:S44),0)</f>
        <v/>
      </c>
      <c r="T45" s="69">
        <f>IFERROR(COUNTIF(T5:T44,"✅ Sound")/COUNTA(T5:T44),0)</f>
        <v/>
      </c>
      <c r="U45" s="69">
        <f>IFERROR(COUNTIF(U5:U44,"✅ Sound")/COUNTA(U5:U44),0)</f>
        <v/>
      </c>
      <c r="V45" s="69">
        <f>IFERROR(COUNTIF(V5:V44,"✅ Sound")/COUNTA(V5:V44),0)</f>
        <v/>
      </c>
      <c r="W45" s="69">
        <f>IFERROR(COUNTIF(W5:W44,"✅ Sound")/COUNTA(W5:W44),0)</f>
        <v/>
      </c>
    </row>
    <row r="49" ht="24" customHeight="1">
      <c r="B49" s="255" t="inlineStr">
        <is>
          <t>🟢 Post-test — ผลการจำแนก (Auto)</t>
        </is>
      </c>
    </row>
    <row r="50" ht="30" customHeight="1">
      <c r="B50" s="70" t="inlineStr">
        <is>
          <t>ที่</t>
        </is>
      </c>
      <c r="C50" s="70" t="inlineStr">
        <is>
          <t>ชื่อนักเรียน</t>
        </is>
      </c>
      <c r="D50" s="62" t="inlineStr">
        <is>
          <t>ข้อ 1</t>
        </is>
      </c>
      <c r="E50" s="62" t="inlineStr">
        <is>
          <t>ข้อ 2</t>
        </is>
      </c>
      <c r="F50" s="62" t="inlineStr">
        <is>
          <t>ข้อ 3</t>
        </is>
      </c>
      <c r="G50" s="62" t="inlineStr">
        <is>
          <t>ข้อ 4</t>
        </is>
      </c>
      <c r="H50" s="62" t="inlineStr">
        <is>
          <t>ข้อ 5</t>
        </is>
      </c>
      <c r="I50" s="62" t="inlineStr">
        <is>
          <t>ข้อ 6</t>
        </is>
      </c>
      <c r="J50" s="62" t="inlineStr">
        <is>
          <t>ข้อ 7</t>
        </is>
      </c>
      <c r="K50" s="62" t="inlineStr">
        <is>
          <t>ข้อ 8</t>
        </is>
      </c>
      <c r="L50" s="62" t="inlineStr">
        <is>
          <t>ข้อ 9</t>
        </is>
      </c>
      <c r="M50" s="62" t="inlineStr">
        <is>
          <t>ข้อ 10</t>
        </is>
      </c>
      <c r="N50" s="62" t="inlineStr">
        <is>
          <t>ข้อ 11</t>
        </is>
      </c>
      <c r="O50" s="62" t="inlineStr">
        <is>
          <t>ข้อ 12</t>
        </is>
      </c>
      <c r="P50" s="62" t="inlineStr">
        <is>
          <t>ข้อ 13</t>
        </is>
      </c>
      <c r="Q50" s="62" t="inlineStr">
        <is>
          <t>ข้อ 14</t>
        </is>
      </c>
      <c r="R50" s="62" t="inlineStr">
        <is>
          <t>ข้อ 15</t>
        </is>
      </c>
      <c r="S50" s="62" t="inlineStr">
        <is>
          <t>ข้อ 16</t>
        </is>
      </c>
      <c r="T50" s="62" t="inlineStr">
        <is>
          <t>ข้อ 17</t>
        </is>
      </c>
      <c r="U50" s="62" t="inlineStr">
        <is>
          <t>ข้อ 18</t>
        </is>
      </c>
      <c r="V50" s="62" t="inlineStr">
        <is>
          <t>ข้อ 19</t>
        </is>
      </c>
      <c r="W50" s="62" t="inlineStr">
        <is>
          <t>ข้อ 20</t>
        </is>
      </c>
      <c r="X50" s="27" t="inlineStr">
        <is>
          <t>Sound
✅</t>
        </is>
      </c>
      <c r="Y50" s="44" t="inlineStr">
        <is>
          <t>Misc.
❌</t>
        </is>
      </c>
      <c r="Z50" s="65" t="inlineStr">
        <is>
          <t>Guess
🎲</t>
        </is>
      </c>
      <c r="AA50" s="66" t="inlineStr">
        <is>
          <t>NoK
❓</t>
        </is>
      </c>
    </row>
    <row r="51" ht="18" customHeight="1">
      <c r="B51" s="46">
        <f>'📝 Four-tier กรอก'!B52</f>
        <v/>
      </c>
      <c r="C51" s="47">
        <f>'📝 Four-tier กรอก'!C52</f>
        <v/>
      </c>
      <c r="D51" s="67">
        <f>IF(OR('📝 Four-tier กรอก'!D52="",'📝 Four-tier กรอก'!F52=""),"—",IF(AND('📝 Four-tier กรอก'!D52='📝 Four-tier กรอก'!D51,'📝 Four-tier กรอก'!E52="Y",'📝 Four-tier กรอก'!F52='📝 Four-tier กรอก'!F51,'📝 Four-tier กรอก'!G52="Y"),"✅ Sound",IF(AND('📝 Four-tier กรอก'!D52='📝 Four-tier กรอก'!D51,'📝 Four-tier กรอก'!E52="Y",'📝 Four-tier กรอก'!F52&lt;&gt;'📝 Four-tier กรอก'!F51,'📝 Four-tier กรอก'!G52="Y"),"🎲 Guess",IF(AND('📝 Four-tier กรอก'!D52&lt;&gt;'📝 Four-tier กรอก'!D51,'📝 Four-tier กรอก'!E52="Y",'📝 Four-tier กรอก'!F52&lt;&gt;'📝 Four-tier กรอก'!F51,'📝 Four-tier กรอก'!G52="Y"),"❌ Misc.",IF(AND('📝 Four-tier กรอก'!D52&lt;&gt;'📝 Four-tier กรอก'!D51,'📝 Four-tier กรอก'!E52="N",'📝 Four-tier กรอก'!F52&lt;&gt;'📝 Four-tier กรอก'!F51,'📝 Four-tier กรอก'!G52="N"),"❓ NoK","🤔 Partial")))))</f>
        <v/>
      </c>
      <c r="E51" s="67">
        <f>IF(OR('📝 Four-tier กรอก'!H52="",'📝 Four-tier กรอก'!J52=""),"—",IF(AND('📝 Four-tier กรอก'!H52='📝 Four-tier กรอก'!H51,'📝 Four-tier กรอก'!I52="Y",'📝 Four-tier กรอก'!J52='📝 Four-tier กรอก'!J51,'📝 Four-tier กรอก'!K52="Y"),"✅ Sound",IF(AND('📝 Four-tier กรอก'!H52='📝 Four-tier กรอก'!H51,'📝 Four-tier กรอก'!I52="Y",'📝 Four-tier กรอก'!J52&lt;&gt;'📝 Four-tier กรอก'!J51,'📝 Four-tier กรอก'!K52="Y"),"🎲 Guess",IF(AND('📝 Four-tier กรอก'!H52&lt;&gt;'📝 Four-tier กรอก'!H51,'📝 Four-tier กรอก'!I52="Y",'📝 Four-tier กรอก'!J52&lt;&gt;'📝 Four-tier กรอก'!J51,'📝 Four-tier กรอก'!K52="Y"),"❌ Misc.",IF(AND('📝 Four-tier กรอก'!H52&lt;&gt;'📝 Four-tier กรอก'!H51,'📝 Four-tier กรอก'!I52="N",'📝 Four-tier กรอก'!J52&lt;&gt;'📝 Four-tier กรอก'!J51,'📝 Four-tier กรอก'!K52="N"),"❓ NoK","🤔 Partial")))))</f>
        <v/>
      </c>
      <c r="F51" s="67">
        <f>IF(OR('📝 Four-tier กรอก'!L52="",'📝 Four-tier กรอก'!N52=""),"—",IF(AND('📝 Four-tier กรอก'!L52='📝 Four-tier กรอก'!L51,'📝 Four-tier กรอก'!M52="Y",'📝 Four-tier กรอก'!N52='📝 Four-tier กรอก'!N51,'📝 Four-tier กรอก'!O52="Y"),"✅ Sound",IF(AND('📝 Four-tier กรอก'!L52='📝 Four-tier กรอก'!L51,'📝 Four-tier กรอก'!M52="Y",'📝 Four-tier กรอก'!N52&lt;&gt;'📝 Four-tier กรอก'!N51,'📝 Four-tier กรอก'!O52="Y"),"🎲 Guess",IF(AND('📝 Four-tier กรอก'!L52&lt;&gt;'📝 Four-tier กรอก'!L51,'📝 Four-tier กรอก'!M52="Y",'📝 Four-tier กรอก'!N52&lt;&gt;'📝 Four-tier กรอก'!N51,'📝 Four-tier กรอก'!O52="Y"),"❌ Misc.",IF(AND('📝 Four-tier กรอก'!L52&lt;&gt;'📝 Four-tier กรอก'!L51,'📝 Four-tier กรอก'!M52="N",'📝 Four-tier กรอก'!N52&lt;&gt;'📝 Four-tier กรอก'!N51,'📝 Four-tier กรอก'!O52="N"),"❓ NoK","🤔 Partial")))))</f>
        <v/>
      </c>
      <c r="G51" s="67">
        <f>IF(OR('📝 Four-tier กรอก'!P52="",'📝 Four-tier กรอก'!R52=""),"—",IF(AND('📝 Four-tier กรอก'!P52='📝 Four-tier กรอก'!P51,'📝 Four-tier กรอก'!Q52="Y",'📝 Four-tier กรอก'!R52='📝 Four-tier กรอก'!R51,'📝 Four-tier กรอก'!S52="Y"),"✅ Sound",IF(AND('📝 Four-tier กรอก'!P52='📝 Four-tier กรอก'!P51,'📝 Four-tier กรอก'!Q52="Y",'📝 Four-tier กรอก'!R52&lt;&gt;'📝 Four-tier กรอก'!R51,'📝 Four-tier กรอก'!S52="Y"),"🎲 Guess",IF(AND('📝 Four-tier กรอก'!P52&lt;&gt;'📝 Four-tier กรอก'!P51,'📝 Four-tier กรอก'!Q52="Y",'📝 Four-tier กรอก'!R52&lt;&gt;'📝 Four-tier กรอก'!R51,'📝 Four-tier กรอก'!S52="Y"),"❌ Misc.",IF(AND('📝 Four-tier กรอก'!P52&lt;&gt;'📝 Four-tier กรอก'!P51,'📝 Four-tier กรอก'!Q52="N",'📝 Four-tier กรอก'!R52&lt;&gt;'📝 Four-tier กรอก'!R51,'📝 Four-tier กรอก'!S52="N"),"❓ NoK","🤔 Partial")))))</f>
        <v/>
      </c>
      <c r="H51" s="67">
        <f>IF(OR('📝 Four-tier กรอก'!T52="",'📝 Four-tier กรอก'!V52=""),"—",IF(AND('📝 Four-tier กรอก'!T52='📝 Four-tier กรอก'!T51,'📝 Four-tier กรอก'!U52="Y",'📝 Four-tier กรอก'!V52='📝 Four-tier กรอก'!V51,'📝 Four-tier กรอก'!W52="Y"),"✅ Sound",IF(AND('📝 Four-tier กรอก'!T52='📝 Four-tier กรอก'!T51,'📝 Four-tier กรอก'!U52="Y",'📝 Four-tier กรอก'!V52&lt;&gt;'📝 Four-tier กรอก'!V51,'📝 Four-tier กรอก'!W52="Y"),"🎲 Guess",IF(AND('📝 Four-tier กรอก'!T52&lt;&gt;'📝 Four-tier กรอก'!T51,'📝 Four-tier กรอก'!U52="Y",'📝 Four-tier กรอก'!V52&lt;&gt;'📝 Four-tier กรอก'!V51,'📝 Four-tier กรอก'!W52="Y"),"❌ Misc.",IF(AND('📝 Four-tier กรอก'!T52&lt;&gt;'📝 Four-tier กรอก'!T51,'📝 Four-tier กรอก'!U52="N",'📝 Four-tier กรอก'!V52&lt;&gt;'📝 Four-tier กรอก'!V51,'📝 Four-tier กรอก'!W52="N"),"❓ NoK","🤔 Partial")))))</f>
        <v/>
      </c>
      <c r="I51" s="67">
        <f>IF(OR('📝 Four-tier กรอก'!X52="",'📝 Four-tier กรอก'!Z52=""),"—",IF(AND('📝 Four-tier กรอก'!X52='📝 Four-tier กรอก'!X51,'📝 Four-tier กรอก'!Y52="Y",'📝 Four-tier กรอก'!Z52='📝 Four-tier กรอก'!Z51,'📝 Four-tier กรอก'!AA52="Y"),"✅ Sound",IF(AND('📝 Four-tier กรอก'!X52='📝 Four-tier กรอก'!X51,'📝 Four-tier กรอก'!Y52="Y",'📝 Four-tier กรอก'!Z52&lt;&gt;'📝 Four-tier กรอก'!Z51,'📝 Four-tier กรอก'!AA52="Y"),"🎲 Guess",IF(AND('📝 Four-tier กรอก'!X52&lt;&gt;'📝 Four-tier กรอก'!X51,'📝 Four-tier กรอก'!Y52="Y",'📝 Four-tier กรอก'!Z52&lt;&gt;'📝 Four-tier กรอก'!Z51,'📝 Four-tier กรอก'!AA52="Y"),"❌ Misc.",IF(AND('📝 Four-tier กรอก'!X52&lt;&gt;'📝 Four-tier กรอก'!X51,'📝 Four-tier กรอก'!Y52="N",'📝 Four-tier กรอก'!Z52&lt;&gt;'📝 Four-tier กรอก'!Z51,'📝 Four-tier กรอก'!AA52="N"),"❓ NoK","🤔 Partial")))))</f>
        <v/>
      </c>
      <c r="J51" s="67">
        <f>IF(OR('📝 Four-tier กรอก'!AB52="",'📝 Four-tier กรอก'!AD52=""),"—",IF(AND('📝 Four-tier กรอก'!AB52='📝 Four-tier กรอก'!AB51,'📝 Four-tier กรอก'!AC52="Y",'📝 Four-tier กรอก'!AD52='📝 Four-tier กรอก'!AD51,'📝 Four-tier กรอก'!AE52="Y"),"✅ Sound",IF(AND('📝 Four-tier กรอก'!AB52='📝 Four-tier กรอก'!AB51,'📝 Four-tier กรอก'!AC52="Y",'📝 Four-tier กรอก'!AD52&lt;&gt;'📝 Four-tier กรอก'!AD51,'📝 Four-tier กรอก'!AE52="Y"),"🎲 Guess",IF(AND('📝 Four-tier กรอก'!AB52&lt;&gt;'📝 Four-tier กรอก'!AB51,'📝 Four-tier กรอก'!AC52="Y",'📝 Four-tier กรอก'!AD52&lt;&gt;'📝 Four-tier กรอก'!AD51,'📝 Four-tier กรอก'!AE52="Y"),"❌ Misc.",IF(AND('📝 Four-tier กรอก'!AB52&lt;&gt;'📝 Four-tier กรอก'!AB51,'📝 Four-tier กรอก'!AC52="N",'📝 Four-tier กรอก'!AD52&lt;&gt;'📝 Four-tier กรอก'!AD51,'📝 Four-tier กรอก'!AE52="N"),"❓ NoK","🤔 Partial")))))</f>
        <v/>
      </c>
      <c r="K51" s="67">
        <f>IF(OR('📝 Four-tier กรอก'!AF52="",'📝 Four-tier กรอก'!AH52=""),"—",IF(AND('📝 Four-tier กรอก'!AF52='📝 Four-tier กรอก'!AF51,'📝 Four-tier กรอก'!AG52="Y",'📝 Four-tier กรอก'!AH52='📝 Four-tier กรอก'!AH51,'📝 Four-tier กรอก'!AI52="Y"),"✅ Sound",IF(AND('📝 Four-tier กรอก'!AF52='📝 Four-tier กรอก'!AF51,'📝 Four-tier กรอก'!AG52="Y",'📝 Four-tier กรอก'!AH52&lt;&gt;'📝 Four-tier กรอก'!AH51,'📝 Four-tier กรอก'!AI52="Y"),"🎲 Guess",IF(AND('📝 Four-tier กรอก'!AF52&lt;&gt;'📝 Four-tier กรอก'!AF51,'📝 Four-tier กรอก'!AG52="Y",'📝 Four-tier กรอก'!AH52&lt;&gt;'📝 Four-tier กรอก'!AH51,'📝 Four-tier กรอก'!AI52="Y"),"❌ Misc.",IF(AND('📝 Four-tier กรอก'!AF52&lt;&gt;'📝 Four-tier กรอก'!AF51,'📝 Four-tier กรอก'!AG52="N",'📝 Four-tier กรอก'!AH52&lt;&gt;'📝 Four-tier กรอก'!AH51,'📝 Four-tier กรอก'!AI52="N"),"❓ NoK","🤔 Partial")))))</f>
        <v/>
      </c>
      <c r="L51" s="67">
        <f>IF(OR('📝 Four-tier กรอก'!AJ52="",'📝 Four-tier กรอก'!AL52=""),"—",IF(AND('📝 Four-tier กรอก'!AJ52='📝 Four-tier กรอก'!AJ51,'📝 Four-tier กรอก'!AK52="Y",'📝 Four-tier กรอก'!AL52='📝 Four-tier กรอก'!AL51,'📝 Four-tier กรอก'!AM52="Y"),"✅ Sound",IF(AND('📝 Four-tier กรอก'!AJ52='📝 Four-tier กรอก'!AJ51,'📝 Four-tier กรอก'!AK52="Y",'📝 Four-tier กรอก'!AL52&lt;&gt;'📝 Four-tier กรอก'!AL51,'📝 Four-tier กรอก'!AM52="Y"),"🎲 Guess",IF(AND('📝 Four-tier กรอก'!AJ52&lt;&gt;'📝 Four-tier กรอก'!AJ51,'📝 Four-tier กรอก'!AK52="Y",'📝 Four-tier กรอก'!AL52&lt;&gt;'📝 Four-tier กรอก'!AL51,'📝 Four-tier กรอก'!AM52="Y"),"❌ Misc.",IF(AND('📝 Four-tier กรอก'!AJ52&lt;&gt;'📝 Four-tier กรอก'!AJ51,'📝 Four-tier กรอก'!AK52="N",'📝 Four-tier กรอก'!AL52&lt;&gt;'📝 Four-tier กรอก'!AL51,'📝 Four-tier กรอก'!AM52="N"),"❓ NoK","🤔 Partial")))))</f>
        <v/>
      </c>
      <c r="M51" s="67">
        <f>IF(OR('📝 Four-tier กรอก'!AN52="",'📝 Four-tier กรอก'!AP52=""),"—",IF(AND('📝 Four-tier กรอก'!AN52='📝 Four-tier กรอก'!AN51,'📝 Four-tier กรอก'!AO52="Y",'📝 Four-tier กรอก'!AP52='📝 Four-tier กรอก'!AP51,'📝 Four-tier กรอก'!AQ52="Y"),"✅ Sound",IF(AND('📝 Four-tier กรอก'!AN52='📝 Four-tier กรอก'!AN51,'📝 Four-tier กรอก'!AO52="Y",'📝 Four-tier กรอก'!AP52&lt;&gt;'📝 Four-tier กรอก'!AP51,'📝 Four-tier กรอก'!AQ52="Y"),"🎲 Guess",IF(AND('📝 Four-tier กรอก'!AN52&lt;&gt;'📝 Four-tier กรอก'!AN51,'📝 Four-tier กรอก'!AO52="Y",'📝 Four-tier กรอก'!AP52&lt;&gt;'📝 Four-tier กรอก'!AP51,'📝 Four-tier กรอก'!AQ52="Y"),"❌ Misc.",IF(AND('📝 Four-tier กรอก'!AN52&lt;&gt;'📝 Four-tier กรอก'!AN51,'📝 Four-tier กรอก'!AO52="N",'📝 Four-tier กรอก'!AP52&lt;&gt;'📝 Four-tier กรอก'!AP51,'📝 Four-tier กรอก'!AQ52="N"),"❓ NoK","🤔 Partial")))))</f>
        <v/>
      </c>
      <c r="N51" s="67">
        <f>IF(OR('📝 Four-tier กรอก'!AR52="",'📝 Four-tier กรอก'!AT52=""),"—",IF(AND('📝 Four-tier กรอก'!AR52='📝 Four-tier กรอก'!AR51,'📝 Four-tier กรอก'!AS52="Y",'📝 Four-tier กรอก'!AT52='📝 Four-tier กรอก'!AT51,'📝 Four-tier กรอก'!AU52="Y"),"✅ Sound",IF(AND('📝 Four-tier กรอก'!AR52='📝 Four-tier กรอก'!AR51,'📝 Four-tier กรอก'!AS52="Y",'📝 Four-tier กรอก'!AT52&lt;&gt;'📝 Four-tier กรอก'!AT51,'📝 Four-tier กรอก'!AU52="Y"),"🎲 Guess",IF(AND('📝 Four-tier กรอก'!AR52&lt;&gt;'📝 Four-tier กรอก'!AR51,'📝 Four-tier กรอก'!AS52="Y",'📝 Four-tier กรอก'!AT52&lt;&gt;'📝 Four-tier กรอก'!AT51,'📝 Four-tier กรอก'!AU52="Y"),"❌ Misc.",IF(AND('📝 Four-tier กรอก'!AR52&lt;&gt;'📝 Four-tier กรอก'!AR51,'📝 Four-tier กรอก'!AS52="N",'📝 Four-tier กรอก'!AT52&lt;&gt;'📝 Four-tier กรอก'!AT51,'📝 Four-tier กรอก'!AU52="N"),"❓ NoK","🤔 Partial")))))</f>
        <v/>
      </c>
      <c r="O51" s="67">
        <f>IF(OR('📝 Four-tier กรอก'!AV52="",'📝 Four-tier กรอก'!AX52=""),"—",IF(AND('📝 Four-tier กรอก'!AV52='📝 Four-tier กรอก'!AV51,'📝 Four-tier กรอก'!AW52="Y",'📝 Four-tier กรอก'!AX52='📝 Four-tier กรอก'!AX51,'📝 Four-tier กรอก'!AY52="Y"),"✅ Sound",IF(AND('📝 Four-tier กรอก'!AV52='📝 Four-tier กรอก'!AV51,'📝 Four-tier กรอก'!AW52="Y",'📝 Four-tier กรอก'!AX52&lt;&gt;'📝 Four-tier กรอก'!AX51,'📝 Four-tier กรอก'!AY52="Y"),"🎲 Guess",IF(AND('📝 Four-tier กรอก'!AV52&lt;&gt;'📝 Four-tier กรอก'!AV51,'📝 Four-tier กรอก'!AW52="Y",'📝 Four-tier กรอก'!AX52&lt;&gt;'📝 Four-tier กรอก'!AX51,'📝 Four-tier กรอก'!AY52="Y"),"❌ Misc.",IF(AND('📝 Four-tier กรอก'!AV52&lt;&gt;'📝 Four-tier กรอก'!AV51,'📝 Four-tier กรอก'!AW52="N",'📝 Four-tier กรอก'!AX52&lt;&gt;'📝 Four-tier กรอก'!AX51,'📝 Four-tier กรอก'!AY52="N"),"❓ NoK","🤔 Partial")))))</f>
        <v/>
      </c>
      <c r="P51" s="67">
        <f>IF(OR('📝 Four-tier กรอก'!AZ52="",'📝 Four-tier กรอก'!BB52=""),"—",IF(AND('📝 Four-tier กรอก'!AZ52='📝 Four-tier กรอก'!AZ51,'📝 Four-tier กรอก'!BA52="Y",'📝 Four-tier กรอก'!BB52='📝 Four-tier กรอก'!BB51,'📝 Four-tier กรอก'!BC52="Y"),"✅ Sound",IF(AND('📝 Four-tier กรอก'!AZ52='📝 Four-tier กรอก'!AZ51,'📝 Four-tier กรอก'!BA52="Y",'📝 Four-tier กรอก'!BB52&lt;&gt;'📝 Four-tier กรอก'!BB51,'📝 Four-tier กรอก'!BC52="Y"),"🎲 Guess",IF(AND('📝 Four-tier กรอก'!AZ52&lt;&gt;'📝 Four-tier กรอก'!AZ51,'📝 Four-tier กรอก'!BA52="Y",'📝 Four-tier กรอก'!BB52&lt;&gt;'📝 Four-tier กรอก'!BB51,'📝 Four-tier กรอก'!BC52="Y"),"❌ Misc.",IF(AND('📝 Four-tier กรอก'!AZ52&lt;&gt;'📝 Four-tier กรอก'!AZ51,'📝 Four-tier กรอก'!BA52="N",'📝 Four-tier กรอก'!BB52&lt;&gt;'📝 Four-tier กรอก'!BB51,'📝 Four-tier กรอก'!BC52="N"),"❓ NoK","🤔 Partial")))))</f>
        <v/>
      </c>
      <c r="Q51" s="67">
        <f>IF(OR('📝 Four-tier กรอก'!BD52="",'📝 Four-tier กรอก'!BF52=""),"—",IF(AND('📝 Four-tier กรอก'!BD52='📝 Four-tier กรอก'!BD51,'📝 Four-tier กรอก'!BE52="Y",'📝 Four-tier กรอก'!BF52='📝 Four-tier กรอก'!BF51,'📝 Four-tier กรอก'!BG52="Y"),"✅ Sound",IF(AND('📝 Four-tier กรอก'!BD52='📝 Four-tier กรอก'!BD51,'📝 Four-tier กรอก'!BE52="Y",'📝 Four-tier กรอก'!BF52&lt;&gt;'📝 Four-tier กรอก'!BF51,'📝 Four-tier กรอก'!BG52="Y"),"🎲 Guess",IF(AND('📝 Four-tier กรอก'!BD52&lt;&gt;'📝 Four-tier กรอก'!BD51,'📝 Four-tier กรอก'!BE52="Y",'📝 Four-tier กรอก'!BF52&lt;&gt;'📝 Four-tier กรอก'!BF51,'📝 Four-tier กรอก'!BG52="Y"),"❌ Misc.",IF(AND('📝 Four-tier กรอก'!BD52&lt;&gt;'📝 Four-tier กรอก'!BD51,'📝 Four-tier กรอก'!BE52="N",'📝 Four-tier กรอก'!BF52&lt;&gt;'📝 Four-tier กรอก'!BF51,'📝 Four-tier กรอก'!BG52="N"),"❓ NoK","🤔 Partial")))))</f>
        <v/>
      </c>
      <c r="R51" s="67">
        <f>IF(OR('📝 Four-tier กรอก'!BH52="",'📝 Four-tier กรอก'!BJ52=""),"—",IF(AND('📝 Four-tier กรอก'!BH52='📝 Four-tier กรอก'!BH51,'📝 Four-tier กรอก'!BI52="Y",'📝 Four-tier กรอก'!BJ52='📝 Four-tier กรอก'!BJ51,'📝 Four-tier กรอก'!BK52="Y"),"✅ Sound",IF(AND('📝 Four-tier กรอก'!BH52='📝 Four-tier กรอก'!BH51,'📝 Four-tier กรอก'!BI52="Y",'📝 Four-tier กรอก'!BJ52&lt;&gt;'📝 Four-tier กรอก'!BJ51,'📝 Four-tier กรอก'!BK52="Y"),"🎲 Guess",IF(AND('📝 Four-tier กรอก'!BH52&lt;&gt;'📝 Four-tier กรอก'!BH51,'📝 Four-tier กรอก'!BI52="Y",'📝 Four-tier กรอก'!BJ52&lt;&gt;'📝 Four-tier กรอก'!BJ51,'📝 Four-tier กรอก'!BK52="Y"),"❌ Misc.",IF(AND('📝 Four-tier กรอก'!BH52&lt;&gt;'📝 Four-tier กรอก'!BH51,'📝 Four-tier กรอก'!BI52="N",'📝 Four-tier กรอก'!BJ52&lt;&gt;'📝 Four-tier กรอก'!BJ51,'📝 Four-tier กรอก'!BK52="N"),"❓ NoK","🤔 Partial")))))</f>
        <v/>
      </c>
      <c r="S51" s="67">
        <f>IF(OR('📝 Four-tier กรอก'!BL52="",'📝 Four-tier กรอก'!BN52=""),"—",IF(AND('📝 Four-tier กรอก'!BL52='📝 Four-tier กรอก'!BL51,'📝 Four-tier กรอก'!BM52="Y",'📝 Four-tier กรอก'!BN52='📝 Four-tier กรอก'!BN51,'📝 Four-tier กรอก'!BO52="Y"),"✅ Sound",IF(AND('📝 Four-tier กรอก'!BL52='📝 Four-tier กรอก'!BL51,'📝 Four-tier กรอก'!BM52="Y",'📝 Four-tier กรอก'!BN52&lt;&gt;'📝 Four-tier กรอก'!BN51,'📝 Four-tier กรอก'!BO52="Y"),"🎲 Guess",IF(AND('📝 Four-tier กรอก'!BL52&lt;&gt;'📝 Four-tier กรอก'!BL51,'📝 Four-tier กรอก'!BM52="Y",'📝 Four-tier กรอก'!BN52&lt;&gt;'📝 Four-tier กรอก'!BN51,'📝 Four-tier กรอก'!BO52="Y"),"❌ Misc.",IF(AND('📝 Four-tier กรอก'!BL52&lt;&gt;'📝 Four-tier กรอก'!BL51,'📝 Four-tier กรอก'!BM52="N",'📝 Four-tier กรอก'!BN52&lt;&gt;'📝 Four-tier กรอก'!BN51,'📝 Four-tier กรอก'!BO52="N"),"❓ NoK","🤔 Partial")))))</f>
        <v/>
      </c>
      <c r="T51" s="67">
        <f>IF(OR('📝 Four-tier กรอก'!BP52="",'📝 Four-tier กรอก'!BR52=""),"—",IF(AND('📝 Four-tier กรอก'!BP52='📝 Four-tier กรอก'!BP51,'📝 Four-tier กรอก'!BQ52="Y",'📝 Four-tier กรอก'!BR52='📝 Four-tier กรอก'!BR51,'📝 Four-tier กรอก'!BS52="Y"),"✅ Sound",IF(AND('📝 Four-tier กรอก'!BP52='📝 Four-tier กรอก'!BP51,'📝 Four-tier กรอก'!BQ52="Y",'📝 Four-tier กรอก'!BR52&lt;&gt;'📝 Four-tier กรอก'!BR51,'📝 Four-tier กรอก'!BS52="Y"),"🎲 Guess",IF(AND('📝 Four-tier กรอก'!BP52&lt;&gt;'📝 Four-tier กรอก'!BP51,'📝 Four-tier กรอก'!BQ52="Y",'📝 Four-tier กรอก'!BR52&lt;&gt;'📝 Four-tier กรอก'!BR51,'📝 Four-tier กรอก'!BS52="Y"),"❌ Misc.",IF(AND('📝 Four-tier กรอก'!BP52&lt;&gt;'📝 Four-tier กรอก'!BP51,'📝 Four-tier กรอก'!BQ52="N",'📝 Four-tier กรอก'!BR52&lt;&gt;'📝 Four-tier กรอก'!BR51,'📝 Four-tier กรอก'!BS52="N"),"❓ NoK","🤔 Partial")))))</f>
        <v/>
      </c>
      <c r="U51" s="67">
        <f>IF(OR('📝 Four-tier กรอก'!BT52="",'📝 Four-tier กรอก'!BV52=""),"—",IF(AND('📝 Four-tier กรอก'!BT52='📝 Four-tier กรอก'!BT51,'📝 Four-tier กรอก'!BU52="Y",'📝 Four-tier กรอก'!BV52='📝 Four-tier กรอก'!BV51,'📝 Four-tier กรอก'!BW52="Y"),"✅ Sound",IF(AND('📝 Four-tier กรอก'!BT52='📝 Four-tier กรอก'!BT51,'📝 Four-tier กรอก'!BU52="Y",'📝 Four-tier กรอก'!BV52&lt;&gt;'📝 Four-tier กรอก'!BV51,'📝 Four-tier กรอก'!BW52="Y"),"🎲 Guess",IF(AND('📝 Four-tier กรอก'!BT52&lt;&gt;'📝 Four-tier กรอก'!BT51,'📝 Four-tier กรอก'!BU52="Y",'📝 Four-tier กรอก'!BV52&lt;&gt;'📝 Four-tier กรอก'!BV51,'📝 Four-tier กรอก'!BW52="Y"),"❌ Misc.",IF(AND('📝 Four-tier กรอก'!BT52&lt;&gt;'📝 Four-tier กรอก'!BT51,'📝 Four-tier กรอก'!BU52="N",'📝 Four-tier กรอก'!BV52&lt;&gt;'📝 Four-tier กรอก'!BV51,'📝 Four-tier กรอก'!BW52="N"),"❓ NoK","🤔 Partial")))))</f>
        <v/>
      </c>
      <c r="V51" s="67">
        <f>IF(OR('📝 Four-tier กรอก'!BX52="",'📝 Four-tier กรอก'!BZ52=""),"—",IF(AND('📝 Four-tier กรอก'!BX52='📝 Four-tier กรอก'!BX51,'📝 Four-tier กรอก'!BY52="Y",'📝 Four-tier กรอก'!BZ52='📝 Four-tier กรอก'!BZ51,'📝 Four-tier กรอก'!CA52="Y"),"✅ Sound",IF(AND('📝 Four-tier กรอก'!BX52='📝 Four-tier กรอก'!BX51,'📝 Four-tier กรอก'!BY52="Y",'📝 Four-tier กรอก'!BZ52&lt;&gt;'📝 Four-tier กรอก'!BZ51,'📝 Four-tier กรอก'!CA52="Y"),"🎲 Guess",IF(AND('📝 Four-tier กรอก'!BX52&lt;&gt;'📝 Four-tier กรอก'!BX51,'📝 Four-tier กรอก'!BY52="Y",'📝 Four-tier กรอก'!BZ52&lt;&gt;'📝 Four-tier กรอก'!BZ51,'📝 Four-tier กรอก'!CA52="Y"),"❌ Misc.",IF(AND('📝 Four-tier กรอก'!BX52&lt;&gt;'📝 Four-tier กรอก'!BX51,'📝 Four-tier กรอก'!BY52="N",'📝 Four-tier กรอก'!BZ52&lt;&gt;'📝 Four-tier กรอก'!BZ51,'📝 Four-tier กรอก'!CA52="N"),"❓ NoK","🤔 Partial")))))</f>
        <v/>
      </c>
      <c r="W51" s="67">
        <f>IF(OR('📝 Four-tier กรอก'!CB52="",'📝 Four-tier กรอก'!CD52=""),"—",IF(AND('📝 Four-tier กรอก'!CB52='📝 Four-tier กรอก'!CB51,'📝 Four-tier กรอก'!CC52="Y",'📝 Four-tier กรอก'!CD52='📝 Four-tier กรอก'!CD51,'📝 Four-tier กรอก'!CE52="Y"),"✅ Sound",IF(AND('📝 Four-tier กรอก'!CB52='📝 Four-tier กรอก'!CB51,'📝 Four-tier กรอก'!CC52="Y",'📝 Four-tier กรอก'!CD52&lt;&gt;'📝 Four-tier กรอก'!CD51,'📝 Four-tier กรอก'!CE52="Y"),"🎲 Guess",IF(AND('📝 Four-tier กรอก'!CB52&lt;&gt;'📝 Four-tier กรอก'!CB51,'📝 Four-tier กรอก'!CC52="Y",'📝 Four-tier กรอก'!CD52&lt;&gt;'📝 Four-tier กรอก'!CD51,'📝 Four-tier กรอก'!CE52="Y"),"❌ Misc.",IF(AND('📝 Four-tier กรอก'!CB52&lt;&gt;'📝 Four-tier กรอก'!CB51,'📝 Four-tier กรอก'!CC52="N",'📝 Four-tier กรอก'!CD52&lt;&gt;'📝 Four-tier กรอก'!CD51,'📝 Four-tier กรอก'!CE52="N"),"❓ NoK","🤔 Partial")))))</f>
        <v/>
      </c>
      <c r="X51" s="37">
        <f>COUNTIF(D51:W51,"✅ Sound")</f>
        <v/>
      </c>
      <c r="Y51" s="37">
        <f>COUNTIF(D51:W51,"❌ Misc.")</f>
        <v/>
      </c>
      <c r="Z51" s="37">
        <f>COUNTIF(D51:W51,"🎲 Guess")</f>
        <v/>
      </c>
      <c r="AA51" s="37">
        <f>COUNTIF(D51:W51,"❓ NoK")</f>
        <v/>
      </c>
    </row>
    <row r="52" ht="18" customHeight="1">
      <c r="B52" s="46">
        <f>'📝 Four-tier กรอก'!B53</f>
        <v/>
      </c>
      <c r="C52" s="51">
        <f>'📝 Four-tier กรอก'!C53</f>
        <v/>
      </c>
      <c r="D52" s="68">
        <f>IF(OR('📝 Four-tier กรอก'!D53="",'📝 Four-tier กรอก'!F53=""),"—",IF(AND('📝 Four-tier กรอก'!D53='📝 Four-tier กรอก'!D51,'📝 Four-tier กรอก'!E53="Y",'📝 Four-tier กรอก'!F53='📝 Four-tier กรอก'!F51,'📝 Four-tier กรอก'!G53="Y"),"✅ Sound",IF(AND('📝 Four-tier กรอก'!D53='📝 Four-tier กรอก'!D51,'📝 Four-tier กรอก'!E53="Y",'📝 Four-tier กรอก'!F53&lt;&gt;'📝 Four-tier กรอก'!F51,'📝 Four-tier กรอก'!G53="Y"),"🎲 Guess",IF(AND('📝 Four-tier กรอก'!D53&lt;&gt;'📝 Four-tier กรอก'!D51,'📝 Four-tier กรอก'!E53="Y",'📝 Four-tier กรอก'!F53&lt;&gt;'📝 Four-tier กรอก'!F51,'📝 Four-tier กรอก'!G53="Y"),"❌ Misc.",IF(AND('📝 Four-tier กรอก'!D53&lt;&gt;'📝 Four-tier กรอก'!D51,'📝 Four-tier กรอก'!E53="N",'📝 Four-tier กรอก'!F53&lt;&gt;'📝 Four-tier กรอก'!F51,'📝 Four-tier กรอก'!G53="N"),"❓ NoK","🤔 Partial")))))</f>
        <v/>
      </c>
      <c r="E52" s="68">
        <f>IF(OR('📝 Four-tier กรอก'!H53="",'📝 Four-tier กรอก'!J53=""),"—",IF(AND('📝 Four-tier กรอก'!H53='📝 Four-tier กรอก'!H51,'📝 Four-tier กรอก'!I53="Y",'📝 Four-tier กรอก'!J53='📝 Four-tier กรอก'!J51,'📝 Four-tier กรอก'!K53="Y"),"✅ Sound",IF(AND('📝 Four-tier กรอก'!H53='📝 Four-tier กรอก'!H51,'📝 Four-tier กรอก'!I53="Y",'📝 Four-tier กรอก'!J53&lt;&gt;'📝 Four-tier กรอก'!J51,'📝 Four-tier กรอก'!K53="Y"),"🎲 Guess",IF(AND('📝 Four-tier กรอก'!H53&lt;&gt;'📝 Four-tier กรอก'!H51,'📝 Four-tier กรอก'!I53="Y",'📝 Four-tier กรอก'!J53&lt;&gt;'📝 Four-tier กรอก'!J51,'📝 Four-tier กรอก'!K53="Y"),"❌ Misc.",IF(AND('📝 Four-tier กรอก'!H53&lt;&gt;'📝 Four-tier กรอก'!H51,'📝 Four-tier กรอก'!I53="N",'📝 Four-tier กรอก'!J53&lt;&gt;'📝 Four-tier กรอก'!J51,'📝 Four-tier กรอก'!K53="N"),"❓ NoK","🤔 Partial")))))</f>
        <v/>
      </c>
      <c r="F52" s="68">
        <f>IF(OR('📝 Four-tier กรอก'!L53="",'📝 Four-tier กรอก'!N53=""),"—",IF(AND('📝 Four-tier กรอก'!L53='📝 Four-tier กรอก'!L51,'📝 Four-tier กรอก'!M53="Y",'📝 Four-tier กรอก'!N53='📝 Four-tier กรอก'!N51,'📝 Four-tier กรอก'!O53="Y"),"✅ Sound",IF(AND('📝 Four-tier กรอก'!L53='📝 Four-tier กรอก'!L51,'📝 Four-tier กรอก'!M53="Y",'📝 Four-tier กรอก'!N53&lt;&gt;'📝 Four-tier กรอก'!N51,'📝 Four-tier กรอก'!O53="Y"),"🎲 Guess",IF(AND('📝 Four-tier กรอก'!L53&lt;&gt;'📝 Four-tier กรอก'!L51,'📝 Four-tier กรอก'!M53="Y",'📝 Four-tier กรอก'!N53&lt;&gt;'📝 Four-tier กรอก'!N51,'📝 Four-tier กรอก'!O53="Y"),"❌ Misc.",IF(AND('📝 Four-tier กรอก'!L53&lt;&gt;'📝 Four-tier กรอก'!L51,'📝 Four-tier กรอก'!M53="N",'📝 Four-tier กรอก'!N53&lt;&gt;'📝 Four-tier กรอก'!N51,'📝 Four-tier กรอก'!O53="N"),"❓ NoK","🤔 Partial")))))</f>
        <v/>
      </c>
      <c r="G52" s="68">
        <f>IF(OR('📝 Four-tier กรอก'!P53="",'📝 Four-tier กรอก'!R53=""),"—",IF(AND('📝 Four-tier กรอก'!P53='📝 Four-tier กรอก'!P51,'📝 Four-tier กรอก'!Q53="Y",'📝 Four-tier กรอก'!R53='📝 Four-tier กรอก'!R51,'📝 Four-tier กรอก'!S53="Y"),"✅ Sound",IF(AND('📝 Four-tier กรอก'!P53='📝 Four-tier กรอก'!P51,'📝 Four-tier กรอก'!Q53="Y",'📝 Four-tier กรอก'!R53&lt;&gt;'📝 Four-tier กรอก'!R51,'📝 Four-tier กรอก'!S53="Y"),"🎲 Guess",IF(AND('📝 Four-tier กรอก'!P53&lt;&gt;'📝 Four-tier กรอก'!P51,'📝 Four-tier กรอก'!Q53="Y",'📝 Four-tier กรอก'!R53&lt;&gt;'📝 Four-tier กรอก'!R51,'📝 Four-tier กรอก'!S53="Y"),"❌ Misc.",IF(AND('📝 Four-tier กรอก'!P53&lt;&gt;'📝 Four-tier กรอก'!P51,'📝 Four-tier กรอก'!Q53="N",'📝 Four-tier กรอก'!R53&lt;&gt;'📝 Four-tier กรอก'!R51,'📝 Four-tier กรอก'!S53="N"),"❓ NoK","🤔 Partial")))))</f>
        <v/>
      </c>
      <c r="H52" s="68">
        <f>IF(OR('📝 Four-tier กรอก'!T53="",'📝 Four-tier กรอก'!V53=""),"—",IF(AND('📝 Four-tier กรอก'!T53='📝 Four-tier กรอก'!T51,'📝 Four-tier กรอก'!U53="Y",'📝 Four-tier กรอก'!V53='📝 Four-tier กรอก'!V51,'📝 Four-tier กรอก'!W53="Y"),"✅ Sound",IF(AND('📝 Four-tier กรอก'!T53='📝 Four-tier กรอก'!T51,'📝 Four-tier กรอก'!U53="Y",'📝 Four-tier กรอก'!V53&lt;&gt;'📝 Four-tier กรอก'!V51,'📝 Four-tier กรอก'!W53="Y"),"🎲 Guess",IF(AND('📝 Four-tier กรอก'!T53&lt;&gt;'📝 Four-tier กรอก'!T51,'📝 Four-tier กรอก'!U53="Y",'📝 Four-tier กรอก'!V53&lt;&gt;'📝 Four-tier กรอก'!V51,'📝 Four-tier กรอก'!W53="Y"),"❌ Misc.",IF(AND('📝 Four-tier กรอก'!T53&lt;&gt;'📝 Four-tier กรอก'!T51,'📝 Four-tier กรอก'!U53="N",'📝 Four-tier กรอก'!V53&lt;&gt;'📝 Four-tier กรอก'!V51,'📝 Four-tier กรอก'!W53="N"),"❓ NoK","🤔 Partial")))))</f>
        <v/>
      </c>
      <c r="I52" s="68">
        <f>IF(OR('📝 Four-tier กรอก'!X53="",'📝 Four-tier กรอก'!Z53=""),"—",IF(AND('📝 Four-tier กรอก'!X53='📝 Four-tier กรอก'!X51,'📝 Four-tier กรอก'!Y53="Y",'📝 Four-tier กรอก'!Z53='📝 Four-tier กรอก'!Z51,'📝 Four-tier กรอก'!AA53="Y"),"✅ Sound",IF(AND('📝 Four-tier กรอก'!X53='📝 Four-tier กรอก'!X51,'📝 Four-tier กรอก'!Y53="Y",'📝 Four-tier กรอก'!Z53&lt;&gt;'📝 Four-tier กรอก'!Z51,'📝 Four-tier กรอก'!AA53="Y"),"🎲 Guess",IF(AND('📝 Four-tier กรอก'!X53&lt;&gt;'📝 Four-tier กรอก'!X51,'📝 Four-tier กรอก'!Y53="Y",'📝 Four-tier กรอก'!Z53&lt;&gt;'📝 Four-tier กรอก'!Z51,'📝 Four-tier กรอก'!AA53="Y"),"❌ Misc.",IF(AND('📝 Four-tier กรอก'!X53&lt;&gt;'📝 Four-tier กรอก'!X51,'📝 Four-tier กรอก'!Y53="N",'📝 Four-tier กรอก'!Z53&lt;&gt;'📝 Four-tier กรอก'!Z51,'📝 Four-tier กรอก'!AA53="N"),"❓ NoK","🤔 Partial")))))</f>
        <v/>
      </c>
      <c r="J52" s="68">
        <f>IF(OR('📝 Four-tier กรอก'!AB53="",'📝 Four-tier กรอก'!AD53=""),"—",IF(AND('📝 Four-tier กรอก'!AB53='📝 Four-tier กรอก'!AB51,'📝 Four-tier กรอก'!AC53="Y",'📝 Four-tier กรอก'!AD53='📝 Four-tier กรอก'!AD51,'📝 Four-tier กรอก'!AE53="Y"),"✅ Sound",IF(AND('📝 Four-tier กรอก'!AB53='📝 Four-tier กรอก'!AB51,'📝 Four-tier กรอก'!AC53="Y",'📝 Four-tier กรอก'!AD53&lt;&gt;'📝 Four-tier กรอก'!AD51,'📝 Four-tier กรอก'!AE53="Y"),"🎲 Guess",IF(AND('📝 Four-tier กรอก'!AB53&lt;&gt;'📝 Four-tier กรอก'!AB51,'📝 Four-tier กรอก'!AC53="Y",'📝 Four-tier กรอก'!AD53&lt;&gt;'📝 Four-tier กรอก'!AD51,'📝 Four-tier กรอก'!AE53="Y"),"❌ Misc.",IF(AND('📝 Four-tier กรอก'!AB53&lt;&gt;'📝 Four-tier กรอก'!AB51,'📝 Four-tier กรอก'!AC53="N",'📝 Four-tier กรอก'!AD53&lt;&gt;'📝 Four-tier กรอก'!AD51,'📝 Four-tier กรอก'!AE53="N"),"❓ NoK","🤔 Partial")))))</f>
        <v/>
      </c>
      <c r="K52" s="68">
        <f>IF(OR('📝 Four-tier กรอก'!AF53="",'📝 Four-tier กรอก'!AH53=""),"—",IF(AND('📝 Four-tier กรอก'!AF53='📝 Four-tier กรอก'!AF51,'📝 Four-tier กรอก'!AG53="Y",'📝 Four-tier กรอก'!AH53='📝 Four-tier กรอก'!AH51,'📝 Four-tier กรอก'!AI53="Y"),"✅ Sound",IF(AND('📝 Four-tier กรอก'!AF53='📝 Four-tier กรอก'!AF51,'📝 Four-tier กรอก'!AG53="Y",'📝 Four-tier กรอก'!AH53&lt;&gt;'📝 Four-tier กรอก'!AH51,'📝 Four-tier กรอก'!AI53="Y"),"🎲 Guess",IF(AND('📝 Four-tier กรอก'!AF53&lt;&gt;'📝 Four-tier กรอก'!AF51,'📝 Four-tier กรอก'!AG53="Y",'📝 Four-tier กรอก'!AH53&lt;&gt;'📝 Four-tier กรอก'!AH51,'📝 Four-tier กรอก'!AI53="Y"),"❌ Misc.",IF(AND('📝 Four-tier กรอก'!AF53&lt;&gt;'📝 Four-tier กรอก'!AF51,'📝 Four-tier กรอก'!AG53="N",'📝 Four-tier กรอก'!AH53&lt;&gt;'📝 Four-tier กรอก'!AH51,'📝 Four-tier กรอก'!AI53="N"),"❓ NoK","🤔 Partial")))))</f>
        <v/>
      </c>
      <c r="L52" s="68">
        <f>IF(OR('📝 Four-tier กรอก'!AJ53="",'📝 Four-tier กรอก'!AL53=""),"—",IF(AND('📝 Four-tier กรอก'!AJ53='📝 Four-tier กรอก'!AJ51,'📝 Four-tier กรอก'!AK53="Y",'📝 Four-tier กรอก'!AL53='📝 Four-tier กรอก'!AL51,'📝 Four-tier กรอก'!AM53="Y"),"✅ Sound",IF(AND('📝 Four-tier กรอก'!AJ53='📝 Four-tier กรอก'!AJ51,'📝 Four-tier กรอก'!AK53="Y",'📝 Four-tier กรอก'!AL53&lt;&gt;'📝 Four-tier กรอก'!AL51,'📝 Four-tier กรอก'!AM53="Y"),"🎲 Guess",IF(AND('📝 Four-tier กรอก'!AJ53&lt;&gt;'📝 Four-tier กรอก'!AJ51,'📝 Four-tier กรอก'!AK53="Y",'📝 Four-tier กรอก'!AL53&lt;&gt;'📝 Four-tier กรอก'!AL51,'📝 Four-tier กรอก'!AM53="Y"),"❌ Misc.",IF(AND('📝 Four-tier กรอก'!AJ53&lt;&gt;'📝 Four-tier กรอก'!AJ51,'📝 Four-tier กรอก'!AK53="N",'📝 Four-tier กรอก'!AL53&lt;&gt;'📝 Four-tier กรอก'!AL51,'📝 Four-tier กรอก'!AM53="N"),"❓ NoK","🤔 Partial")))))</f>
        <v/>
      </c>
      <c r="M52" s="68">
        <f>IF(OR('📝 Four-tier กรอก'!AN53="",'📝 Four-tier กรอก'!AP53=""),"—",IF(AND('📝 Four-tier กรอก'!AN53='📝 Four-tier กรอก'!AN51,'📝 Four-tier กรอก'!AO53="Y",'📝 Four-tier กรอก'!AP53='📝 Four-tier กรอก'!AP51,'📝 Four-tier กรอก'!AQ53="Y"),"✅ Sound",IF(AND('📝 Four-tier กรอก'!AN53='📝 Four-tier กรอก'!AN51,'📝 Four-tier กรอก'!AO53="Y",'📝 Four-tier กรอก'!AP53&lt;&gt;'📝 Four-tier กรอก'!AP51,'📝 Four-tier กรอก'!AQ53="Y"),"🎲 Guess",IF(AND('📝 Four-tier กรอก'!AN53&lt;&gt;'📝 Four-tier กรอก'!AN51,'📝 Four-tier กรอก'!AO53="Y",'📝 Four-tier กรอก'!AP53&lt;&gt;'📝 Four-tier กรอก'!AP51,'📝 Four-tier กรอก'!AQ53="Y"),"❌ Misc.",IF(AND('📝 Four-tier กรอก'!AN53&lt;&gt;'📝 Four-tier กรอก'!AN51,'📝 Four-tier กรอก'!AO53="N",'📝 Four-tier กรอก'!AP53&lt;&gt;'📝 Four-tier กรอก'!AP51,'📝 Four-tier กรอก'!AQ53="N"),"❓ NoK","🤔 Partial")))))</f>
        <v/>
      </c>
      <c r="N52" s="68">
        <f>IF(OR('📝 Four-tier กรอก'!AR53="",'📝 Four-tier กรอก'!AT53=""),"—",IF(AND('📝 Four-tier กรอก'!AR53='📝 Four-tier กรอก'!AR51,'📝 Four-tier กรอก'!AS53="Y",'📝 Four-tier กรอก'!AT53='📝 Four-tier กรอก'!AT51,'📝 Four-tier กรอก'!AU53="Y"),"✅ Sound",IF(AND('📝 Four-tier กรอก'!AR53='📝 Four-tier กรอก'!AR51,'📝 Four-tier กรอก'!AS53="Y",'📝 Four-tier กรอก'!AT53&lt;&gt;'📝 Four-tier กรอก'!AT51,'📝 Four-tier กรอก'!AU53="Y"),"🎲 Guess",IF(AND('📝 Four-tier กรอก'!AR53&lt;&gt;'📝 Four-tier กรอก'!AR51,'📝 Four-tier กรอก'!AS53="Y",'📝 Four-tier กรอก'!AT53&lt;&gt;'📝 Four-tier กรอก'!AT51,'📝 Four-tier กรอก'!AU53="Y"),"❌ Misc.",IF(AND('📝 Four-tier กรอก'!AR53&lt;&gt;'📝 Four-tier กรอก'!AR51,'📝 Four-tier กรอก'!AS53="N",'📝 Four-tier กรอก'!AT53&lt;&gt;'📝 Four-tier กรอก'!AT51,'📝 Four-tier กรอก'!AU53="N"),"❓ NoK","🤔 Partial")))))</f>
        <v/>
      </c>
      <c r="O52" s="68">
        <f>IF(OR('📝 Four-tier กรอก'!AV53="",'📝 Four-tier กรอก'!AX53=""),"—",IF(AND('📝 Four-tier กรอก'!AV53='📝 Four-tier กรอก'!AV51,'📝 Four-tier กรอก'!AW53="Y",'📝 Four-tier กรอก'!AX53='📝 Four-tier กรอก'!AX51,'📝 Four-tier กรอก'!AY53="Y"),"✅ Sound",IF(AND('📝 Four-tier กรอก'!AV53='📝 Four-tier กรอก'!AV51,'📝 Four-tier กรอก'!AW53="Y",'📝 Four-tier กรอก'!AX53&lt;&gt;'📝 Four-tier กรอก'!AX51,'📝 Four-tier กรอก'!AY53="Y"),"🎲 Guess",IF(AND('📝 Four-tier กรอก'!AV53&lt;&gt;'📝 Four-tier กรอก'!AV51,'📝 Four-tier กรอก'!AW53="Y",'📝 Four-tier กรอก'!AX53&lt;&gt;'📝 Four-tier กรอก'!AX51,'📝 Four-tier กรอก'!AY53="Y"),"❌ Misc.",IF(AND('📝 Four-tier กรอก'!AV53&lt;&gt;'📝 Four-tier กรอก'!AV51,'📝 Four-tier กรอก'!AW53="N",'📝 Four-tier กรอก'!AX53&lt;&gt;'📝 Four-tier กรอก'!AX51,'📝 Four-tier กรอก'!AY53="N"),"❓ NoK","🤔 Partial")))))</f>
        <v/>
      </c>
      <c r="P52" s="68">
        <f>IF(OR('📝 Four-tier กรอก'!AZ53="",'📝 Four-tier กรอก'!BB53=""),"—",IF(AND('📝 Four-tier กรอก'!AZ53='📝 Four-tier กรอก'!AZ51,'📝 Four-tier กรอก'!BA53="Y",'📝 Four-tier กรอก'!BB53='📝 Four-tier กรอก'!BB51,'📝 Four-tier กรอก'!BC53="Y"),"✅ Sound",IF(AND('📝 Four-tier กรอก'!AZ53='📝 Four-tier กรอก'!AZ51,'📝 Four-tier กรอก'!BA53="Y",'📝 Four-tier กรอก'!BB53&lt;&gt;'📝 Four-tier กรอก'!BB51,'📝 Four-tier กรอก'!BC53="Y"),"🎲 Guess",IF(AND('📝 Four-tier กรอก'!AZ53&lt;&gt;'📝 Four-tier กรอก'!AZ51,'📝 Four-tier กรอก'!BA53="Y",'📝 Four-tier กรอก'!BB53&lt;&gt;'📝 Four-tier กรอก'!BB51,'📝 Four-tier กรอก'!BC53="Y"),"❌ Misc.",IF(AND('📝 Four-tier กรอก'!AZ53&lt;&gt;'📝 Four-tier กรอก'!AZ51,'📝 Four-tier กรอก'!BA53="N",'📝 Four-tier กรอก'!BB53&lt;&gt;'📝 Four-tier กรอก'!BB51,'📝 Four-tier กรอก'!BC53="N"),"❓ NoK","🤔 Partial")))))</f>
        <v/>
      </c>
      <c r="Q52" s="68">
        <f>IF(OR('📝 Four-tier กรอก'!BD53="",'📝 Four-tier กรอก'!BF53=""),"—",IF(AND('📝 Four-tier กรอก'!BD53='📝 Four-tier กรอก'!BD51,'📝 Four-tier กรอก'!BE53="Y",'📝 Four-tier กรอก'!BF53='📝 Four-tier กรอก'!BF51,'📝 Four-tier กรอก'!BG53="Y"),"✅ Sound",IF(AND('📝 Four-tier กรอก'!BD53='📝 Four-tier กรอก'!BD51,'📝 Four-tier กรอก'!BE53="Y",'📝 Four-tier กรอก'!BF53&lt;&gt;'📝 Four-tier กรอก'!BF51,'📝 Four-tier กรอก'!BG53="Y"),"🎲 Guess",IF(AND('📝 Four-tier กรอก'!BD53&lt;&gt;'📝 Four-tier กรอก'!BD51,'📝 Four-tier กรอก'!BE53="Y",'📝 Four-tier กรอก'!BF53&lt;&gt;'📝 Four-tier กรอก'!BF51,'📝 Four-tier กรอก'!BG53="Y"),"❌ Misc.",IF(AND('📝 Four-tier กรอก'!BD53&lt;&gt;'📝 Four-tier กรอก'!BD51,'📝 Four-tier กรอก'!BE53="N",'📝 Four-tier กรอก'!BF53&lt;&gt;'📝 Four-tier กรอก'!BF51,'📝 Four-tier กรอก'!BG53="N"),"❓ NoK","🤔 Partial")))))</f>
        <v/>
      </c>
      <c r="R52" s="68">
        <f>IF(OR('📝 Four-tier กรอก'!BH53="",'📝 Four-tier กรอก'!BJ53=""),"—",IF(AND('📝 Four-tier กรอก'!BH53='📝 Four-tier กรอก'!BH51,'📝 Four-tier กรอก'!BI53="Y",'📝 Four-tier กรอก'!BJ53='📝 Four-tier กรอก'!BJ51,'📝 Four-tier กรอก'!BK53="Y"),"✅ Sound",IF(AND('📝 Four-tier กรอก'!BH53='📝 Four-tier กรอก'!BH51,'📝 Four-tier กรอก'!BI53="Y",'📝 Four-tier กรอก'!BJ53&lt;&gt;'📝 Four-tier กรอก'!BJ51,'📝 Four-tier กรอก'!BK53="Y"),"🎲 Guess",IF(AND('📝 Four-tier กรอก'!BH53&lt;&gt;'📝 Four-tier กรอก'!BH51,'📝 Four-tier กรอก'!BI53="Y",'📝 Four-tier กรอก'!BJ53&lt;&gt;'📝 Four-tier กรอก'!BJ51,'📝 Four-tier กรอก'!BK53="Y"),"❌ Misc.",IF(AND('📝 Four-tier กรอก'!BH53&lt;&gt;'📝 Four-tier กรอก'!BH51,'📝 Four-tier กรอก'!BI53="N",'📝 Four-tier กรอก'!BJ53&lt;&gt;'📝 Four-tier กรอก'!BJ51,'📝 Four-tier กรอก'!BK53="N"),"❓ NoK","🤔 Partial")))))</f>
        <v/>
      </c>
      <c r="S52" s="68">
        <f>IF(OR('📝 Four-tier กรอก'!BL53="",'📝 Four-tier กรอก'!BN53=""),"—",IF(AND('📝 Four-tier กรอก'!BL53='📝 Four-tier กรอก'!BL51,'📝 Four-tier กรอก'!BM53="Y",'📝 Four-tier กรอก'!BN53='📝 Four-tier กรอก'!BN51,'📝 Four-tier กรอก'!BO53="Y"),"✅ Sound",IF(AND('📝 Four-tier กรอก'!BL53='📝 Four-tier กรอก'!BL51,'📝 Four-tier กรอก'!BM53="Y",'📝 Four-tier กรอก'!BN53&lt;&gt;'📝 Four-tier กรอก'!BN51,'📝 Four-tier กรอก'!BO53="Y"),"🎲 Guess",IF(AND('📝 Four-tier กรอก'!BL53&lt;&gt;'📝 Four-tier กรอก'!BL51,'📝 Four-tier กรอก'!BM53="Y",'📝 Four-tier กรอก'!BN53&lt;&gt;'📝 Four-tier กรอก'!BN51,'📝 Four-tier กรอก'!BO53="Y"),"❌ Misc.",IF(AND('📝 Four-tier กรอก'!BL53&lt;&gt;'📝 Four-tier กรอก'!BL51,'📝 Four-tier กรอก'!BM53="N",'📝 Four-tier กรอก'!BN53&lt;&gt;'📝 Four-tier กรอก'!BN51,'📝 Four-tier กรอก'!BO53="N"),"❓ NoK","🤔 Partial")))))</f>
        <v/>
      </c>
      <c r="T52" s="68">
        <f>IF(OR('📝 Four-tier กรอก'!BP53="",'📝 Four-tier กรอก'!BR53=""),"—",IF(AND('📝 Four-tier กรอก'!BP53='📝 Four-tier กรอก'!BP51,'📝 Four-tier กรอก'!BQ53="Y",'📝 Four-tier กรอก'!BR53='📝 Four-tier กรอก'!BR51,'📝 Four-tier กรอก'!BS53="Y"),"✅ Sound",IF(AND('📝 Four-tier กรอก'!BP53='📝 Four-tier กรอก'!BP51,'📝 Four-tier กรอก'!BQ53="Y",'📝 Four-tier กรอก'!BR53&lt;&gt;'📝 Four-tier กรอก'!BR51,'📝 Four-tier กรอก'!BS53="Y"),"🎲 Guess",IF(AND('📝 Four-tier กรอก'!BP53&lt;&gt;'📝 Four-tier กรอก'!BP51,'📝 Four-tier กรอก'!BQ53="Y",'📝 Four-tier กรอก'!BR53&lt;&gt;'📝 Four-tier กรอก'!BR51,'📝 Four-tier กรอก'!BS53="Y"),"❌ Misc.",IF(AND('📝 Four-tier กรอก'!BP53&lt;&gt;'📝 Four-tier กรอก'!BP51,'📝 Four-tier กรอก'!BQ53="N",'📝 Four-tier กรอก'!BR53&lt;&gt;'📝 Four-tier กรอก'!BR51,'📝 Four-tier กรอก'!BS53="N"),"❓ NoK","🤔 Partial")))))</f>
        <v/>
      </c>
      <c r="U52" s="68">
        <f>IF(OR('📝 Four-tier กรอก'!BT53="",'📝 Four-tier กรอก'!BV53=""),"—",IF(AND('📝 Four-tier กรอก'!BT53='📝 Four-tier กรอก'!BT51,'📝 Four-tier กรอก'!BU53="Y",'📝 Four-tier กรอก'!BV53='📝 Four-tier กรอก'!BV51,'📝 Four-tier กรอก'!BW53="Y"),"✅ Sound",IF(AND('📝 Four-tier กรอก'!BT53='📝 Four-tier กรอก'!BT51,'📝 Four-tier กรอก'!BU53="Y",'📝 Four-tier กรอก'!BV53&lt;&gt;'📝 Four-tier กรอก'!BV51,'📝 Four-tier กรอก'!BW53="Y"),"🎲 Guess",IF(AND('📝 Four-tier กรอก'!BT53&lt;&gt;'📝 Four-tier กรอก'!BT51,'📝 Four-tier กรอก'!BU53="Y",'📝 Four-tier กรอก'!BV53&lt;&gt;'📝 Four-tier กรอก'!BV51,'📝 Four-tier กรอก'!BW53="Y"),"❌ Misc.",IF(AND('📝 Four-tier กรอก'!BT53&lt;&gt;'📝 Four-tier กรอก'!BT51,'📝 Four-tier กรอก'!BU53="N",'📝 Four-tier กรอก'!BV53&lt;&gt;'📝 Four-tier กรอก'!BV51,'📝 Four-tier กรอก'!BW53="N"),"❓ NoK","🤔 Partial")))))</f>
        <v/>
      </c>
      <c r="V52" s="68">
        <f>IF(OR('📝 Four-tier กรอก'!BX53="",'📝 Four-tier กรอก'!BZ53=""),"—",IF(AND('📝 Four-tier กรอก'!BX53='📝 Four-tier กรอก'!BX51,'📝 Four-tier กรอก'!BY53="Y",'📝 Four-tier กรอก'!BZ53='📝 Four-tier กรอก'!BZ51,'📝 Four-tier กรอก'!CA53="Y"),"✅ Sound",IF(AND('📝 Four-tier กรอก'!BX53='📝 Four-tier กรอก'!BX51,'📝 Four-tier กรอก'!BY53="Y",'📝 Four-tier กรอก'!BZ53&lt;&gt;'📝 Four-tier กรอก'!BZ51,'📝 Four-tier กรอก'!CA53="Y"),"🎲 Guess",IF(AND('📝 Four-tier กรอก'!BX53&lt;&gt;'📝 Four-tier กรอก'!BX51,'📝 Four-tier กรอก'!BY53="Y",'📝 Four-tier กรอก'!BZ53&lt;&gt;'📝 Four-tier กรอก'!BZ51,'📝 Four-tier กรอก'!CA53="Y"),"❌ Misc.",IF(AND('📝 Four-tier กรอก'!BX53&lt;&gt;'📝 Four-tier กรอก'!BX51,'📝 Four-tier กรอก'!BY53="N",'📝 Four-tier กรอก'!BZ53&lt;&gt;'📝 Four-tier กรอก'!BZ51,'📝 Four-tier กรอก'!CA53="N"),"❓ NoK","🤔 Partial")))))</f>
        <v/>
      </c>
      <c r="W52" s="68">
        <f>IF(OR('📝 Four-tier กรอก'!CB53="",'📝 Four-tier กรอก'!CD53=""),"—",IF(AND('📝 Four-tier กรอก'!CB53='📝 Four-tier กรอก'!CB51,'📝 Four-tier กรอก'!CC53="Y",'📝 Four-tier กรอก'!CD53='📝 Four-tier กรอก'!CD51,'📝 Four-tier กรอก'!CE53="Y"),"✅ Sound",IF(AND('📝 Four-tier กรอก'!CB53='📝 Four-tier กรอก'!CB51,'📝 Four-tier กรอก'!CC53="Y",'📝 Four-tier กรอก'!CD53&lt;&gt;'📝 Four-tier กรอก'!CD51,'📝 Four-tier กรอก'!CE53="Y"),"🎲 Guess",IF(AND('📝 Four-tier กรอก'!CB53&lt;&gt;'📝 Four-tier กรอก'!CB51,'📝 Four-tier กรอก'!CC53="Y",'📝 Four-tier กรอก'!CD53&lt;&gt;'📝 Four-tier กรอก'!CD51,'📝 Four-tier กรอก'!CE53="Y"),"❌ Misc.",IF(AND('📝 Four-tier กรอก'!CB53&lt;&gt;'📝 Four-tier กรอก'!CB51,'📝 Four-tier กรอก'!CC53="N",'📝 Four-tier กรอก'!CD53&lt;&gt;'📝 Four-tier กรอก'!CD51,'📝 Four-tier กรอก'!CE53="N"),"❓ NoK","🤔 Partial")))))</f>
        <v/>
      </c>
      <c r="X52" s="37">
        <f>COUNTIF(D52:W52,"✅ Sound")</f>
        <v/>
      </c>
      <c r="Y52" s="37">
        <f>COUNTIF(D52:W52,"❌ Misc.")</f>
        <v/>
      </c>
      <c r="Z52" s="37">
        <f>COUNTIF(D52:W52,"🎲 Guess")</f>
        <v/>
      </c>
      <c r="AA52" s="37">
        <f>COUNTIF(D52:W52,"❓ NoK")</f>
        <v/>
      </c>
    </row>
    <row r="53" ht="18" customHeight="1">
      <c r="B53" s="46">
        <f>'📝 Four-tier กรอก'!B54</f>
        <v/>
      </c>
      <c r="C53" s="47">
        <f>'📝 Four-tier กรอก'!C54</f>
        <v/>
      </c>
      <c r="D53" s="67">
        <f>IF(OR('📝 Four-tier กรอก'!D54="",'📝 Four-tier กรอก'!F54=""),"—",IF(AND('📝 Four-tier กรอก'!D54='📝 Four-tier กรอก'!D51,'📝 Four-tier กรอก'!E54="Y",'📝 Four-tier กรอก'!F54='📝 Four-tier กรอก'!F51,'📝 Four-tier กรอก'!G54="Y"),"✅ Sound",IF(AND('📝 Four-tier กรอก'!D54='📝 Four-tier กรอก'!D51,'📝 Four-tier กรอก'!E54="Y",'📝 Four-tier กรอก'!F54&lt;&gt;'📝 Four-tier กรอก'!F51,'📝 Four-tier กรอก'!G54="Y"),"🎲 Guess",IF(AND('📝 Four-tier กรอก'!D54&lt;&gt;'📝 Four-tier กรอก'!D51,'📝 Four-tier กรอก'!E54="Y",'📝 Four-tier กรอก'!F54&lt;&gt;'📝 Four-tier กรอก'!F51,'📝 Four-tier กรอก'!G54="Y"),"❌ Misc.",IF(AND('📝 Four-tier กรอก'!D54&lt;&gt;'📝 Four-tier กรอก'!D51,'📝 Four-tier กรอก'!E54="N",'📝 Four-tier กรอก'!F54&lt;&gt;'📝 Four-tier กรอก'!F51,'📝 Four-tier กรอก'!G54="N"),"❓ NoK","🤔 Partial")))))</f>
        <v/>
      </c>
      <c r="E53" s="67">
        <f>IF(OR('📝 Four-tier กรอก'!H54="",'📝 Four-tier กรอก'!J54=""),"—",IF(AND('📝 Four-tier กรอก'!H54='📝 Four-tier กรอก'!H51,'📝 Four-tier กรอก'!I54="Y",'📝 Four-tier กรอก'!J54='📝 Four-tier กรอก'!J51,'📝 Four-tier กรอก'!K54="Y"),"✅ Sound",IF(AND('📝 Four-tier กรอก'!H54='📝 Four-tier กรอก'!H51,'📝 Four-tier กรอก'!I54="Y",'📝 Four-tier กรอก'!J54&lt;&gt;'📝 Four-tier กรอก'!J51,'📝 Four-tier กรอก'!K54="Y"),"🎲 Guess",IF(AND('📝 Four-tier กรอก'!H54&lt;&gt;'📝 Four-tier กรอก'!H51,'📝 Four-tier กรอก'!I54="Y",'📝 Four-tier กรอก'!J54&lt;&gt;'📝 Four-tier กรอก'!J51,'📝 Four-tier กรอก'!K54="Y"),"❌ Misc.",IF(AND('📝 Four-tier กรอก'!H54&lt;&gt;'📝 Four-tier กรอก'!H51,'📝 Four-tier กรอก'!I54="N",'📝 Four-tier กรอก'!J54&lt;&gt;'📝 Four-tier กรอก'!J51,'📝 Four-tier กรอก'!K54="N"),"❓ NoK","🤔 Partial")))))</f>
        <v/>
      </c>
      <c r="F53" s="67">
        <f>IF(OR('📝 Four-tier กรอก'!L54="",'📝 Four-tier กรอก'!N54=""),"—",IF(AND('📝 Four-tier กรอก'!L54='📝 Four-tier กรอก'!L51,'📝 Four-tier กรอก'!M54="Y",'📝 Four-tier กรอก'!N54='📝 Four-tier กรอก'!N51,'📝 Four-tier กรอก'!O54="Y"),"✅ Sound",IF(AND('📝 Four-tier กรอก'!L54='📝 Four-tier กรอก'!L51,'📝 Four-tier กรอก'!M54="Y",'📝 Four-tier กรอก'!N54&lt;&gt;'📝 Four-tier กรอก'!N51,'📝 Four-tier กรอก'!O54="Y"),"🎲 Guess",IF(AND('📝 Four-tier กรอก'!L54&lt;&gt;'📝 Four-tier กรอก'!L51,'📝 Four-tier กรอก'!M54="Y",'📝 Four-tier กรอก'!N54&lt;&gt;'📝 Four-tier กรอก'!N51,'📝 Four-tier กรอก'!O54="Y"),"❌ Misc.",IF(AND('📝 Four-tier กรอก'!L54&lt;&gt;'📝 Four-tier กรอก'!L51,'📝 Four-tier กรอก'!M54="N",'📝 Four-tier กรอก'!N54&lt;&gt;'📝 Four-tier กรอก'!N51,'📝 Four-tier กรอก'!O54="N"),"❓ NoK","🤔 Partial")))))</f>
        <v/>
      </c>
      <c r="G53" s="67">
        <f>IF(OR('📝 Four-tier กรอก'!P54="",'📝 Four-tier กรอก'!R54=""),"—",IF(AND('📝 Four-tier กรอก'!P54='📝 Four-tier กรอก'!P51,'📝 Four-tier กรอก'!Q54="Y",'📝 Four-tier กรอก'!R54='📝 Four-tier กรอก'!R51,'📝 Four-tier กรอก'!S54="Y"),"✅ Sound",IF(AND('📝 Four-tier กรอก'!P54='📝 Four-tier กรอก'!P51,'📝 Four-tier กรอก'!Q54="Y",'📝 Four-tier กรอก'!R54&lt;&gt;'📝 Four-tier กรอก'!R51,'📝 Four-tier กรอก'!S54="Y"),"🎲 Guess",IF(AND('📝 Four-tier กรอก'!P54&lt;&gt;'📝 Four-tier กรอก'!P51,'📝 Four-tier กรอก'!Q54="Y",'📝 Four-tier กรอก'!R54&lt;&gt;'📝 Four-tier กรอก'!R51,'📝 Four-tier กรอก'!S54="Y"),"❌ Misc.",IF(AND('📝 Four-tier กรอก'!P54&lt;&gt;'📝 Four-tier กรอก'!P51,'📝 Four-tier กรอก'!Q54="N",'📝 Four-tier กรอก'!R54&lt;&gt;'📝 Four-tier กรอก'!R51,'📝 Four-tier กรอก'!S54="N"),"❓ NoK","🤔 Partial")))))</f>
        <v/>
      </c>
      <c r="H53" s="67">
        <f>IF(OR('📝 Four-tier กรอก'!T54="",'📝 Four-tier กรอก'!V54=""),"—",IF(AND('📝 Four-tier กรอก'!T54='📝 Four-tier กรอก'!T51,'📝 Four-tier กรอก'!U54="Y",'📝 Four-tier กรอก'!V54='📝 Four-tier กรอก'!V51,'📝 Four-tier กรอก'!W54="Y"),"✅ Sound",IF(AND('📝 Four-tier กรอก'!T54='📝 Four-tier กรอก'!T51,'📝 Four-tier กรอก'!U54="Y",'📝 Four-tier กรอก'!V54&lt;&gt;'📝 Four-tier กรอก'!V51,'📝 Four-tier กรอก'!W54="Y"),"🎲 Guess",IF(AND('📝 Four-tier กรอก'!T54&lt;&gt;'📝 Four-tier กรอก'!T51,'📝 Four-tier กรอก'!U54="Y",'📝 Four-tier กรอก'!V54&lt;&gt;'📝 Four-tier กรอก'!V51,'📝 Four-tier กรอก'!W54="Y"),"❌ Misc.",IF(AND('📝 Four-tier กรอก'!T54&lt;&gt;'📝 Four-tier กรอก'!T51,'📝 Four-tier กรอก'!U54="N",'📝 Four-tier กรอก'!V54&lt;&gt;'📝 Four-tier กรอก'!V51,'📝 Four-tier กรอก'!W54="N"),"❓ NoK","🤔 Partial")))))</f>
        <v/>
      </c>
      <c r="I53" s="67">
        <f>IF(OR('📝 Four-tier กรอก'!X54="",'📝 Four-tier กรอก'!Z54=""),"—",IF(AND('📝 Four-tier กรอก'!X54='📝 Four-tier กรอก'!X51,'📝 Four-tier กรอก'!Y54="Y",'📝 Four-tier กรอก'!Z54='📝 Four-tier กรอก'!Z51,'📝 Four-tier กรอก'!AA54="Y"),"✅ Sound",IF(AND('📝 Four-tier กรอก'!X54='📝 Four-tier กรอก'!X51,'📝 Four-tier กรอก'!Y54="Y",'📝 Four-tier กรอก'!Z54&lt;&gt;'📝 Four-tier กรอก'!Z51,'📝 Four-tier กรอก'!AA54="Y"),"🎲 Guess",IF(AND('📝 Four-tier กรอก'!X54&lt;&gt;'📝 Four-tier กรอก'!X51,'📝 Four-tier กรอก'!Y54="Y",'📝 Four-tier กรอก'!Z54&lt;&gt;'📝 Four-tier กรอก'!Z51,'📝 Four-tier กรอก'!AA54="Y"),"❌ Misc.",IF(AND('📝 Four-tier กรอก'!X54&lt;&gt;'📝 Four-tier กรอก'!X51,'📝 Four-tier กรอก'!Y54="N",'📝 Four-tier กรอก'!Z54&lt;&gt;'📝 Four-tier กรอก'!Z51,'📝 Four-tier กรอก'!AA54="N"),"❓ NoK","🤔 Partial")))))</f>
        <v/>
      </c>
      <c r="J53" s="67">
        <f>IF(OR('📝 Four-tier กรอก'!AB54="",'📝 Four-tier กรอก'!AD54=""),"—",IF(AND('📝 Four-tier กรอก'!AB54='📝 Four-tier กรอก'!AB51,'📝 Four-tier กรอก'!AC54="Y",'📝 Four-tier กรอก'!AD54='📝 Four-tier กรอก'!AD51,'📝 Four-tier กรอก'!AE54="Y"),"✅ Sound",IF(AND('📝 Four-tier กรอก'!AB54='📝 Four-tier กรอก'!AB51,'📝 Four-tier กรอก'!AC54="Y",'📝 Four-tier กรอก'!AD54&lt;&gt;'📝 Four-tier กรอก'!AD51,'📝 Four-tier กรอก'!AE54="Y"),"🎲 Guess",IF(AND('📝 Four-tier กรอก'!AB54&lt;&gt;'📝 Four-tier กรอก'!AB51,'📝 Four-tier กรอก'!AC54="Y",'📝 Four-tier กรอก'!AD54&lt;&gt;'📝 Four-tier กรอก'!AD51,'📝 Four-tier กรอก'!AE54="Y"),"❌ Misc.",IF(AND('📝 Four-tier กรอก'!AB54&lt;&gt;'📝 Four-tier กรอก'!AB51,'📝 Four-tier กรอก'!AC54="N",'📝 Four-tier กรอก'!AD54&lt;&gt;'📝 Four-tier กรอก'!AD51,'📝 Four-tier กรอก'!AE54="N"),"❓ NoK","🤔 Partial")))))</f>
        <v/>
      </c>
      <c r="K53" s="67">
        <f>IF(OR('📝 Four-tier กรอก'!AF54="",'📝 Four-tier กรอก'!AH54=""),"—",IF(AND('📝 Four-tier กรอก'!AF54='📝 Four-tier กรอก'!AF51,'📝 Four-tier กรอก'!AG54="Y",'📝 Four-tier กรอก'!AH54='📝 Four-tier กรอก'!AH51,'📝 Four-tier กรอก'!AI54="Y"),"✅ Sound",IF(AND('📝 Four-tier กรอก'!AF54='📝 Four-tier กรอก'!AF51,'📝 Four-tier กรอก'!AG54="Y",'📝 Four-tier กรอก'!AH54&lt;&gt;'📝 Four-tier กรอก'!AH51,'📝 Four-tier กรอก'!AI54="Y"),"🎲 Guess",IF(AND('📝 Four-tier กรอก'!AF54&lt;&gt;'📝 Four-tier กรอก'!AF51,'📝 Four-tier กรอก'!AG54="Y",'📝 Four-tier กรอก'!AH54&lt;&gt;'📝 Four-tier กรอก'!AH51,'📝 Four-tier กรอก'!AI54="Y"),"❌ Misc.",IF(AND('📝 Four-tier กรอก'!AF54&lt;&gt;'📝 Four-tier กรอก'!AF51,'📝 Four-tier กรอก'!AG54="N",'📝 Four-tier กรอก'!AH54&lt;&gt;'📝 Four-tier กรอก'!AH51,'📝 Four-tier กรอก'!AI54="N"),"❓ NoK","🤔 Partial")))))</f>
        <v/>
      </c>
      <c r="L53" s="67">
        <f>IF(OR('📝 Four-tier กรอก'!AJ54="",'📝 Four-tier กรอก'!AL54=""),"—",IF(AND('📝 Four-tier กรอก'!AJ54='📝 Four-tier กรอก'!AJ51,'📝 Four-tier กรอก'!AK54="Y",'📝 Four-tier กรอก'!AL54='📝 Four-tier กรอก'!AL51,'📝 Four-tier กรอก'!AM54="Y"),"✅ Sound",IF(AND('📝 Four-tier กรอก'!AJ54='📝 Four-tier กรอก'!AJ51,'📝 Four-tier กรอก'!AK54="Y",'📝 Four-tier กรอก'!AL54&lt;&gt;'📝 Four-tier กรอก'!AL51,'📝 Four-tier กรอก'!AM54="Y"),"🎲 Guess",IF(AND('📝 Four-tier กรอก'!AJ54&lt;&gt;'📝 Four-tier กรอก'!AJ51,'📝 Four-tier กรอก'!AK54="Y",'📝 Four-tier กรอก'!AL54&lt;&gt;'📝 Four-tier กรอก'!AL51,'📝 Four-tier กรอก'!AM54="Y"),"❌ Misc.",IF(AND('📝 Four-tier กรอก'!AJ54&lt;&gt;'📝 Four-tier กรอก'!AJ51,'📝 Four-tier กรอก'!AK54="N",'📝 Four-tier กรอก'!AL54&lt;&gt;'📝 Four-tier กรอก'!AL51,'📝 Four-tier กรอก'!AM54="N"),"❓ NoK","🤔 Partial")))))</f>
        <v/>
      </c>
      <c r="M53" s="67">
        <f>IF(OR('📝 Four-tier กรอก'!AN54="",'📝 Four-tier กรอก'!AP54=""),"—",IF(AND('📝 Four-tier กรอก'!AN54='📝 Four-tier กรอก'!AN51,'📝 Four-tier กรอก'!AO54="Y",'📝 Four-tier กรอก'!AP54='📝 Four-tier กรอก'!AP51,'📝 Four-tier กรอก'!AQ54="Y"),"✅ Sound",IF(AND('📝 Four-tier กรอก'!AN54='📝 Four-tier กรอก'!AN51,'📝 Four-tier กรอก'!AO54="Y",'📝 Four-tier กรอก'!AP54&lt;&gt;'📝 Four-tier กรอก'!AP51,'📝 Four-tier กรอก'!AQ54="Y"),"🎲 Guess",IF(AND('📝 Four-tier กรอก'!AN54&lt;&gt;'📝 Four-tier กรอก'!AN51,'📝 Four-tier กรอก'!AO54="Y",'📝 Four-tier กรอก'!AP54&lt;&gt;'📝 Four-tier กรอก'!AP51,'📝 Four-tier กรอก'!AQ54="Y"),"❌ Misc.",IF(AND('📝 Four-tier กรอก'!AN54&lt;&gt;'📝 Four-tier กรอก'!AN51,'📝 Four-tier กรอก'!AO54="N",'📝 Four-tier กรอก'!AP54&lt;&gt;'📝 Four-tier กรอก'!AP51,'📝 Four-tier กรอก'!AQ54="N"),"❓ NoK","🤔 Partial")))))</f>
        <v/>
      </c>
      <c r="N53" s="67">
        <f>IF(OR('📝 Four-tier กรอก'!AR54="",'📝 Four-tier กรอก'!AT54=""),"—",IF(AND('📝 Four-tier กรอก'!AR54='📝 Four-tier กรอก'!AR51,'📝 Four-tier กรอก'!AS54="Y",'📝 Four-tier กรอก'!AT54='📝 Four-tier กรอก'!AT51,'📝 Four-tier กรอก'!AU54="Y"),"✅ Sound",IF(AND('📝 Four-tier กรอก'!AR54='📝 Four-tier กรอก'!AR51,'📝 Four-tier กรอก'!AS54="Y",'📝 Four-tier กรอก'!AT54&lt;&gt;'📝 Four-tier กรอก'!AT51,'📝 Four-tier กรอก'!AU54="Y"),"🎲 Guess",IF(AND('📝 Four-tier กรอก'!AR54&lt;&gt;'📝 Four-tier กรอก'!AR51,'📝 Four-tier กรอก'!AS54="Y",'📝 Four-tier กรอก'!AT54&lt;&gt;'📝 Four-tier กรอก'!AT51,'📝 Four-tier กรอก'!AU54="Y"),"❌ Misc.",IF(AND('📝 Four-tier กรอก'!AR54&lt;&gt;'📝 Four-tier กรอก'!AR51,'📝 Four-tier กรอก'!AS54="N",'📝 Four-tier กรอก'!AT54&lt;&gt;'📝 Four-tier กรอก'!AT51,'📝 Four-tier กรอก'!AU54="N"),"❓ NoK","🤔 Partial")))))</f>
        <v/>
      </c>
      <c r="O53" s="67">
        <f>IF(OR('📝 Four-tier กรอก'!AV54="",'📝 Four-tier กรอก'!AX54=""),"—",IF(AND('📝 Four-tier กรอก'!AV54='📝 Four-tier กรอก'!AV51,'📝 Four-tier กรอก'!AW54="Y",'📝 Four-tier กรอก'!AX54='📝 Four-tier กรอก'!AX51,'📝 Four-tier กรอก'!AY54="Y"),"✅ Sound",IF(AND('📝 Four-tier กรอก'!AV54='📝 Four-tier กรอก'!AV51,'📝 Four-tier กรอก'!AW54="Y",'📝 Four-tier กรอก'!AX54&lt;&gt;'📝 Four-tier กรอก'!AX51,'📝 Four-tier กรอก'!AY54="Y"),"🎲 Guess",IF(AND('📝 Four-tier กรอก'!AV54&lt;&gt;'📝 Four-tier กรอก'!AV51,'📝 Four-tier กรอก'!AW54="Y",'📝 Four-tier กรอก'!AX54&lt;&gt;'📝 Four-tier กรอก'!AX51,'📝 Four-tier กรอก'!AY54="Y"),"❌ Misc.",IF(AND('📝 Four-tier กรอก'!AV54&lt;&gt;'📝 Four-tier กรอก'!AV51,'📝 Four-tier กรอก'!AW54="N",'📝 Four-tier กรอก'!AX54&lt;&gt;'📝 Four-tier กรอก'!AX51,'📝 Four-tier กรอก'!AY54="N"),"❓ NoK","🤔 Partial")))))</f>
        <v/>
      </c>
      <c r="P53" s="67">
        <f>IF(OR('📝 Four-tier กรอก'!AZ54="",'📝 Four-tier กรอก'!BB54=""),"—",IF(AND('📝 Four-tier กรอก'!AZ54='📝 Four-tier กรอก'!AZ51,'📝 Four-tier กรอก'!BA54="Y",'📝 Four-tier กรอก'!BB54='📝 Four-tier กรอก'!BB51,'📝 Four-tier กรอก'!BC54="Y"),"✅ Sound",IF(AND('📝 Four-tier กรอก'!AZ54='📝 Four-tier กรอก'!AZ51,'📝 Four-tier กรอก'!BA54="Y",'📝 Four-tier กรอก'!BB54&lt;&gt;'📝 Four-tier กรอก'!BB51,'📝 Four-tier กรอก'!BC54="Y"),"🎲 Guess",IF(AND('📝 Four-tier กรอก'!AZ54&lt;&gt;'📝 Four-tier กรอก'!AZ51,'📝 Four-tier กรอก'!BA54="Y",'📝 Four-tier กรอก'!BB54&lt;&gt;'📝 Four-tier กรอก'!BB51,'📝 Four-tier กรอก'!BC54="Y"),"❌ Misc.",IF(AND('📝 Four-tier กรอก'!AZ54&lt;&gt;'📝 Four-tier กรอก'!AZ51,'📝 Four-tier กรอก'!BA54="N",'📝 Four-tier กรอก'!BB54&lt;&gt;'📝 Four-tier กรอก'!BB51,'📝 Four-tier กรอก'!BC54="N"),"❓ NoK","🤔 Partial")))))</f>
        <v/>
      </c>
      <c r="Q53" s="67">
        <f>IF(OR('📝 Four-tier กรอก'!BD54="",'📝 Four-tier กรอก'!BF54=""),"—",IF(AND('📝 Four-tier กรอก'!BD54='📝 Four-tier กรอก'!BD51,'📝 Four-tier กรอก'!BE54="Y",'📝 Four-tier กรอก'!BF54='📝 Four-tier กรอก'!BF51,'📝 Four-tier กรอก'!BG54="Y"),"✅ Sound",IF(AND('📝 Four-tier กรอก'!BD54='📝 Four-tier กรอก'!BD51,'📝 Four-tier กรอก'!BE54="Y",'📝 Four-tier กรอก'!BF54&lt;&gt;'📝 Four-tier กรอก'!BF51,'📝 Four-tier กรอก'!BG54="Y"),"🎲 Guess",IF(AND('📝 Four-tier กรอก'!BD54&lt;&gt;'📝 Four-tier กรอก'!BD51,'📝 Four-tier กรอก'!BE54="Y",'📝 Four-tier กรอก'!BF54&lt;&gt;'📝 Four-tier กรอก'!BF51,'📝 Four-tier กรอก'!BG54="Y"),"❌ Misc.",IF(AND('📝 Four-tier กรอก'!BD54&lt;&gt;'📝 Four-tier กรอก'!BD51,'📝 Four-tier กรอก'!BE54="N",'📝 Four-tier กรอก'!BF54&lt;&gt;'📝 Four-tier กรอก'!BF51,'📝 Four-tier กรอก'!BG54="N"),"❓ NoK","🤔 Partial")))))</f>
        <v/>
      </c>
      <c r="R53" s="67">
        <f>IF(OR('📝 Four-tier กรอก'!BH54="",'📝 Four-tier กรอก'!BJ54=""),"—",IF(AND('📝 Four-tier กรอก'!BH54='📝 Four-tier กรอก'!BH51,'📝 Four-tier กรอก'!BI54="Y",'📝 Four-tier กรอก'!BJ54='📝 Four-tier กรอก'!BJ51,'📝 Four-tier กรอก'!BK54="Y"),"✅ Sound",IF(AND('📝 Four-tier กรอก'!BH54='📝 Four-tier กรอก'!BH51,'📝 Four-tier กรอก'!BI54="Y",'📝 Four-tier กรอก'!BJ54&lt;&gt;'📝 Four-tier กรอก'!BJ51,'📝 Four-tier กรอก'!BK54="Y"),"🎲 Guess",IF(AND('📝 Four-tier กรอก'!BH54&lt;&gt;'📝 Four-tier กรอก'!BH51,'📝 Four-tier กรอก'!BI54="Y",'📝 Four-tier กรอก'!BJ54&lt;&gt;'📝 Four-tier กรอก'!BJ51,'📝 Four-tier กรอก'!BK54="Y"),"❌ Misc.",IF(AND('📝 Four-tier กรอก'!BH54&lt;&gt;'📝 Four-tier กรอก'!BH51,'📝 Four-tier กรอก'!BI54="N",'📝 Four-tier กรอก'!BJ54&lt;&gt;'📝 Four-tier กรอก'!BJ51,'📝 Four-tier กรอก'!BK54="N"),"❓ NoK","🤔 Partial")))))</f>
        <v/>
      </c>
      <c r="S53" s="67">
        <f>IF(OR('📝 Four-tier กรอก'!BL54="",'📝 Four-tier กรอก'!BN54=""),"—",IF(AND('📝 Four-tier กรอก'!BL54='📝 Four-tier กรอก'!BL51,'📝 Four-tier กรอก'!BM54="Y",'📝 Four-tier กรอก'!BN54='📝 Four-tier กรอก'!BN51,'📝 Four-tier กรอก'!BO54="Y"),"✅ Sound",IF(AND('📝 Four-tier กรอก'!BL54='📝 Four-tier กรอก'!BL51,'📝 Four-tier กรอก'!BM54="Y",'📝 Four-tier กรอก'!BN54&lt;&gt;'📝 Four-tier กรอก'!BN51,'📝 Four-tier กรอก'!BO54="Y"),"🎲 Guess",IF(AND('📝 Four-tier กรอก'!BL54&lt;&gt;'📝 Four-tier กรอก'!BL51,'📝 Four-tier กรอก'!BM54="Y",'📝 Four-tier กรอก'!BN54&lt;&gt;'📝 Four-tier กรอก'!BN51,'📝 Four-tier กรอก'!BO54="Y"),"❌ Misc.",IF(AND('📝 Four-tier กรอก'!BL54&lt;&gt;'📝 Four-tier กรอก'!BL51,'📝 Four-tier กรอก'!BM54="N",'📝 Four-tier กรอก'!BN54&lt;&gt;'📝 Four-tier กรอก'!BN51,'📝 Four-tier กรอก'!BO54="N"),"❓ NoK","🤔 Partial")))))</f>
        <v/>
      </c>
      <c r="T53" s="67">
        <f>IF(OR('📝 Four-tier กรอก'!BP54="",'📝 Four-tier กรอก'!BR54=""),"—",IF(AND('📝 Four-tier กรอก'!BP54='📝 Four-tier กรอก'!BP51,'📝 Four-tier กรอก'!BQ54="Y",'📝 Four-tier กรอก'!BR54='📝 Four-tier กรอก'!BR51,'📝 Four-tier กรอก'!BS54="Y"),"✅ Sound",IF(AND('📝 Four-tier กรอก'!BP54='📝 Four-tier กรอก'!BP51,'📝 Four-tier กรอก'!BQ54="Y",'📝 Four-tier กรอก'!BR54&lt;&gt;'📝 Four-tier กรอก'!BR51,'📝 Four-tier กรอก'!BS54="Y"),"🎲 Guess",IF(AND('📝 Four-tier กรอก'!BP54&lt;&gt;'📝 Four-tier กรอก'!BP51,'📝 Four-tier กรอก'!BQ54="Y",'📝 Four-tier กรอก'!BR54&lt;&gt;'📝 Four-tier กรอก'!BR51,'📝 Four-tier กรอก'!BS54="Y"),"❌ Misc.",IF(AND('📝 Four-tier กรอก'!BP54&lt;&gt;'📝 Four-tier กรอก'!BP51,'📝 Four-tier กรอก'!BQ54="N",'📝 Four-tier กรอก'!BR54&lt;&gt;'📝 Four-tier กรอก'!BR51,'📝 Four-tier กรอก'!BS54="N"),"❓ NoK","🤔 Partial")))))</f>
        <v/>
      </c>
      <c r="U53" s="67">
        <f>IF(OR('📝 Four-tier กรอก'!BT54="",'📝 Four-tier กรอก'!BV54=""),"—",IF(AND('📝 Four-tier กรอก'!BT54='📝 Four-tier กรอก'!BT51,'📝 Four-tier กรอก'!BU54="Y",'📝 Four-tier กรอก'!BV54='📝 Four-tier กรอก'!BV51,'📝 Four-tier กรอก'!BW54="Y"),"✅ Sound",IF(AND('📝 Four-tier กรอก'!BT54='📝 Four-tier กรอก'!BT51,'📝 Four-tier กรอก'!BU54="Y",'📝 Four-tier กรอก'!BV54&lt;&gt;'📝 Four-tier กรอก'!BV51,'📝 Four-tier กรอก'!BW54="Y"),"🎲 Guess",IF(AND('📝 Four-tier กรอก'!BT54&lt;&gt;'📝 Four-tier กรอก'!BT51,'📝 Four-tier กรอก'!BU54="Y",'📝 Four-tier กรอก'!BV54&lt;&gt;'📝 Four-tier กรอก'!BV51,'📝 Four-tier กรอก'!BW54="Y"),"❌ Misc.",IF(AND('📝 Four-tier กรอก'!BT54&lt;&gt;'📝 Four-tier กรอก'!BT51,'📝 Four-tier กรอก'!BU54="N",'📝 Four-tier กรอก'!BV54&lt;&gt;'📝 Four-tier กรอก'!BV51,'📝 Four-tier กรอก'!BW54="N"),"❓ NoK","🤔 Partial")))))</f>
        <v/>
      </c>
      <c r="V53" s="67">
        <f>IF(OR('📝 Four-tier กรอก'!BX54="",'📝 Four-tier กรอก'!BZ54=""),"—",IF(AND('📝 Four-tier กรอก'!BX54='📝 Four-tier กรอก'!BX51,'📝 Four-tier กรอก'!BY54="Y",'📝 Four-tier กรอก'!BZ54='📝 Four-tier กรอก'!BZ51,'📝 Four-tier กรอก'!CA54="Y"),"✅ Sound",IF(AND('📝 Four-tier กรอก'!BX54='📝 Four-tier กรอก'!BX51,'📝 Four-tier กรอก'!BY54="Y",'📝 Four-tier กรอก'!BZ54&lt;&gt;'📝 Four-tier กรอก'!BZ51,'📝 Four-tier กรอก'!CA54="Y"),"🎲 Guess",IF(AND('📝 Four-tier กรอก'!BX54&lt;&gt;'📝 Four-tier กรอก'!BX51,'📝 Four-tier กรอก'!BY54="Y",'📝 Four-tier กรอก'!BZ54&lt;&gt;'📝 Four-tier กรอก'!BZ51,'📝 Four-tier กรอก'!CA54="Y"),"❌ Misc.",IF(AND('📝 Four-tier กรอก'!BX54&lt;&gt;'📝 Four-tier กรอก'!BX51,'📝 Four-tier กรอก'!BY54="N",'📝 Four-tier กรอก'!BZ54&lt;&gt;'📝 Four-tier กรอก'!BZ51,'📝 Four-tier กรอก'!CA54="N"),"❓ NoK","🤔 Partial")))))</f>
        <v/>
      </c>
      <c r="W53" s="67">
        <f>IF(OR('📝 Four-tier กรอก'!CB54="",'📝 Four-tier กรอก'!CD54=""),"—",IF(AND('📝 Four-tier กรอก'!CB54='📝 Four-tier กรอก'!CB51,'📝 Four-tier กรอก'!CC54="Y",'📝 Four-tier กรอก'!CD54='📝 Four-tier กรอก'!CD51,'📝 Four-tier กรอก'!CE54="Y"),"✅ Sound",IF(AND('📝 Four-tier กรอก'!CB54='📝 Four-tier กรอก'!CB51,'📝 Four-tier กรอก'!CC54="Y",'📝 Four-tier กรอก'!CD54&lt;&gt;'📝 Four-tier กรอก'!CD51,'📝 Four-tier กรอก'!CE54="Y"),"🎲 Guess",IF(AND('📝 Four-tier กรอก'!CB54&lt;&gt;'📝 Four-tier กรอก'!CB51,'📝 Four-tier กรอก'!CC54="Y",'📝 Four-tier กรอก'!CD54&lt;&gt;'📝 Four-tier กรอก'!CD51,'📝 Four-tier กรอก'!CE54="Y"),"❌ Misc.",IF(AND('📝 Four-tier กรอก'!CB54&lt;&gt;'📝 Four-tier กรอก'!CB51,'📝 Four-tier กรอก'!CC54="N",'📝 Four-tier กรอก'!CD54&lt;&gt;'📝 Four-tier กรอก'!CD51,'📝 Four-tier กรอก'!CE54="N"),"❓ NoK","🤔 Partial")))))</f>
        <v/>
      </c>
      <c r="X53" s="37">
        <f>COUNTIF(D53:W53,"✅ Sound")</f>
        <v/>
      </c>
      <c r="Y53" s="37">
        <f>COUNTIF(D53:W53,"❌ Misc.")</f>
        <v/>
      </c>
      <c r="Z53" s="37">
        <f>COUNTIF(D53:W53,"🎲 Guess")</f>
        <v/>
      </c>
      <c r="AA53" s="37">
        <f>COUNTIF(D53:W53,"❓ NoK")</f>
        <v/>
      </c>
    </row>
    <row r="54" ht="18" customHeight="1">
      <c r="B54" s="46">
        <f>'📝 Four-tier กรอก'!B55</f>
        <v/>
      </c>
      <c r="C54" s="51">
        <f>'📝 Four-tier กรอก'!C55</f>
        <v/>
      </c>
      <c r="D54" s="68">
        <f>IF(OR('📝 Four-tier กรอก'!D55="",'📝 Four-tier กรอก'!F55=""),"—",IF(AND('📝 Four-tier กรอก'!D55='📝 Four-tier กรอก'!D51,'📝 Four-tier กรอก'!E55="Y",'📝 Four-tier กรอก'!F55='📝 Four-tier กรอก'!F51,'📝 Four-tier กรอก'!G55="Y"),"✅ Sound",IF(AND('📝 Four-tier กรอก'!D55='📝 Four-tier กรอก'!D51,'📝 Four-tier กรอก'!E55="Y",'📝 Four-tier กรอก'!F55&lt;&gt;'📝 Four-tier กรอก'!F51,'📝 Four-tier กรอก'!G55="Y"),"🎲 Guess",IF(AND('📝 Four-tier กรอก'!D55&lt;&gt;'📝 Four-tier กรอก'!D51,'📝 Four-tier กรอก'!E55="Y",'📝 Four-tier กรอก'!F55&lt;&gt;'📝 Four-tier กรอก'!F51,'📝 Four-tier กรอก'!G55="Y"),"❌ Misc.",IF(AND('📝 Four-tier กรอก'!D55&lt;&gt;'📝 Four-tier กรอก'!D51,'📝 Four-tier กรอก'!E55="N",'📝 Four-tier กรอก'!F55&lt;&gt;'📝 Four-tier กรอก'!F51,'📝 Four-tier กรอก'!G55="N"),"❓ NoK","🤔 Partial")))))</f>
        <v/>
      </c>
      <c r="E54" s="68">
        <f>IF(OR('📝 Four-tier กรอก'!H55="",'📝 Four-tier กรอก'!J55=""),"—",IF(AND('📝 Four-tier กรอก'!H55='📝 Four-tier กรอก'!H51,'📝 Four-tier กรอก'!I55="Y",'📝 Four-tier กรอก'!J55='📝 Four-tier กรอก'!J51,'📝 Four-tier กรอก'!K55="Y"),"✅ Sound",IF(AND('📝 Four-tier กรอก'!H55='📝 Four-tier กรอก'!H51,'📝 Four-tier กรอก'!I55="Y",'📝 Four-tier กรอก'!J55&lt;&gt;'📝 Four-tier กรอก'!J51,'📝 Four-tier กรอก'!K55="Y"),"🎲 Guess",IF(AND('📝 Four-tier กรอก'!H55&lt;&gt;'📝 Four-tier กรอก'!H51,'📝 Four-tier กรอก'!I55="Y",'📝 Four-tier กรอก'!J55&lt;&gt;'📝 Four-tier กรอก'!J51,'📝 Four-tier กรอก'!K55="Y"),"❌ Misc.",IF(AND('📝 Four-tier กรอก'!H55&lt;&gt;'📝 Four-tier กรอก'!H51,'📝 Four-tier กรอก'!I55="N",'📝 Four-tier กรอก'!J55&lt;&gt;'📝 Four-tier กรอก'!J51,'📝 Four-tier กรอก'!K55="N"),"❓ NoK","🤔 Partial")))))</f>
        <v/>
      </c>
      <c r="F54" s="68">
        <f>IF(OR('📝 Four-tier กรอก'!L55="",'📝 Four-tier กรอก'!N55=""),"—",IF(AND('📝 Four-tier กรอก'!L55='📝 Four-tier กรอก'!L51,'📝 Four-tier กรอก'!M55="Y",'📝 Four-tier กรอก'!N55='📝 Four-tier กรอก'!N51,'📝 Four-tier กรอก'!O55="Y"),"✅ Sound",IF(AND('📝 Four-tier กรอก'!L55='📝 Four-tier กรอก'!L51,'📝 Four-tier กรอก'!M55="Y",'📝 Four-tier กรอก'!N55&lt;&gt;'📝 Four-tier กรอก'!N51,'📝 Four-tier กรอก'!O55="Y"),"🎲 Guess",IF(AND('📝 Four-tier กรอก'!L55&lt;&gt;'📝 Four-tier กรอก'!L51,'📝 Four-tier กรอก'!M55="Y",'📝 Four-tier กรอก'!N55&lt;&gt;'📝 Four-tier กรอก'!N51,'📝 Four-tier กรอก'!O55="Y"),"❌ Misc.",IF(AND('📝 Four-tier กรอก'!L55&lt;&gt;'📝 Four-tier กรอก'!L51,'📝 Four-tier กรอก'!M55="N",'📝 Four-tier กรอก'!N55&lt;&gt;'📝 Four-tier กรอก'!N51,'📝 Four-tier กรอก'!O55="N"),"❓ NoK","🤔 Partial")))))</f>
        <v/>
      </c>
      <c r="G54" s="68">
        <f>IF(OR('📝 Four-tier กรอก'!P55="",'📝 Four-tier กรอก'!R55=""),"—",IF(AND('📝 Four-tier กรอก'!P55='📝 Four-tier กรอก'!P51,'📝 Four-tier กรอก'!Q55="Y",'📝 Four-tier กรอก'!R55='📝 Four-tier กรอก'!R51,'📝 Four-tier กรอก'!S55="Y"),"✅ Sound",IF(AND('📝 Four-tier กรอก'!P55='📝 Four-tier กรอก'!P51,'📝 Four-tier กรอก'!Q55="Y",'📝 Four-tier กรอก'!R55&lt;&gt;'📝 Four-tier กรอก'!R51,'📝 Four-tier กรอก'!S55="Y"),"🎲 Guess",IF(AND('📝 Four-tier กรอก'!P55&lt;&gt;'📝 Four-tier กรอก'!P51,'📝 Four-tier กรอก'!Q55="Y",'📝 Four-tier กรอก'!R55&lt;&gt;'📝 Four-tier กรอก'!R51,'📝 Four-tier กรอก'!S55="Y"),"❌ Misc.",IF(AND('📝 Four-tier กรอก'!P55&lt;&gt;'📝 Four-tier กรอก'!P51,'📝 Four-tier กรอก'!Q55="N",'📝 Four-tier กรอก'!R55&lt;&gt;'📝 Four-tier กรอก'!R51,'📝 Four-tier กรอก'!S55="N"),"❓ NoK","🤔 Partial")))))</f>
        <v/>
      </c>
      <c r="H54" s="68">
        <f>IF(OR('📝 Four-tier กรอก'!T55="",'📝 Four-tier กรอก'!V55=""),"—",IF(AND('📝 Four-tier กรอก'!T55='📝 Four-tier กรอก'!T51,'📝 Four-tier กรอก'!U55="Y",'📝 Four-tier กรอก'!V55='📝 Four-tier กรอก'!V51,'📝 Four-tier กรอก'!W55="Y"),"✅ Sound",IF(AND('📝 Four-tier กรอก'!T55='📝 Four-tier กรอก'!T51,'📝 Four-tier กรอก'!U55="Y",'📝 Four-tier กรอก'!V55&lt;&gt;'📝 Four-tier กรอก'!V51,'📝 Four-tier กรอก'!W55="Y"),"🎲 Guess",IF(AND('📝 Four-tier กรอก'!T55&lt;&gt;'📝 Four-tier กรอก'!T51,'📝 Four-tier กรอก'!U55="Y",'📝 Four-tier กรอก'!V55&lt;&gt;'📝 Four-tier กรอก'!V51,'📝 Four-tier กรอก'!W55="Y"),"❌ Misc.",IF(AND('📝 Four-tier กรอก'!T55&lt;&gt;'📝 Four-tier กรอก'!T51,'📝 Four-tier กรอก'!U55="N",'📝 Four-tier กรอก'!V55&lt;&gt;'📝 Four-tier กรอก'!V51,'📝 Four-tier กรอก'!W55="N"),"❓ NoK","🤔 Partial")))))</f>
        <v/>
      </c>
      <c r="I54" s="68">
        <f>IF(OR('📝 Four-tier กรอก'!X55="",'📝 Four-tier กรอก'!Z55=""),"—",IF(AND('📝 Four-tier กรอก'!X55='📝 Four-tier กรอก'!X51,'📝 Four-tier กรอก'!Y55="Y",'📝 Four-tier กรอก'!Z55='📝 Four-tier กรอก'!Z51,'📝 Four-tier กรอก'!AA55="Y"),"✅ Sound",IF(AND('📝 Four-tier กรอก'!X55='📝 Four-tier กรอก'!X51,'📝 Four-tier กรอก'!Y55="Y",'📝 Four-tier กรอก'!Z55&lt;&gt;'📝 Four-tier กรอก'!Z51,'📝 Four-tier กรอก'!AA55="Y"),"🎲 Guess",IF(AND('📝 Four-tier กรอก'!X55&lt;&gt;'📝 Four-tier กรอก'!X51,'📝 Four-tier กรอก'!Y55="Y",'📝 Four-tier กรอก'!Z55&lt;&gt;'📝 Four-tier กรอก'!Z51,'📝 Four-tier กรอก'!AA55="Y"),"❌ Misc.",IF(AND('📝 Four-tier กรอก'!X55&lt;&gt;'📝 Four-tier กรอก'!X51,'📝 Four-tier กรอก'!Y55="N",'📝 Four-tier กรอก'!Z55&lt;&gt;'📝 Four-tier กรอก'!Z51,'📝 Four-tier กรอก'!AA55="N"),"❓ NoK","🤔 Partial")))))</f>
        <v/>
      </c>
      <c r="J54" s="68">
        <f>IF(OR('📝 Four-tier กรอก'!AB55="",'📝 Four-tier กรอก'!AD55=""),"—",IF(AND('📝 Four-tier กรอก'!AB55='📝 Four-tier กรอก'!AB51,'📝 Four-tier กรอก'!AC55="Y",'📝 Four-tier กรอก'!AD55='📝 Four-tier กรอก'!AD51,'📝 Four-tier กรอก'!AE55="Y"),"✅ Sound",IF(AND('📝 Four-tier กรอก'!AB55='📝 Four-tier กรอก'!AB51,'📝 Four-tier กรอก'!AC55="Y",'📝 Four-tier กรอก'!AD55&lt;&gt;'📝 Four-tier กรอก'!AD51,'📝 Four-tier กรอก'!AE55="Y"),"🎲 Guess",IF(AND('📝 Four-tier กรอก'!AB55&lt;&gt;'📝 Four-tier กรอก'!AB51,'📝 Four-tier กรอก'!AC55="Y",'📝 Four-tier กรอก'!AD55&lt;&gt;'📝 Four-tier กรอก'!AD51,'📝 Four-tier กรอก'!AE55="Y"),"❌ Misc.",IF(AND('📝 Four-tier กรอก'!AB55&lt;&gt;'📝 Four-tier กรอก'!AB51,'📝 Four-tier กรอก'!AC55="N",'📝 Four-tier กรอก'!AD55&lt;&gt;'📝 Four-tier กรอก'!AD51,'📝 Four-tier กรอก'!AE55="N"),"❓ NoK","🤔 Partial")))))</f>
        <v/>
      </c>
      <c r="K54" s="68">
        <f>IF(OR('📝 Four-tier กรอก'!AF55="",'📝 Four-tier กรอก'!AH55=""),"—",IF(AND('📝 Four-tier กรอก'!AF55='📝 Four-tier กรอก'!AF51,'📝 Four-tier กรอก'!AG55="Y",'📝 Four-tier กรอก'!AH55='📝 Four-tier กรอก'!AH51,'📝 Four-tier กรอก'!AI55="Y"),"✅ Sound",IF(AND('📝 Four-tier กรอก'!AF55='📝 Four-tier กรอก'!AF51,'📝 Four-tier กรอก'!AG55="Y",'📝 Four-tier กรอก'!AH55&lt;&gt;'📝 Four-tier กรอก'!AH51,'📝 Four-tier กรอก'!AI55="Y"),"🎲 Guess",IF(AND('📝 Four-tier กรอก'!AF55&lt;&gt;'📝 Four-tier กรอก'!AF51,'📝 Four-tier กรอก'!AG55="Y",'📝 Four-tier กรอก'!AH55&lt;&gt;'📝 Four-tier กรอก'!AH51,'📝 Four-tier กรอก'!AI55="Y"),"❌ Misc.",IF(AND('📝 Four-tier กรอก'!AF55&lt;&gt;'📝 Four-tier กรอก'!AF51,'📝 Four-tier กรอก'!AG55="N",'📝 Four-tier กรอก'!AH55&lt;&gt;'📝 Four-tier กรอก'!AH51,'📝 Four-tier กรอก'!AI55="N"),"❓ NoK","🤔 Partial")))))</f>
        <v/>
      </c>
      <c r="L54" s="68">
        <f>IF(OR('📝 Four-tier กรอก'!AJ55="",'📝 Four-tier กรอก'!AL55=""),"—",IF(AND('📝 Four-tier กรอก'!AJ55='📝 Four-tier กรอก'!AJ51,'📝 Four-tier กรอก'!AK55="Y",'📝 Four-tier กรอก'!AL55='📝 Four-tier กรอก'!AL51,'📝 Four-tier กรอก'!AM55="Y"),"✅ Sound",IF(AND('📝 Four-tier กรอก'!AJ55='📝 Four-tier กรอก'!AJ51,'📝 Four-tier กรอก'!AK55="Y",'📝 Four-tier กรอก'!AL55&lt;&gt;'📝 Four-tier กรอก'!AL51,'📝 Four-tier กรอก'!AM55="Y"),"🎲 Guess",IF(AND('📝 Four-tier กรอก'!AJ55&lt;&gt;'📝 Four-tier กรอก'!AJ51,'📝 Four-tier กรอก'!AK55="Y",'📝 Four-tier กรอก'!AL55&lt;&gt;'📝 Four-tier กรอก'!AL51,'📝 Four-tier กรอก'!AM55="Y"),"❌ Misc.",IF(AND('📝 Four-tier กรอก'!AJ55&lt;&gt;'📝 Four-tier กรอก'!AJ51,'📝 Four-tier กรอก'!AK55="N",'📝 Four-tier กรอก'!AL55&lt;&gt;'📝 Four-tier กรอก'!AL51,'📝 Four-tier กรอก'!AM55="N"),"❓ NoK","🤔 Partial")))))</f>
        <v/>
      </c>
      <c r="M54" s="68">
        <f>IF(OR('📝 Four-tier กรอก'!AN55="",'📝 Four-tier กรอก'!AP55=""),"—",IF(AND('📝 Four-tier กรอก'!AN55='📝 Four-tier กรอก'!AN51,'📝 Four-tier กรอก'!AO55="Y",'📝 Four-tier กรอก'!AP55='📝 Four-tier กรอก'!AP51,'📝 Four-tier กรอก'!AQ55="Y"),"✅ Sound",IF(AND('📝 Four-tier กรอก'!AN55='📝 Four-tier กรอก'!AN51,'📝 Four-tier กรอก'!AO55="Y",'📝 Four-tier กรอก'!AP55&lt;&gt;'📝 Four-tier กรอก'!AP51,'📝 Four-tier กรอก'!AQ55="Y"),"🎲 Guess",IF(AND('📝 Four-tier กรอก'!AN55&lt;&gt;'📝 Four-tier กรอก'!AN51,'📝 Four-tier กรอก'!AO55="Y",'📝 Four-tier กรอก'!AP55&lt;&gt;'📝 Four-tier กรอก'!AP51,'📝 Four-tier กรอก'!AQ55="Y"),"❌ Misc.",IF(AND('📝 Four-tier กรอก'!AN55&lt;&gt;'📝 Four-tier กรอก'!AN51,'📝 Four-tier กรอก'!AO55="N",'📝 Four-tier กรอก'!AP55&lt;&gt;'📝 Four-tier กรอก'!AP51,'📝 Four-tier กรอก'!AQ55="N"),"❓ NoK","🤔 Partial")))))</f>
        <v/>
      </c>
      <c r="N54" s="68">
        <f>IF(OR('📝 Four-tier กรอก'!AR55="",'📝 Four-tier กรอก'!AT55=""),"—",IF(AND('📝 Four-tier กรอก'!AR55='📝 Four-tier กรอก'!AR51,'📝 Four-tier กรอก'!AS55="Y",'📝 Four-tier กรอก'!AT55='📝 Four-tier กรอก'!AT51,'📝 Four-tier กรอก'!AU55="Y"),"✅ Sound",IF(AND('📝 Four-tier กรอก'!AR55='📝 Four-tier กรอก'!AR51,'📝 Four-tier กรอก'!AS55="Y",'📝 Four-tier กรอก'!AT55&lt;&gt;'📝 Four-tier กรอก'!AT51,'📝 Four-tier กรอก'!AU55="Y"),"🎲 Guess",IF(AND('📝 Four-tier กรอก'!AR55&lt;&gt;'📝 Four-tier กรอก'!AR51,'📝 Four-tier กรอก'!AS55="Y",'📝 Four-tier กรอก'!AT55&lt;&gt;'📝 Four-tier กรอก'!AT51,'📝 Four-tier กรอก'!AU55="Y"),"❌ Misc.",IF(AND('📝 Four-tier กรอก'!AR55&lt;&gt;'📝 Four-tier กรอก'!AR51,'📝 Four-tier กรอก'!AS55="N",'📝 Four-tier กรอก'!AT55&lt;&gt;'📝 Four-tier กรอก'!AT51,'📝 Four-tier กรอก'!AU55="N"),"❓ NoK","🤔 Partial")))))</f>
        <v/>
      </c>
      <c r="O54" s="68">
        <f>IF(OR('📝 Four-tier กรอก'!AV55="",'📝 Four-tier กรอก'!AX55=""),"—",IF(AND('📝 Four-tier กรอก'!AV55='📝 Four-tier กรอก'!AV51,'📝 Four-tier กรอก'!AW55="Y",'📝 Four-tier กรอก'!AX55='📝 Four-tier กรอก'!AX51,'📝 Four-tier กรอก'!AY55="Y"),"✅ Sound",IF(AND('📝 Four-tier กรอก'!AV55='📝 Four-tier กรอก'!AV51,'📝 Four-tier กรอก'!AW55="Y",'📝 Four-tier กรอก'!AX55&lt;&gt;'📝 Four-tier กรอก'!AX51,'📝 Four-tier กรอก'!AY55="Y"),"🎲 Guess",IF(AND('📝 Four-tier กรอก'!AV55&lt;&gt;'📝 Four-tier กรอก'!AV51,'📝 Four-tier กรอก'!AW55="Y",'📝 Four-tier กรอก'!AX55&lt;&gt;'📝 Four-tier กรอก'!AX51,'📝 Four-tier กรอก'!AY55="Y"),"❌ Misc.",IF(AND('📝 Four-tier กรอก'!AV55&lt;&gt;'📝 Four-tier กรอก'!AV51,'📝 Four-tier กรอก'!AW55="N",'📝 Four-tier กรอก'!AX55&lt;&gt;'📝 Four-tier กรอก'!AX51,'📝 Four-tier กรอก'!AY55="N"),"❓ NoK","🤔 Partial")))))</f>
        <v/>
      </c>
      <c r="P54" s="68">
        <f>IF(OR('📝 Four-tier กรอก'!AZ55="",'📝 Four-tier กรอก'!BB55=""),"—",IF(AND('📝 Four-tier กรอก'!AZ55='📝 Four-tier กรอก'!AZ51,'📝 Four-tier กรอก'!BA55="Y",'📝 Four-tier กรอก'!BB55='📝 Four-tier กรอก'!BB51,'📝 Four-tier กรอก'!BC55="Y"),"✅ Sound",IF(AND('📝 Four-tier กรอก'!AZ55='📝 Four-tier กรอก'!AZ51,'📝 Four-tier กรอก'!BA55="Y",'📝 Four-tier กรอก'!BB55&lt;&gt;'📝 Four-tier กรอก'!BB51,'📝 Four-tier กรอก'!BC55="Y"),"🎲 Guess",IF(AND('📝 Four-tier กรอก'!AZ55&lt;&gt;'📝 Four-tier กรอก'!AZ51,'📝 Four-tier กรอก'!BA55="Y",'📝 Four-tier กรอก'!BB55&lt;&gt;'📝 Four-tier กรอก'!BB51,'📝 Four-tier กรอก'!BC55="Y"),"❌ Misc.",IF(AND('📝 Four-tier กรอก'!AZ55&lt;&gt;'📝 Four-tier กรอก'!AZ51,'📝 Four-tier กรอก'!BA55="N",'📝 Four-tier กรอก'!BB55&lt;&gt;'📝 Four-tier กรอก'!BB51,'📝 Four-tier กรอก'!BC55="N"),"❓ NoK","🤔 Partial")))))</f>
        <v/>
      </c>
      <c r="Q54" s="68">
        <f>IF(OR('📝 Four-tier กรอก'!BD55="",'📝 Four-tier กรอก'!BF55=""),"—",IF(AND('📝 Four-tier กรอก'!BD55='📝 Four-tier กรอก'!BD51,'📝 Four-tier กรอก'!BE55="Y",'📝 Four-tier กรอก'!BF55='📝 Four-tier กรอก'!BF51,'📝 Four-tier กรอก'!BG55="Y"),"✅ Sound",IF(AND('📝 Four-tier กรอก'!BD55='📝 Four-tier กรอก'!BD51,'📝 Four-tier กรอก'!BE55="Y",'📝 Four-tier กรอก'!BF55&lt;&gt;'📝 Four-tier กรอก'!BF51,'📝 Four-tier กรอก'!BG55="Y"),"🎲 Guess",IF(AND('📝 Four-tier กรอก'!BD55&lt;&gt;'📝 Four-tier กรอก'!BD51,'📝 Four-tier กรอก'!BE55="Y",'📝 Four-tier กรอก'!BF55&lt;&gt;'📝 Four-tier กรอก'!BF51,'📝 Four-tier กรอก'!BG55="Y"),"❌ Misc.",IF(AND('📝 Four-tier กรอก'!BD55&lt;&gt;'📝 Four-tier กรอก'!BD51,'📝 Four-tier กรอก'!BE55="N",'📝 Four-tier กรอก'!BF55&lt;&gt;'📝 Four-tier กรอก'!BF51,'📝 Four-tier กรอก'!BG55="N"),"❓ NoK","🤔 Partial")))))</f>
        <v/>
      </c>
      <c r="R54" s="68">
        <f>IF(OR('📝 Four-tier กรอก'!BH55="",'📝 Four-tier กรอก'!BJ55=""),"—",IF(AND('📝 Four-tier กรอก'!BH55='📝 Four-tier กรอก'!BH51,'📝 Four-tier กรอก'!BI55="Y",'📝 Four-tier กรอก'!BJ55='📝 Four-tier กรอก'!BJ51,'📝 Four-tier กรอก'!BK55="Y"),"✅ Sound",IF(AND('📝 Four-tier กรอก'!BH55='📝 Four-tier กรอก'!BH51,'📝 Four-tier กรอก'!BI55="Y",'📝 Four-tier กรอก'!BJ55&lt;&gt;'📝 Four-tier กรอก'!BJ51,'📝 Four-tier กรอก'!BK55="Y"),"🎲 Guess",IF(AND('📝 Four-tier กรอก'!BH55&lt;&gt;'📝 Four-tier กรอก'!BH51,'📝 Four-tier กรอก'!BI55="Y",'📝 Four-tier กรอก'!BJ55&lt;&gt;'📝 Four-tier กรอก'!BJ51,'📝 Four-tier กรอก'!BK55="Y"),"❌ Misc.",IF(AND('📝 Four-tier กรอก'!BH55&lt;&gt;'📝 Four-tier กรอก'!BH51,'📝 Four-tier กรอก'!BI55="N",'📝 Four-tier กรอก'!BJ55&lt;&gt;'📝 Four-tier กรอก'!BJ51,'📝 Four-tier กรอก'!BK55="N"),"❓ NoK","🤔 Partial")))))</f>
        <v/>
      </c>
      <c r="S54" s="68">
        <f>IF(OR('📝 Four-tier กรอก'!BL55="",'📝 Four-tier กรอก'!BN55=""),"—",IF(AND('📝 Four-tier กรอก'!BL55='📝 Four-tier กรอก'!BL51,'📝 Four-tier กรอก'!BM55="Y",'📝 Four-tier กรอก'!BN55='📝 Four-tier กรอก'!BN51,'📝 Four-tier กรอก'!BO55="Y"),"✅ Sound",IF(AND('📝 Four-tier กรอก'!BL55='📝 Four-tier กรอก'!BL51,'📝 Four-tier กรอก'!BM55="Y",'📝 Four-tier กรอก'!BN55&lt;&gt;'📝 Four-tier กรอก'!BN51,'📝 Four-tier กรอก'!BO55="Y"),"🎲 Guess",IF(AND('📝 Four-tier กรอก'!BL55&lt;&gt;'📝 Four-tier กรอก'!BL51,'📝 Four-tier กรอก'!BM55="Y",'📝 Four-tier กรอก'!BN55&lt;&gt;'📝 Four-tier กรอก'!BN51,'📝 Four-tier กรอก'!BO55="Y"),"❌ Misc.",IF(AND('📝 Four-tier กรอก'!BL55&lt;&gt;'📝 Four-tier กรอก'!BL51,'📝 Four-tier กรอก'!BM55="N",'📝 Four-tier กรอก'!BN55&lt;&gt;'📝 Four-tier กรอก'!BN51,'📝 Four-tier กรอก'!BO55="N"),"❓ NoK","🤔 Partial")))))</f>
        <v/>
      </c>
      <c r="T54" s="68">
        <f>IF(OR('📝 Four-tier กรอก'!BP55="",'📝 Four-tier กรอก'!BR55=""),"—",IF(AND('📝 Four-tier กรอก'!BP55='📝 Four-tier กรอก'!BP51,'📝 Four-tier กรอก'!BQ55="Y",'📝 Four-tier กรอก'!BR55='📝 Four-tier กรอก'!BR51,'📝 Four-tier กรอก'!BS55="Y"),"✅ Sound",IF(AND('📝 Four-tier กรอก'!BP55='📝 Four-tier กรอก'!BP51,'📝 Four-tier กรอก'!BQ55="Y",'📝 Four-tier กรอก'!BR55&lt;&gt;'📝 Four-tier กรอก'!BR51,'📝 Four-tier กรอก'!BS55="Y"),"🎲 Guess",IF(AND('📝 Four-tier กรอก'!BP55&lt;&gt;'📝 Four-tier กรอก'!BP51,'📝 Four-tier กรอก'!BQ55="Y",'📝 Four-tier กรอก'!BR55&lt;&gt;'📝 Four-tier กรอก'!BR51,'📝 Four-tier กรอก'!BS55="Y"),"❌ Misc.",IF(AND('📝 Four-tier กรอก'!BP55&lt;&gt;'📝 Four-tier กรอก'!BP51,'📝 Four-tier กรอก'!BQ55="N",'📝 Four-tier กรอก'!BR55&lt;&gt;'📝 Four-tier กรอก'!BR51,'📝 Four-tier กรอก'!BS55="N"),"❓ NoK","🤔 Partial")))))</f>
        <v/>
      </c>
      <c r="U54" s="68">
        <f>IF(OR('📝 Four-tier กรอก'!BT55="",'📝 Four-tier กรอก'!BV55=""),"—",IF(AND('📝 Four-tier กรอก'!BT55='📝 Four-tier กรอก'!BT51,'📝 Four-tier กรอก'!BU55="Y",'📝 Four-tier กรอก'!BV55='📝 Four-tier กรอก'!BV51,'📝 Four-tier กรอก'!BW55="Y"),"✅ Sound",IF(AND('📝 Four-tier กรอก'!BT55='📝 Four-tier กรอก'!BT51,'📝 Four-tier กรอก'!BU55="Y",'📝 Four-tier กรอก'!BV55&lt;&gt;'📝 Four-tier กรอก'!BV51,'📝 Four-tier กรอก'!BW55="Y"),"🎲 Guess",IF(AND('📝 Four-tier กรอก'!BT55&lt;&gt;'📝 Four-tier กรอก'!BT51,'📝 Four-tier กรอก'!BU55="Y",'📝 Four-tier กรอก'!BV55&lt;&gt;'📝 Four-tier กรอก'!BV51,'📝 Four-tier กรอก'!BW55="Y"),"❌ Misc.",IF(AND('📝 Four-tier กรอก'!BT55&lt;&gt;'📝 Four-tier กรอก'!BT51,'📝 Four-tier กรอก'!BU55="N",'📝 Four-tier กรอก'!BV55&lt;&gt;'📝 Four-tier กรอก'!BV51,'📝 Four-tier กรอก'!BW55="N"),"❓ NoK","🤔 Partial")))))</f>
        <v/>
      </c>
      <c r="V54" s="68">
        <f>IF(OR('📝 Four-tier กรอก'!BX55="",'📝 Four-tier กรอก'!BZ55=""),"—",IF(AND('📝 Four-tier กรอก'!BX55='📝 Four-tier กรอก'!BX51,'📝 Four-tier กรอก'!BY55="Y",'📝 Four-tier กรอก'!BZ55='📝 Four-tier กรอก'!BZ51,'📝 Four-tier กรอก'!CA55="Y"),"✅ Sound",IF(AND('📝 Four-tier กรอก'!BX55='📝 Four-tier กรอก'!BX51,'📝 Four-tier กรอก'!BY55="Y",'📝 Four-tier กรอก'!BZ55&lt;&gt;'📝 Four-tier กรอก'!BZ51,'📝 Four-tier กรอก'!CA55="Y"),"🎲 Guess",IF(AND('📝 Four-tier กรอก'!BX55&lt;&gt;'📝 Four-tier กรอก'!BX51,'📝 Four-tier กรอก'!BY55="Y",'📝 Four-tier กรอก'!BZ55&lt;&gt;'📝 Four-tier กรอก'!BZ51,'📝 Four-tier กรอก'!CA55="Y"),"❌ Misc.",IF(AND('📝 Four-tier กรอก'!BX55&lt;&gt;'📝 Four-tier กรอก'!BX51,'📝 Four-tier กรอก'!BY55="N",'📝 Four-tier กรอก'!BZ55&lt;&gt;'📝 Four-tier กรอก'!BZ51,'📝 Four-tier กรอก'!CA55="N"),"❓ NoK","🤔 Partial")))))</f>
        <v/>
      </c>
      <c r="W54" s="68">
        <f>IF(OR('📝 Four-tier กรอก'!CB55="",'📝 Four-tier กรอก'!CD55=""),"—",IF(AND('📝 Four-tier กรอก'!CB55='📝 Four-tier กรอก'!CB51,'📝 Four-tier กรอก'!CC55="Y",'📝 Four-tier กรอก'!CD55='📝 Four-tier กรอก'!CD51,'📝 Four-tier กรอก'!CE55="Y"),"✅ Sound",IF(AND('📝 Four-tier กรอก'!CB55='📝 Four-tier กรอก'!CB51,'📝 Four-tier กรอก'!CC55="Y",'📝 Four-tier กรอก'!CD55&lt;&gt;'📝 Four-tier กรอก'!CD51,'📝 Four-tier กรอก'!CE55="Y"),"🎲 Guess",IF(AND('📝 Four-tier กรอก'!CB55&lt;&gt;'📝 Four-tier กรอก'!CB51,'📝 Four-tier กรอก'!CC55="Y",'📝 Four-tier กรอก'!CD55&lt;&gt;'📝 Four-tier กรอก'!CD51,'📝 Four-tier กรอก'!CE55="Y"),"❌ Misc.",IF(AND('📝 Four-tier กรอก'!CB55&lt;&gt;'📝 Four-tier กรอก'!CB51,'📝 Four-tier กรอก'!CC55="N",'📝 Four-tier กรอก'!CD55&lt;&gt;'📝 Four-tier กรอก'!CD51,'📝 Four-tier กรอก'!CE55="N"),"❓ NoK","🤔 Partial")))))</f>
        <v/>
      </c>
      <c r="X54" s="37">
        <f>COUNTIF(D54:W54,"✅ Sound")</f>
        <v/>
      </c>
      <c r="Y54" s="37">
        <f>COUNTIF(D54:W54,"❌ Misc.")</f>
        <v/>
      </c>
      <c r="Z54" s="37">
        <f>COUNTIF(D54:W54,"🎲 Guess")</f>
        <v/>
      </c>
      <c r="AA54" s="37">
        <f>COUNTIF(D54:W54,"❓ NoK")</f>
        <v/>
      </c>
    </row>
    <row r="55" ht="18" customHeight="1">
      <c r="B55" s="46">
        <f>'📝 Four-tier กรอก'!B56</f>
        <v/>
      </c>
      <c r="C55" s="47">
        <f>'📝 Four-tier กรอก'!C56</f>
        <v/>
      </c>
      <c r="D55" s="67">
        <f>IF(OR('📝 Four-tier กรอก'!D56="",'📝 Four-tier กรอก'!F56=""),"—",IF(AND('📝 Four-tier กรอก'!D56='📝 Four-tier กรอก'!D51,'📝 Four-tier กรอก'!E56="Y",'📝 Four-tier กรอก'!F56='📝 Four-tier กรอก'!F51,'📝 Four-tier กรอก'!G56="Y"),"✅ Sound",IF(AND('📝 Four-tier กรอก'!D56='📝 Four-tier กรอก'!D51,'📝 Four-tier กรอก'!E56="Y",'📝 Four-tier กรอก'!F56&lt;&gt;'📝 Four-tier กรอก'!F51,'📝 Four-tier กรอก'!G56="Y"),"🎲 Guess",IF(AND('📝 Four-tier กรอก'!D56&lt;&gt;'📝 Four-tier กรอก'!D51,'📝 Four-tier กรอก'!E56="Y",'📝 Four-tier กรอก'!F56&lt;&gt;'📝 Four-tier กรอก'!F51,'📝 Four-tier กรอก'!G56="Y"),"❌ Misc.",IF(AND('📝 Four-tier กรอก'!D56&lt;&gt;'📝 Four-tier กรอก'!D51,'📝 Four-tier กรอก'!E56="N",'📝 Four-tier กรอก'!F56&lt;&gt;'📝 Four-tier กรอก'!F51,'📝 Four-tier กรอก'!G56="N"),"❓ NoK","🤔 Partial")))))</f>
        <v/>
      </c>
      <c r="E55" s="67">
        <f>IF(OR('📝 Four-tier กรอก'!H56="",'📝 Four-tier กรอก'!J56=""),"—",IF(AND('📝 Four-tier กรอก'!H56='📝 Four-tier กรอก'!H51,'📝 Four-tier กรอก'!I56="Y",'📝 Four-tier กรอก'!J56='📝 Four-tier กรอก'!J51,'📝 Four-tier กรอก'!K56="Y"),"✅ Sound",IF(AND('📝 Four-tier กรอก'!H56='📝 Four-tier กรอก'!H51,'📝 Four-tier กรอก'!I56="Y",'📝 Four-tier กรอก'!J56&lt;&gt;'📝 Four-tier กรอก'!J51,'📝 Four-tier กรอก'!K56="Y"),"🎲 Guess",IF(AND('📝 Four-tier กรอก'!H56&lt;&gt;'📝 Four-tier กรอก'!H51,'📝 Four-tier กรอก'!I56="Y",'📝 Four-tier กรอก'!J56&lt;&gt;'📝 Four-tier กรอก'!J51,'📝 Four-tier กรอก'!K56="Y"),"❌ Misc.",IF(AND('📝 Four-tier กรอก'!H56&lt;&gt;'📝 Four-tier กรอก'!H51,'📝 Four-tier กรอก'!I56="N",'📝 Four-tier กรอก'!J56&lt;&gt;'📝 Four-tier กรอก'!J51,'📝 Four-tier กรอก'!K56="N"),"❓ NoK","🤔 Partial")))))</f>
        <v/>
      </c>
      <c r="F55" s="67">
        <f>IF(OR('📝 Four-tier กรอก'!L56="",'📝 Four-tier กรอก'!N56=""),"—",IF(AND('📝 Four-tier กรอก'!L56='📝 Four-tier กรอก'!L51,'📝 Four-tier กรอก'!M56="Y",'📝 Four-tier กรอก'!N56='📝 Four-tier กรอก'!N51,'📝 Four-tier กรอก'!O56="Y"),"✅ Sound",IF(AND('📝 Four-tier กรอก'!L56='📝 Four-tier กรอก'!L51,'📝 Four-tier กรอก'!M56="Y",'📝 Four-tier กรอก'!N56&lt;&gt;'📝 Four-tier กรอก'!N51,'📝 Four-tier กรอก'!O56="Y"),"🎲 Guess",IF(AND('📝 Four-tier กรอก'!L56&lt;&gt;'📝 Four-tier กรอก'!L51,'📝 Four-tier กรอก'!M56="Y",'📝 Four-tier กรอก'!N56&lt;&gt;'📝 Four-tier กรอก'!N51,'📝 Four-tier กรอก'!O56="Y"),"❌ Misc.",IF(AND('📝 Four-tier กรอก'!L56&lt;&gt;'📝 Four-tier กรอก'!L51,'📝 Four-tier กรอก'!M56="N",'📝 Four-tier กรอก'!N56&lt;&gt;'📝 Four-tier กรอก'!N51,'📝 Four-tier กรอก'!O56="N"),"❓ NoK","🤔 Partial")))))</f>
        <v/>
      </c>
      <c r="G55" s="67">
        <f>IF(OR('📝 Four-tier กรอก'!P56="",'📝 Four-tier กรอก'!R56=""),"—",IF(AND('📝 Four-tier กรอก'!P56='📝 Four-tier กรอก'!P51,'📝 Four-tier กรอก'!Q56="Y",'📝 Four-tier กรอก'!R56='📝 Four-tier กรอก'!R51,'📝 Four-tier กรอก'!S56="Y"),"✅ Sound",IF(AND('📝 Four-tier กรอก'!P56='📝 Four-tier กรอก'!P51,'📝 Four-tier กรอก'!Q56="Y",'📝 Four-tier กรอก'!R56&lt;&gt;'📝 Four-tier กรอก'!R51,'📝 Four-tier กรอก'!S56="Y"),"🎲 Guess",IF(AND('📝 Four-tier กรอก'!P56&lt;&gt;'📝 Four-tier กรอก'!P51,'📝 Four-tier กรอก'!Q56="Y",'📝 Four-tier กรอก'!R56&lt;&gt;'📝 Four-tier กรอก'!R51,'📝 Four-tier กรอก'!S56="Y"),"❌ Misc.",IF(AND('📝 Four-tier กรอก'!P56&lt;&gt;'📝 Four-tier กรอก'!P51,'📝 Four-tier กรอก'!Q56="N",'📝 Four-tier กรอก'!R56&lt;&gt;'📝 Four-tier กรอก'!R51,'📝 Four-tier กรอก'!S56="N"),"❓ NoK","🤔 Partial")))))</f>
        <v/>
      </c>
      <c r="H55" s="67">
        <f>IF(OR('📝 Four-tier กรอก'!T56="",'📝 Four-tier กรอก'!V56=""),"—",IF(AND('📝 Four-tier กรอก'!T56='📝 Four-tier กรอก'!T51,'📝 Four-tier กรอก'!U56="Y",'📝 Four-tier กรอก'!V56='📝 Four-tier กรอก'!V51,'📝 Four-tier กรอก'!W56="Y"),"✅ Sound",IF(AND('📝 Four-tier กรอก'!T56='📝 Four-tier กรอก'!T51,'📝 Four-tier กรอก'!U56="Y",'📝 Four-tier กรอก'!V56&lt;&gt;'📝 Four-tier กรอก'!V51,'📝 Four-tier กรอก'!W56="Y"),"🎲 Guess",IF(AND('📝 Four-tier กรอก'!T56&lt;&gt;'📝 Four-tier กรอก'!T51,'📝 Four-tier กรอก'!U56="Y",'📝 Four-tier กรอก'!V56&lt;&gt;'📝 Four-tier กรอก'!V51,'📝 Four-tier กรอก'!W56="Y"),"❌ Misc.",IF(AND('📝 Four-tier กรอก'!T56&lt;&gt;'📝 Four-tier กรอก'!T51,'📝 Four-tier กรอก'!U56="N",'📝 Four-tier กรอก'!V56&lt;&gt;'📝 Four-tier กรอก'!V51,'📝 Four-tier กรอก'!W56="N"),"❓ NoK","🤔 Partial")))))</f>
        <v/>
      </c>
      <c r="I55" s="67">
        <f>IF(OR('📝 Four-tier กรอก'!X56="",'📝 Four-tier กรอก'!Z56=""),"—",IF(AND('📝 Four-tier กรอก'!X56='📝 Four-tier กรอก'!X51,'📝 Four-tier กรอก'!Y56="Y",'📝 Four-tier กรอก'!Z56='📝 Four-tier กรอก'!Z51,'📝 Four-tier กรอก'!AA56="Y"),"✅ Sound",IF(AND('📝 Four-tier กรอก'!X56='📝 Four-tier กรอก'!X51,'📝 Four-tier กรอก'!Y56="Y",'📝 Four-tier กรอก'!Z56&lt;&gt;'📝 Four-tier กรอก'!Z51,'📝 Four-tier กรอก'!AA56="Y"),"🎲 Guess",IF(AND('📝 Four-tier กรอก'!X56&lt;&gt;'📝 Four-tier กรอก'!X51,'📝 Four-tier กรอก'!Y56="Y",'📝 Four-tier กรอก'!Z56&lt;&gt;'📝 Four-tier กรอก'!Z51,'📝 Four-tier กรอก'!AA56="Y"),"❌ Misc.",IF(AND('📝 Four-tier กรอก'!X56&lt;&gt;'📝 Four-tier กรอก'!X51,'📝 Four-tier กรอก'!Y56="N",'📝 Four-tier กรอก'!Z56&lt;&gt;'📝 Four-tier กรอก'!Z51,'📝 Four-tier กรอก'!AA56="N"),"❓ NoK","🤔 Partial")))))</f>
        <v/>
      </c>
      <c r="J55" s="67">
        <f>IF(OR('📝 Four-tier กรอก'!AB56="",'📝 Four-tier กรอก'!AD56=""),"—",IF(AND('📝 Four-tier กรอก'!AB56='📝 Four-tier กรอก'!AB51,'📝 Four-tier กรอก'!AC56="Y",'📝 Four-tier กรอก'!AD56='📝 Four-tier กรอก'!AD51,'📝 Four-tier กรอก'!AE56="Y"),"✅ Sound",IF(AND('📝 Four-tier กรอก'!AB56='📝 Four-tier กรอก'!AB51,'📝 Four-tier กรอก'!AC56="Y",'📝 Four-tier กรอก'!AD56&lt;&gt;'📝 Four-tier กรอก'!AD51,'📝 Four-tier กรอก'!AE56="Y"),"🎲 Guess",IF(AND('📝 Four-tier กรอก'!AB56&lt;&gt;'📝 Four-tier กรอก'!AB51,'📝 Four-tier กรอก'!AC56="Y",'📝 Four-tier กรอก'!AD56&lt;&gt;'📝 Four-tier กรอก'!AD51,'📝 Four-tier กรอก'!AE56="Y"),"❌ Misc.",IF(AND('📝 Four-tier กรอก'!AB56&lt;&gt;'📝 Four-tier กรอก'!AB51,'📝 Four-tier กรอก'!AC56="N",'📝 Four-tier กรอก'!AD56&lt;&gt;'📝 Four-tier กรอก'!AD51,'📝 Four-tier กรอก'!AE56="N"),"❓ NoK","🤔 Partial")))))</f>
        <v/>
      </c>
      <c r="K55" s="67">
        <f>IF(OR('📝 Four-tier กรอก'!AF56="",'📝 Four-tier กรอก'!AH56=""),"—",IF(AND('📝 Four-tier กรอก'!AF56='📝 Four-tier กรอก'!AF51,'📝 Four-tier กรอก'!AG56="Y",'📝 Four-tier กรอก'!AH56='📝 Four-tier กรอก'!AH51,'📝 Four-tier กรอก'!AI56="Y"),"✅ Sound",IF(AND('📝 Four-tier กรอก'!AF56='📝 Four-tier กรอก'!AF51,'📝 Four-tier กรอก'!AG56="Y",'📝 Four-tier กรอก'!AH56&lt;&gt;'📝 Four-tier กรอก'!AH51,'📝 Four-tier กรอก'!AI56="Y"),"🎲 Guess",IF(AND('📝 Four-tier กรอก'!AF56&lt;&gt;'📝 Four-tier กรอก'!AF51,'📝 Four-tier กรอก'!AG56="Y",'📝 Four-tier กรอก'!AH56&lt;&gt;'📝 Four-tier กรอก'!AH51,'📝 Four-tier กรอก'!AI56="Y"),"❌ Misc.",IF(AND('📝 Four-tier กรอก'!AF56&lt;&gt;'📝 Four-tier กรอก'!AF51,'📝 Four-tier กรอก'!AG56="N",'📝 Four-tier กรอก'!AH56&lt;&gt;'📝 Four-tier กรอก'!AH51,'📝 Four-tier กรอก'!AI56="N"),"❓ NoK","🤔 Partial")))))</f>
        <v/>
      </c>
      <c r="L55" s="67">
        <f>IF(OR('📝 Four-tier กรอก'!AJ56="",'📝 Four-tier กรอก'!AL56=""),"—",IF(AND('📝 Four-tier กรอก'!AJ56='📝 Four-tier กรอก'!AJ51,'📝 Four-tier กรอก'!AK56="Y",'📝 Four-tier กรอก'!AL56='📝 Four-tier กรอก'!AL51,'📝 Four-tier กรอก'!AM56="Y"),"✅ Sound",IF(AND('📝 Four-tier กรอก'!AJ56='📝 Four-tier กรอก'!AJ51,'📝 Four-tier กรอก'!AK56="Y",'📝 Four-tier กรอก'!AL56&lt;&gt;'📝 Four-tier กรอก'!AL51,'📝 Four-tier กรอก'!AM56="Y"),"🎲 Guess",IF(AND('📝 Four-tier กรอก'!AJ56&lt;&gt;'📝 Four-tier กรอก'!AJ51,'📝 Four-tier กรอก'!AK56="Y",'📝 Four-tier กรอก'!AL56&lt;&gt;'📝 Four-tier กรอก'!AL51,'📝 Four-tier กรอก'!AM56="Y"),"❌ Misc.",IF(AND('📝 Four-tier กรอก'!AJ56&lt;&gt;'📝 Four-tier กรอก'!AJ51,'📝 Four-tier กรอก'!AK56="N",'📝 Four-tier กรอก'!AL56&lt;&gt;'📝 Four-tier กรอก'!AL51,'📝 Four-tier กรอก'!AM56="N"),"❓ NoK","🤔 Partial")))))</f>
        <v/>
      </c>
      <c r="M55" s="67">
        <f>IF(OR('📝 Four-tier กรอก'!AN56="",'📝 Four-tier กรอก'!AP56=""),"—",IF(AND('📝 Four-tier กรอก'!AN56='📝 Four-tier กรอก'!AN51,'📝 Four-tier กรอก'!AO56="Y",'📝 Four-tier กรอก'!AP56='📝 Four-tier กรอก'!AP51,'📝 Four-tier กรอก'!AQ56="Y"),"✅ Sound",IF(AND('📝 Four-tier กรอก'!AN56='📝 Four-tier กรอก'!AN51,'📝 Four-tier กรอก'!AO56="Y",'📝 Four-tier กรอก'!AP56&lt;&gt;'📝 Four-tier กรอก'!AP51,'📝 Four-tier กรอก'!AQ56="Y"),"🎲 Guess",IF(AND('📝 Four-tier กรอก'!AN56&lt;&gt;'📝 Four-tier กรอก'!AN51,'📝 Four-tier กรอก'!AO56="Y",'📝 Four-tier กรอก'!AP56&lt;&gt;'📝 Four-tier กรอก'!AP51,'📝 Four-tier กรอก'!AQ56="Y"),"❌ Misc.",IF(AND('📝 Four-tier กรอก'!AN56&lt;&gt;'📝 Four-tier กรอก'!AN51,'📝 Four-tier กรอก'!AO56="N",'📝 Four-tier กรอก'!AP56&lt;&gt;'📝 Four-tier กรอก'!AP51,'📝 Four-tier กรอก'!AQ56="N"),"❓ NoK","🤔 Partial")))))</f>
        <v/>
      </c>
      <c r="N55" s="67">
        <f>IF(OR('📝 Four-tier กรอก'!AR56="",'📝 Four-tier กรอก'!AT56=""),"—",IF(AND('📝 Four-tier กรอก'!AR56='📝 Four-tier กรอก'!AR51,'📝 Four-tier กรอก'!AS56="Y",'📝 Four-tier กรอก'!AT56='📝 Four-tier กรอก'!AT51,'📝 Four-tier กรอก'!AU56="Y"),"✅ Sound",IF(AND('📝 Four-tier กรอก'!AR56='📝 Four-tier กรอก'!AR51,'📝 Four-tier กรอก'!AS56="Y",'📝 Four-tier กรอก'!AT56&lt;&gt;'📝 Four-tier กรอก'!AT51,'📝 Four-tier กรอก'!AU56="Y"),"🎲 Guess",IF(AND('📝 Four-tier กรอก'!AR56&lt;&gt;'📝 Four-tier กรอก'!AR51,'📝 Four-tier กรอก'!AS56="Y",'📝 Four-tier กรอก'!AT56&lt;&gt;'📝 Four-tier กรอก'!AT51,'📝 Four-tier กรอก'!AU56="Y"),"❌ Misc.",IF(AND('📝 Four-tier กรอก'!AR56&lt;&gt;'📝 Four-tier กรอก'!AR51,'📝 Four-tier กรอก'!AS56="N",'📝 Four-tier กรอก'!AT56&lt;&gt;'📝 Four-tier กรอก'!AT51,'📝 Four-tier กรอก'!AU56="N"),"❓ NoK","🤔 Partial")))))</f>
        <v/>
      </c>
      <c r="O55" s="67">
        <f>IF(OR('📝 Four-tier กรอก'!AV56="",'📝 Four-tier กรอก'!AX56=""),"—",IF(AND('📝 Four-tier กรอก'!AV56='📝 Four-tier กรอก'!AV51,'📝 Four-tier กรอก'!AW56="Y",'📝 Four-tier กรอก'!AX56='📝 Four-tier กรอก'!AX51,'📝 Four-tier กรอก'!AY56="Y"),"✅ Sound",IF(AND('📝 Four-tier กรอก'!AV56='📝 Four-tier กรอก'!AV51,'📝 Four-tier กรอก'!AW56="Y",'📝 Four-tier กรอก'!AX56&lt;&gt;'📝 Four-tier กรอก'!AX51,'📝 Four-tier กรอก'!AY56="Y"),"🎲 Guess",IF(AND('📝 Four-tier กรอก'!AV56&lt;&gt;'📝 Four-tier กรอก'!AV51,'📝 Four-tier กรอก'!AW56="Y",'📝 Four-tier กรอก'!AX56&lt;&gt;'📝 Four-tier กรอก'!AX51,'📝 Four-tier กรอก'!AY56="Y"),"❌ Misc.",IF(AND('📝 Four-tier กรอก'!AV56&lt;&gt;'📝 Four-tier กรอก'!AV51,'📝 Four-tier กรอก'!AW56="N",'📝 Four-tier กรอก'!AX56&lt;&gt;'📝 Four-tier กรอก'!AX51,'📝 Four-tier กรอก'!AY56="N"),"❓ NoK","🤔 Partial")))))</f>
        <v/>
      </c>
      <c r="P55" s="67">
        <f>IF(OR('📝 Four-tier กรอก'!AZ56="",'📝 Four-tier กรอก'!BB56=""),"—",IF(AND('📝 Four-tier กรอก'!AZ56='📝 Four-tier กรอก'!AZ51,'📝 Four-tier กรอก'!BA56="Y",'📝 Four-tier กรอก'!BB56='📝 Four-tier กรอก'!BB51,'📝 Four-tier กรอก'!BC56="Y"),"✅ Sound",IF(AND('📝 Four-tier กรอก'!AZ56='📝 Four-tier กรอก'!AZ51,'📝 Four-tier กรอก'!BA56="Y",'📝 Four-tier กรอก'!BB56&lt;&gt;'📝 Four-tier กรอก'!BB51,'📝 Four-tier กรอก'!BC56="Y"),"🎲 Guess",IF(AND('📝 Four-tier กรอก'!AZ56&lt;&gt;'📝 Four-tier กรอก'!AZ51,'📝 Four-tier กรอก'!BA56="Y",'📝 Four-tier กรอก'!BB56&lt;&gt;'📝 Four-tier กรอก'!BB51,'📝 Four-tier กรอก'!BC56="Y"),"❌ Misc.",IF(AND('📝 Four-tier กรอก'!AZ56&lt;&gt;'📝 Four-tier กรอก'!AZ51,'📝 Four-tier กรอก'!BA56="N",'📝 Four-tier กรอก'!BB56&lt;&gt;'📝 Four-tier กรอก'!BB51,'📝 Four-tier กรอก'!BC56="N"),"❓ NoK","🤔 Partial")))))</f>
        <v/>
      </c>
      <c r="Q55" s="67">
        <f>IF(OR('📝 Four-tier กรอก'!BD56="",'📝 Four-tier กรอก'!BF56=""),"—",IF(AND('📝 Four-tier กรอก'!BD56='📝 Four-tier กรอก'!BD51,'📝 Four-tier กรอก'!BE56="Y",'📝 Four-tier กรอก'!BF56='📝 Four-tier กรอก'!BF51,'📝 Four-tier กรอก'!BG56="Y"),"✅ Sound",IF(AND('📝 Four-tier กรอก'!BD56='📝 Four-tier กรอก'!BD51,'📝 Four-tier กรอก'!BE56="Y",'📝 Four-tier กรอก'!BF56&lt;&gt;'📝 Four-tier กรอก'!BF51,'📝 Four-tier กรอก'!BG56="Y"),"🎲 Guess",IF(AND('📝 Four-tier กรอก'!BD56&lt;&gt;'📝 Four-tier กรอก'!BD51,'📝 Four-tier กรอก'!BE56="Y",'📝 Four-tier กรอก'!BF56&lt;&gt;'📝 Four-tier กรอก'!BF51,'📝 Four-tier กรอก'!BG56="Y"),"❌ Misc.",IF(AND('📝 Four-tier กรอก'!BD56&lt;&gt;'📝 Four-tier กรอก'!BD51,'📝 Four-tier กรอก'!BE56="N",'📝 Four-tier กรอก'!BF56&lt;&gt;'📝 Four-tier กรอก'!BF51,'📝 Four-tier กรอก'!BG56="N"),"❓ NoK","🤔 Partial")))))</f>
        <v/>
      </c>
      <c r="R55" s="67">
        <f>IF(OR('📝 Four-tier กรอก'!BH56="",'📝 Four-tier กรอก'!BJ56=""),"—",IF(AND('📝 Four-tier กรอก'!BH56='📝 Four-tier กรอก'!BH51,'📝 Four-tier กรอก'!BI56="Y",'📝 Four-tier กรอก'!BJ56='📝 Four-tier กรอก'!BJ51,'📝 Four-tier กรอก'!BK56="Y"),"✅ Sound",IF(AND('📝 Four-tier กรอก'!BH56='📝 Four-tier กรอก'!BH51,'📝 Four-tier กรอก'!BI56="Y",'📝 Four-tier กรอก'!BJ56&lt;&gt;'📝 Four-tier กรอก'!BJ51,'📝 Four-tier กรอก'!BK56="Y"),"🎲 Guess",IF(AND('📝 Four-tier กรอก'!BH56&lt;&gt;'📝 Four-tier กรอก'!BH51,'📝 Four-tier กรอก'!BI56="Y",'📝 Four-tier กรอก'!BJ56&lt;&gt;'📝 Four-tier กรอก'!BJ51,'📝 Four-tier กรอก'!BK56="Y"),"❌ Misc.",IF(AND('📝 Four-tier กรอก'!BH56&lt;&gt;'📝 Four-tier กรอก'!BH51,'📝 Four-tier กรอก'!BI56="N",'📝 Four-tier กรอก'!BJ56&lt;&gt;'📝 Four-tier กรอก'!BJ51,'📝 Four-tier กรอก'!BK56="N"),"❓ NoK","🤔 Partial")))))</f>
        <v/>
      </c>
      <c r="S55" s="67">
        <f>IF(OR('📝 Four-tier กรอก'!BL56="",'📝 Four-tier กรอก'!BN56=""),"—",IF(AND('📝 Four-tier กรอก'!BL56='📝 Four-tier กรอก'!BL51,'📝 Four-tier กรอก'!BM56="Y",'📝 Four-tier กรอก'!BN56='📝 Four-tier กรอก'!BN51,'📝 Four-tier กรอก'!BO56="Y"),"✅ Sound",IF(AND('📝 Four-tier กรอก'!BL56='📝 Four-tier กรอก'!BL51,'📝 Four-tier กรอก'!BM56="Y",'📝 Four-tier กรอก'!BN56&lt;&gt;'📝 Four-tier กรอก'!BN51,'📝 Four-tier กรอก'!BO56="Y"),"🎲 Guess",IF(AND('📝 Four-tier กรอก'!BL56&lt;&gt;'📝 Four-tier กรอก'!BL51,'📝 Four-tier กรอก'!BM56="Y",'📝 Four-tier กรอก'!BN56&lt;&gt;'📝 Four-tier กรอก'!BN51,'📝 Four-tier กรอก'!BO56="Y"),"❌ Misc.",IF(AND('📝 Four-tier กรอก'!BL56&lt;&gt;'📝 Four-tier กรอก'!BL51,'📝 Four-tier กรอก'!BM56="N",'📝 Four-tier กรอก'!BN56&lt;&gt;'📝 Four-tier กรอก'!BN51,'📝 Four-tier กรอก'!BO56="N"),"❓ NoK","🤔 Partial")))))</f>
        <v/>
      </c>
      <c r="T55" s="67">
        <f>IF(OR('📝 Four-tier กรอก'!BP56="",'📝 Four-tier กรอก'!BR56=""),"—",IF(AND('📝 Four-tier กรอก'!BP56='📝 Four-tier กรอก'!BP51,'📝 Four-tier กรอก'!BQ56="Y",'📝 Four-tier กรอก'!BR56='📝 Four-tier กรอก'!BR51,'📝 Four-tier กรอก'!BS56="Y"),"✅ Sound",IF(AND('📝 Four-tier กรอก'!BP56='📝 Four-tier กรอก'!BP51,'📝 Four-tier กรอก'!BQ56="Y",'📝 Four-tier กรอก'!BR56&lt;&gt;'📝 Four-tier กรอก'!BR51,'📝 Four-tier กรอก'!BS56="Y"),"🎲 Guess",IF(AND('📝 Four-tier กรอก'!BP56&lt;&gt;'📝 Four-tier กรอก'!BP51,'📝 Four-tier กรอก'!BQ56="Y",'📝 Four-tier กรอก'!BR56&lt;&gt;'📝 Four-tier กรอก'!BR51,'📝 Four-tier กรอก'!BS56="Y"),"❌ Misc.",IF(AND('📝 Four-tier กรอก'!BP56&lt;&gt;'📝 Four-tier กรอก'!BP51,'📝 Four-tier กรอก'!BQ56="N",'📝 Four-tier กรอก'!BR56&lt;&gt;'📝 Four-tier กรอก'!BR51,'📝 Four-tier กรอก'!BS56="N"),"❓ NoK","🤔 Partial")))))</f>
        <v/>
      </c>
      <c r="U55" s="67">
        <f>IF(OR('📝 Four-tier กรอก'!BT56="",'📝 Four-tier กรอก'!BV56=""),"—",IF(AND('📝 Four-tier กรอก'!BT56='📝 Four-tier กรอก'!BT51,'📝 Four-tier กรอก'!BU56="Y",'📝 Four-tier กรอก'!BV56='📝 Four-tier กรอก'!BV51,'📝 Four-tier กรอก'!BW56="Y"),"✅ Sound",IF(AND('📝 Four-tier กรอก'!BT56='📝 Four-tier กรอก'!BT51,'📝 Four-tier กรอก'!BU56="Y",'📝 Four-tier กรอก'!BV56&lt;&gt;'📝 Four-tier กรอก'!BV51,'📝 Four-tier กรอก'!BW56="Y"),"🎲 Guess",IF(AND('📝 Four-tier กรอก'!BT56&lt;&gt;'📝 Four-tier กรอก'!BT51,'📝 Four-tier กรอก'!BU56="Y",'📝 Four-tier กรอก'!BV56&lt;&gt;'📝 Four-tier กรอก'!BV51,'📝 Four-tier กรอก'!BW56="Y"),"❌ Misc.",IF(AND('📝 Four-tier กรอก'!BT56&lt;&gt;'📝 Four-tier กรอก'!BT51,'📝 Four-tier กรอก'!BU56="N",'📝 Four-tier กรอก'!BV56&lt;&gt;'📝 Four-tier กรอก'!BV51,'📝 Four-tier กรอก'!BW56="N"),"❓ NoK","🤔 Partial")))))</f>
        <v/>
      </c>
      <c r="V55" s="67">
        <f>IF(OR('📝 Four-tier กรอก'!BX56="",'📝 Four-tier กรอก'!BZ56=""),"—",IF(AND('📝 Four-tier กรอก'!BX56='📝 Four-tier กรอก'!BX51,'📝 Four-tier กรอก'!BY56="Y",'📝 Four-tier กรอก'!BZ56='📝 Four-tier กรอก'!BZ51,'📝 Four-tier กรอก'!CA56="Y"),"✅ Sound",IF(AND('📝 Four-tier กรอก'!BX56='📝 Four-tier กรอก'!BX51,'📝 Four-tier กรอก'!BY56="Y",'📝 Four-tier กรอก'!BZ56&lt;&gt;'📝 Four-tier กรอก'!BZ51,'📝 Four-tier กรอก'!CA56="Y"),"🎲 Guess",IF(AND('📝 Four-tier กรอก'!BX56&lt;&gt;'📝 Four-tier กรอก'!BX51,'📝 Four-tier กรอก'!BY56="Y",'📝 Four-tier กรอก'!BZ56&lt;&gt;'📝 Four-tier กรอก'!BZ51,'📝 Four-tier กรอก'!CA56="Y"),"❌ Misc.",IF(AND('📝 Four-tier กรอก'!BX56&lt;&gt;'📝 Four-tier กรอก'!BX51,'📝 Four-tier กรอก'!BY56="N",'📝 Four-tier กรอก'!BZ56&lt;&gt;'📝 Four-tier กรอก'!BZ51,'📝 Four-tier กรอก'!CA56="N"),"❓ NoK","🤔 Partial")))))</f>
        <v/>
      </c>
      <c r="W55" s="67">
        <f>IF(OR('📝 Four-tier กรอก'!CB56="",'📝 Four-tier กรอก'!CD56=""),"—",IF(AND('📝 Four-tier กรอก'!CB56='📝 Four-tier กรอก'!CB51,'📝 Four-tier กรอก'!CC56="Y",'📝 Four-tier กรอก'!CD56='📝 Four-tier กรอก'!CD51,'📝 Four-tier กรอก'!CE56="Y"),"✅ Sound",IF(AND('📝 Four-tier กรอก'!CB56='📝 Four-tier กรอก'!CB51,'📝 Four-tier กรอก'!CC56="Y",'📝 Four-tier กรอก'!CD56&lt;&gt;'📝 Four-tier กรอก'!CD51,'📝 Four-tier กรอก'!CE56="Y"),"🎲 Guess",IF(AND('📝 Four-tier กรอก'!CB56&lt;&gt;'📝 Four-tier กรอก'!CB51,'📝 Four-tier กรอก'!CC56="Y",'📝 Four-tier กรอก'!CD56&lt;&gt;'📝 Four-tier กรอก'!CD51,'📝 Four-tier กรอก'!CE56="Y"),"❌ Misc.",IF(AND('📝 Four-tier กรอก'!CB56&lt;&gt;'📝 Four-tier กรอก'!CB51,'📝 Four-tier กรอก'!CC56="N",'📝 Four-tier กรอก'!CD56&lt;&gt;'📝 Four-tier กรอก'!CD51,'📝 Four-tier กรอก'!CE56="N"),"❓ NoK","🤔 Partial")))))</f>
        <v/>
      </c>
      <c r="X55" s="37">
        <f>COUNTIF(D55:W55,"✅ Sound")</f>
        <v/>
      </c>
      <c r="Y55" s="37">
        <f>COUNTIF(D55:W55,"❌ Misc.")</f>
        <v/>
      </c>
      <c r="Z55" s="37">
        <f>COUNTIF(D55:W55,"🎲 Guess")</f>
        <v/>
      </c>
      <c r="AA55" s="37">
        <f>COUNTIF(D55:W55,"❓ NoK")</f>
        <v/>
      </c>
    </row>
    <row r="56" ht="18" customHeight="1">
      <c r="B56" s="46">
        <f>'📝 Four-tier กรอก'!B57</f>
        <v/>
      </c>
      <c r="C56" s="51">
        <f>'📝 Four-tier กรอก'!C57</f>
        <v/>
      </c>
      <c r="D56" s="68">
        <f>IF(OR('📝 Four-tier กรอก'!D57="",'📝 Four-tier กรอก'!F57=""),"—",IF(AND('📝 Four-tier กรอก'!D57='📝 Four-tier กรอก'!D51,'📝 Four-tier กรอก'!E57="Y",'📝 Four-tier กรอก'!F57='📝 Four-tier กรอก'!F51,'📝 Four-tier กรอก'!G57="Y"),"✅ Sound",IF(AND('📝 Four-tier กรอก'!D57='📝 Four-tier กรอก'!D51,'📝 Four-tier กรอก'!E57="Y",'📝 Four-tier กรอก'!F57&lt;&gt;'📝 Four-tier กรอก'!F51,'📝 Four-tier กรอก'!G57="Y"),"🎲 Guess",IF(AND('📝 Four-tier กรอก'!D57&lt;&gt;'📝 Four-tier กรอก'!D51,'📝 Four-tier กรอก'!E57="Y",'📝 Four-tier กรอก'!F57&lt;&gt;'📝 Four-tier กรอก'!F51,'📝 Four-tier กรอก'!G57="Y"),"❌ Misc.",IF(AND('📝 Four-tier กรอก'!D57&lt;&gt;'📝 Four-tier กรอก'!D51,'📝 Four-tier กรอก'!E57="N",'📝 Four-tier กรอก'!F57&lt;&gt;'📝 Four-tier กรอก'!F51,'📝 Four-tier กรอก'!G57="N"),"❓ NoK","🤔 Partial")))))</f>
        <v/>
      </c>
      <c r="E56" s="68">
        <f>IF(OR('📝 Four-tier กรอก'!H57="",'📝 Four-tier กรอก'!J57=""),"—",IF(AND('📝 Four-tier กรอก'!H57='📝 Four-tier กรอก'!H51,'📝 Four-tier กรอก'!I57="Y",'📝 Four-tier กรอก'!J57='📝 Four-tier กรอก'!J51,'📝 Four-tier กรอก'!K57="Y"),"✅ Sound",IF(AND('📝 Four-tier กรอก'!H57='📝 Four-tier กรอก'!H51,'📝 Four-tier กรอก'!I57="Y",'📝 Four-tier กรอก'!J57&lt;&gt;'📝 Four-tier กรอก'!J51,'📝 Four-tier กรอก'!K57="Y"),"🎲 Guess",IF(AND('📝 Four-tier กรอก'!H57&lt;&gt;'📝 Four-tier กรอก'!H51,'📝 Four-tier กรอก'!I57="Y",'📝 Four-tier กรอก'!J57&lt;&gt;'📝 Four-tier กรอก'!J51,'📝 Four-tier กรอก'!K57="Y"),"❌ Misc.",IF(AND('📝 Four-tier กรอก'!H57&lt;&gt;'📝 Four-tier กรอก'!H51,'📝 Four-tier กรอก'!I57="N",'📝 Four-tier กรอก'!J57&lt;&gt;'📝 Four-tier กรอก'!J51,'📝 Four-tier กรอก'!K57="N"),"❓ NoK","🤔 Partial")))))</f>
        <v/>
      </c>
      <c r="F56" s="68">
        <f>IF(OR('📝 Four-tier กรอก'!L57="",'📝 Four-tier กรอก'!N57=""),"—",IF(AND('📝 Four-tier กรอก'!L57='📝 Four-tier กรอก'!L51,'📝 Four-tier กรอก'!M57="Y",'📝 Four-tier กรอก'!N57='📝 Four-tier กรอก'!N51,'📝 Four-tier กรอก'!O57="Y"),"✅ Sound",IF(AND('📝 Four-tier กรอก'!L57='📝 Four-tier กรอก'!L51,'📝 Four-tier กรอก'!M57="Y",'📝 Four-tier กรอก'!N57&lt;&gt;'📝 Four-tier กรอก'!N51,'📝 Four-tier กรอก'!O57="Y"),"🎲 Guess",IF(AND('📝 Four-tier กรอก'!L57&lt;&gt;'📝 Four-tier กรอก'!L51,'📝 Four-tier กรอก'!M57="Y",'📝 Four-tier กรอก'!N57&lt;&gt;'📝 Four-tier กรอก'!N51,'📝 Four-tier กรอก'!O57="Y"),"❌ Misc.",IF(AND('📝 Four-tier กรอก'!L57&lt;&gt;'📝 Four-tier กรอก'!L51,'📝 Four-tier กรอก'!M57="N",'📝 Four-tier กรอก'!N57&lt;&gt;'📝 Four-tier กรอก'!N51,'📝 Four-tier กรอก'!O57="N"),"❓ NoK","🤔 Partial")))))</f>
        <v/>
      </c>
      <c r="G56" s="68">
        <f>IF(OR('📝 Four-tier กรอก'!P57="",'📝 Four-tier กรอก'!R57=""),"—",IF(AND('📝 Four-tier กรอก'!P57='📝 Four-tier กรอก'!P51,'📝 Four-tier กรอก'!Q57="Y",'📝 Four-tier กรอก'!R57='📝 Four-tier กรอก'!R51,'📝 Four-tier กรอก'!S57="Y"),"✅ Sound",IF(AND('📝 Four-tier กรอก'!P57='📝 Four-tier กรอก'!P51,'📝 Four-tier กรอก'!Q57="Y",'📝 Four-tier กรอก'!R57&lt;&gt;'📝 Four-tier กรอก'!R51,'📝 Four-tier กรอก'!S57="Y"),"🎲 Guess",IF(AND('📝 Four-tier กรอก'!P57&lt;&gt;'📝 Four-tier กรอก'!P51,'📝 Four-tier กรอก'!Q57="Y",'📝 Four-tier กรอก'!R57&lt;&gt;'📝 Four-tier กรอก'!R51,'📝 Four-tier กรอก'!S57="Y"),"❌ Misc.",IF(AND('📝 Four-tier กรอก'!P57&lt;&gt;'📝 Four-tier กรอก'!P51,'📝 Four-tier กรอก'!Q57="N",'📝 Four-tier กรอก'!R57&lt;&gt;'📝 Four-tier กรอก'!R51,'📝 Four-tier กรอก'!S57="N"),"❓ NoK","🤔 Partial")))))</f>
        <v/>
      </c>
      <c r="H56" s="68">
        <f>IF(OR('📝 Four-tier กรอก'!T57="",'📝 Four-tier กรอก'!V57=""),"—",IF(AND('📝 Four-tier กรอก'!T57='📝 Four-tier กรอก'!T51,'📝 Four-tier กรอก'!U57="Y",'📝 Four-tier กรอก'!V57='📝 Four-tier กรอก'!V51,'📝 Four-tier กรอก'!W57="Y"),"✅ Sound",IF(AND('📝 Four-tier กรอก'!T57='📝 Four-tier กรอก'!T51,'📝 Four-tier กรอก'!U57="Y",'📝 Four-tier กรอก'!V57&lt;&gt;'📝 Four-tier กรอก'!V51,'📝 Four-tier กรอก'!W57="Y"),"🎲 Guess",IF(AND('📝 Four-tier กรอก'!T57&lt;&gt;'📝 Four-tier กรอก'!T51,'📝 Four-tier กรอก'!U57="Y",'📝 Four-tier กรอก'!V57&lt;&gt;'📝 Four-tier กรอก'!V51,'📝 Four-tier กรอก'!W57="Y"),"❌ Misc.",IF(AND('📝 Four-tier กรอก'!T57&lt;&gt;'📝 Four-tier กรอก'!T51,'📝 Four-tier กรอก'!U57="N",'📝 Four-tier กรอก'!V57&lt;&gt;'📝 Four-tier กรอก'!V51,'📝 Four-tier กรอก'!W57="N"),"❓ NoK","🤔 Partial")))))</f>
        <v/>
      </c>
      <c r="I56" s="68">
        <f>IF(OR('📝 Four-tier กรอก'!X57="",'📝 Four-tier กรอก'!Z57=""),"—",IF(AND('📝 Four-tier กรอก'!X57='📝 Four-tier กรอก'!X51,'📝 Four-tier กรอก'!Y57="Y",'📝 Four-tier กรอก'!Z57='📝 Four-tier กรอก'!Z51,'📝 Four-tier กรอก'!AA57="Y"),"✅ Sound",IF(AND('📝 Four-tier กรอก'!X57='📝 Four-tier กรอก'!X51,'📝 Four-tier กรอก'!Y57="Y",'📝 Four-tier กรอก'!Z57&lt;&gt;'📝 Four-tier กรอก'!Z51,'📝 Four-tier กรอก'!AA57="Y"),"🎲 Guess",IF(AND('📝 Four-tier กรอก'!X57&lt;&gt;'📝 Four-tier กรอก'!X51,'📝 Four-tier กรอก'!Y57="Y",'📝 Four-tier กรอก'!Z57&lt;&gt;'📝 Four-tier กรอก'!Z51,'📝 Four-tier กรอก'!AA57="Y"),"❌ Misc.",IF(AND('📝 Four-tier กรอก'!X57&lt;&gt;'📝 Four-tier กรอก'!X51,'📝 Four-tier กรอก'!Y57="N",'📝 Four-tier กรอก'!Z57&lt;&gt;'📝 Four-tier กรอก'!Z51,'📝 Four-tier กรอก'!AA57="N"),"❓ NoK","🤔 Partial")))))</f>
        <v/>
      </c>
      <c r="J56" s="68">
        <f>IF(OR('📝 Four-tier กรอก'!AB57="",'📝 Four-tier กรอก'!AD57=""),"—",IF(AND('📝 Four-tier กรอก'!AB57='📝 Four-tier กรอก'!AB51,'📝 Four-tier กรอก'!AC57="Y",'📝 Four-tier กรอก'!AD57='📝 Four-tier กรอก'!AD51,'📝 Four-tier กรอก'!AE57="Y"),"✅ Sound",IF(AND('📝 Four-tier กรอก'!AB57='📝 Four-tier กรอก'!AB51,'📝 Four-tier กรอก'!AC57="Y",'📝 Four-tier กรอก'!AD57&lt;&gt;'📝 Four-tier กรอก'!AD51,'📝 Four-tier กรอก'!AE57="Y"),"🎲 Guess",IF(AND('📝 Four-tier กรอก'!AB57&lt;&gt;'📝 Four-tier กรอก'!AB51,'📝 Four-tier กรอก'!AC57="Y",'📝 Four-tier กรอก'!AD57&lt;&gt;'📝 Four-tier กรอก'!AD51,'📝 Four-tier กรอก'!AE57="Y"),"❌ Misc.",IF(AND('📝 Four-tier กรอก'!AB57&lt;&gt;'📝 Four-tier กรอก'!AB51,'📝 Four-tier กรอก'!AC57="N",'📝 Four-tier กรอก'!AD57&lt;&gt;'📝 Four-tier กรอก'!AD51,'📝 Four-tier กรอก'!AE57="N"),"❓ NoK","🤔 Partial")))))</f>
        <v/>
      </c>
      <c r="K56" s="68">
        <f>IF(OR('📝 Four-tier กรอก'!AF57="",'📝 Four-tier กรอก'!AH57=""),"—",IF(AND('📝 Four-tier กรอก'!AF57='📝 Four-tier กรอก'!AF51,'📝 Four-tier กรอก'!AG57="Y",'📝 Four-tier กรอก'!AH57='📝 Four-tier กรอก'!AH51,'📝 Four-tier กรอก'!AI57="Y"),"✅ Sound",IF(AND('📝 Four-tier กรอก'!AF57='📝 Four-tier กรอก'!AF51,'📝 Four-tier กรอก'!AG57="Y",'📝 Four-tier กรอก'!AH57&lt;&gt;'📝 Four-tier กรอก'!AH51,'📝 Four-tier กรอก'!AI57="Y"),"🎲 Guess",IF(AND('📝 Four-tier กรอก'!AF57&lt;&gt;'📝 Four-tier กรอก'!AF51,'📝 Four-tier กรอก'!AG57="Y",'📝 Four-tier กรอก'!AH57&lt;&gt;'📝 Four-tier กรอก'!AH51,'📝 Four-tier กรอก'!AI57="Y"),"❌ Misc.",IF(AND('📝 Four-tier กรอก'!AF57&lt;&gt;'📝 Four-tier กรอก'!AF51,'📝 Four-tier กรอก'!AG57="N",'📝 Four-tier กรอก'!AH57&lt;&gt;'📝 Four-tier กรอก'!AH51,'📝 Four-tier กรอก'!AI57="N"),"❓ NoK","🤔 Partial")))))</f>
        <v/>
      </c>
      <c r="L56" s="68">
        <f>IF(OR('📝 Four-tier กรอก'!AJ57="",'📝 Four-tier กรอก'!AL57=""),"—",IF(AND('📝 Four-tier กรอก'!AJ57='📝 Four-tier กรอก'!AJ51,'📝 Four-tier กรอก'!AK57="Y",'📝 Four-tier กรอก'!AL57='📝 Four-tier กรอก'!AL51,'📝 Four-tier กรอก'!AM57="Y"),"✅ Sound",IF(AND('📝 Four-tier กรอก'!AJ57='📝 Four-tier กรอก'!AJ51,'📝 Four-tier กรอก'!AK57="Y",'📝 Four-tier กรอก'!AL57&lt;&gt;'📝 Four-tier กรอก'!AL51,'📝 Four-tier กรอก'!AM57="Y"),"🎲 Guess",IF(AND('📝 Four-tier กรอก'!AJ57&lt;&gt;'📝 Four-tier กรอก'!AJ51,'📝 Four-tier กรอก'!AK57="Y",'📝 Four-tier กรอก'!AL57&lt;&gt;'📝 Four-tier กรอก'!AL51,'📝 Four-tier กรอก'!AM57="Y"),"❌ Misc.",IF(AND('📝 Four-tier กรอก'!AJ57&lt;&gt;'📝 Four-tier กรอก'!AJ51,'📝 Four-tier กรอก'!AK57="N",'📝 Four-tier กรอก'!AL57&lt;&gt;'📝 Four-tier กรอก'!AL51,'📝 Four-tier กรอก'!AM57="N"),"❓ NoK","🤔 Partial")))))</f>
        <v/>
      </c>
      <c r="M56" s="68">
        <f>IF(OR('📝 Four-tier กรอก'!AN57="",'📝 Four-tier กรอก'!AP57=""),"—",IF(AND('📝 Four-tier กรอก'!AN57='📝 Four-tier กรอก'!AN51,'📝 Four-tier กรอก'!AO57="Y",'📝 Four-tier กรอก'!AP57='📝 Four-tier กรอก'!AP51,'📝 Four-tier กรอก'!AQ57="Y"),"✅ Sound",IF(AND('📝 Four-tier กรอก'!AN57='📝 Four-tier กรอก'!AN51,'📝 Four-tier กรอก'!AO57="Y",'📝 Four-tier กรอก'!AP57&lt;&gt;'📝 Four-tier กรอก'!AP51,'📝 Four-tier กรอก'!AQ57="Y"),"🎲 Guess",IF(AND('📝 Four-tier กรอก'!AN57&lt;&gt;'📝 Four-tier กรอก'!AN51,'📝 Four-tier กรอก'!AO57="Y",'📝 Four-tier กรอก'!AP57&lt;&gt;'📝 Four-tier กรอก'!AP51,'📝 Four-tier กรอก'!AQ57="Y"),"❌ Misc.",IF(AND('📝 Four-tier กรอก'!AN57&lt;&gt;'📝 Four-tier กรอก'!AN51,'📝 Four-tier กรอก'!AO57="N",'📝 Four-tier กรอก'!AP57&lt;&gt;'📝 Four-tier กรอก'!AP51,'📝 Four-tier กรอก'!AQ57="N"),"❓ NoK","🤔 Partial")))))</f>
        <v/>
      </c>
      <c r="N56" s="68">
        <f>IF(OR('📝 Four-tier กรอก'!AR57="",'📝 Four-tier กรอก'!AT57=""),"—",IF(AND('📝 Four-tier กรอก'!AR57='📝 Four-tier กรอก'!AR51,'📝 Four-tier กรอก'!AS57="Y",'📝 Four-tier กรอก'!AT57='📝 Four-tier กรอก'!AT51,'📝 Four-tier กรอก'!AU57="Y"),"✅ Sound",IF(AND('📝 Four-tier กรอก'!AR57='📝 Four-tier กรอก'!AR51,'📝 Four-tier กรอก'!AS57="Y",'📝 Four-tier กรอก'!AT57&lt;&gt;'📝 Four-tier กรอก'!AT51,'📝 Four-tier กรอก'!AU57="Y"),"🎲 Guess",IF(AND('📝 Four-tier กรอก'!AR57&lt;&gt;'📝 Four-tier กรอก'!AR51,'📝 Four-tier กรอก'!AS57="Y",'📝 Four-tier กรอก'!AT57&lt;&gt;'📝 Four-tier กรอก'!AT51,'📝 Four-tier กรอก'!AU57="Y"),"❌ Misc.",IF(AND('📝 Four-tier กรอก'!AR57&lt;&gt;'📝 Four-tier กรอก'!AR51,'📝 Four-tier กรอก'!AS57="N",'📝 Four-tier กรอก'!AT57&lt;&gt;'📝 Four-tier กรอก'!AT51,'📝 Four-tier กรอก'!AU57="N"),"❓ NoK","🤔 Partial")))))</f>
        <v/>
      </c>
      <c r="O56" s="68">
        <f>IF(OR('📝 Four-tier กรอก'!AV57="",'📝 Four-tier กรอก'!AX57=""),"—",IF(AND('📝 Four-tier กรอก'!AV57='📝 Four-tier กรอก'!AV51,'📝 Four-tier กรอก'!AW57="Y",'📝 Four-tier กรอก'!AX57='📝 Four-tier กรอก'!AX51,'📝 Four-tier กรอก'!AY57="Y"),"✅ Sound",IF(AND('📝 Four-tier กรอก'!AV57='📝 Four-tier กรอก'!AV51,'📝 Four-tier กรอก'!AW57="Y",'📝 Four-tier กรอก'!AX57&lt;&gt;'📝 Four-tier กรอก'!AX51,'📝 Four-tier กรอก'!AY57="Y"),"🎲 Guess",IF(AND('📝 Four-tier กรอก'!AV57&lt;&gt;'📝 Four-tier กรอก'!AV51,'📝 Four-tier กรอก'!AW57="Y",'📝 Four-tier กรอก'!AX57&lt;&gt;'📝 Four-tier กรอก'!AX51,'📝 Four-tier กรอก'!AY57="Y"),"❌ Misc.",IF(AND('📝 Four-tier กรอก'!AV57&lt;&gt;'📝 Four-tier กรอก'!AV51,'📝 Four-tier กรอก'!AW57="N",'📝 Four-tier กรอก'!AX57&lt;&gt;'📝 Four-tier กรอก'!AX51,'📝 Four-tier กรอก'!AY57="N"),"❓ NoK","🤔 Partial")))))</f>
        <v/>
      </c>
      <c r="P56" s="68">
        <f>IF(OR('📝 Four-tier กรอก'!AZ57="",'📝 Four-tier กรอก'!BB57=""),"—",IF(AND('📝 Four-tier กรอก'!AZ57='📝 Four-tier กรอก'!AZ51,'📝 Four-tier กรอก'!BA57="Y",'📝 Four-tier กรอก'!BB57='📝 Four-tier กรอก'!BB51,'📝 Four-tier กรอก'!BC57="Y"),"✅ Sound",IF(AND('📝 Four-tier กรอก'!AZ57='📝 Four-tier กรอก'!AZ51,'📝 Four-tier กรอก'!BA57="Y",'📝 Four-tier กรอก'!BB57&lt;&gt;'📝 Four-tier กรอก'!BB51,'📝 Four-tier กรอก'!BC57="Y"),"🎲 Guess",IF(AND('📝 Four-tier กรอก'!AZ57&lt;&gt;'📝 Four-tier กรอก'!AZ51,'📝 Four-tier กรอก'!BA57="Y",'📝 Four-tier กรอก'!BB57&lt;&gt;'📝 Four-tier กรอก'!BB51,'📝 Four-tier กรอก'!BC57="Y"),"❌ Misc.",IF(AND('📝 Four-tier กรอก'!AZ57&lt;&gt;'📝 Four-tier กรอก'!AZ51,'📝 Four-tier กรอก'!BA57="N",'📝 Four-tier กรอก'!BB57&lt;&gt;'📝 Four-tier กรอก'!BB51,'📝 Four-tier กรอก'!BC57="N"),"❓ NoK","🤔 Partial")))))</f>
        <v/>
      </c>
      <c r="Q56" s="68">
        <f>IF(OR('📝 Four-tier กรอก'!BD57="",'📝 Four-tier กรอก'!BF57=""),"—",IF(AND('📝 Four-tier กรอก'!BD57='📝 Four-tier กรอก'!BD51,'📝 Four-tier กรอก'!BE57="Y",'📝 Four-tier กรอก'!BF57='📝 Four-tier กรอก'!BF51,'📝 Four-tier กรอก'!BG57="Y"),"✅ Sound",IF(AND('📝 Four-tier กรอก'!BD57='📝 Four-tier กรอก'!BD51,'📝 Four-tier กรอก'!BE57="Y",'📝 Four-tier กรอก'!BF57&lt;&gt;'📝 Four-tier กรอก'!BF51,'📝 Four-tier กรอก'!BG57="Y"),"🎲 Guess",IF(AND('📝 Four-tier กรอก'!BD57&lt;&gt;'📝 Four-tier กรอก'!BD51,'📝 Four-tier กรอก'!BE57="Y",'📝 Four-tier กรอก'!BF57&lt;&gt;'📝 Four-tier กรอก'!BF51,'📝 Four-tier กรอก'!BG57="Y"),"❌ Misc.",IF(AND('📝 Four-tier กรอก'!BD57&lt;&gt;'📝 Four-tier กรอก'!BD51,'📝 Four-tier กรอก'!BE57="N",'📝 Four-tier กรอก'!BF57&lt;&gt;'📝 Four-tier กรอก'!BF51,'📝 Four-tier กรอก'!BG57="N"),"❓ NoK","🤔 Partial")))))</f>
        <v/>
      </c>
      <c r="R56" s="68">
        <f>IF(OR('📝 Four-tier กรอก'!BH57="",'📝 Four-tier กรอก'!BJ57=""),"—",IF(AND('📝 Four-tier กรอก'!BH57='📝 Four-tier กรอก'!BH51,'📝 Four-tier กรอก'!BI57="Y",'📝 Four-tier กรอก'!BJ57='📝 Four-tier กรอก'!BJ51,'📝 Four-tier กรอก'!BK57="Y"),"✅ Sound",IF(AND('📝 Four-tier กรอก'!BH57='📝 Four-tier กรอก'!BH51,'📝 Four-tier กรอก'!BI57="Y",'📝 Four-tier กรอก'!BJ57&lt;&gt;'📝 Four-tier กรอก'!BJ51,'📝 Four-tier กรอก'!BK57="Y"),"🎲 Guess",IF(AND('📝 Four-tier กรอก'!BH57&lt;&gt;'📝 Four-tier กรอก'!BH51,'📝 Four-tier กรอก'!BI57="Y",'📝 Four-tier กรอก'!BJ57&lt;&gt;'📝 Four-tier กรอก'!BJ51,'📝 Four-tier กรอก'!BK57="Y"),"❌ Misc.",IF(AND('📝 Four-tier กรอก'!BH57&lt;&gt;'📝 Four-tier กรอก'!BH51,'📝 Four-tier กรอก'!BI57="N",'📝 Four-tier กรอก'!BJ57&lt;&gt;'📝 Four-tier กรอก'!BJ51,'📝 Four-tier กรอก'!BK57="N"),"❓ NoK","🤔 Partial")))))</f>
        <v/>
      </c>
      <c r="S56" s="68">
        <f>IF(OR('📝 Four-tier กรอก'!BL57="",'📝 Four-tier กรอก'!BN57=""),"—",IF(AND('📝 Four-tier กรอก'!BL57='📝 Four-tier กรอก'!BL51,'📝 Four-tier กรอก'!BM57="Y",'📝 Four-tier กรอก'!BN57='📝 Four-tier กรอก'!BN51,'📝 Four-tier กรอก'!BO57="Y"),"✅ Sound",IF(AND('📝 Four-tier กรอก'!BL57='📝 Four-tier กรอก'!BL51,'📝 Four-tier กรอก'!BM57="Y",'📝 Four-tier กรอก'!BN57&lt;&gt;'📝 Four-tier กรอก'!BN51,'📝 Four-tier กรอก'!BO57="Y"),"🎲 Guess",IF(AND('📝 Four-tier กรอก'!BL57&lt;&gt;'📝 Four-tier กรอก'!BL51,'📝 Four-tier กรอก'!BM57="Y",'📝 Four-tier กรอก'!BN57&lt;&gt;'📝 Four-tier กรอก'!BN51,'📝 Four-tier กรอก'!BO57="Y"),"❌ Misc.",IF(AND('📝 Four-tier กรอก'!BL57&lt;&gt;'📝 Four-tier กรอก'!BL51,'📝 Four-tier กรอก'!BM57="N",'📝 Four-tier กรอก'!BN57&lt;&gt;'📝 Four-tier กรอก'!BN51,'📝 Four-tier กรอก'!BO57="N"),"❓ NoK","🤔 Partial")))))</f>
        <v/>
      </c>
      <c r="T56" s="68">
        <f>IF(OR('📝 Four-tier กรอก'!BP57="",'📝 Four-tier กรอก'!BR57=""),"—",IF(AND('📝 Four-tier กรอก'!BP57='📝 Four-tier กรอก'!BP51,'📝 Four-tier กรอก'!BQ57="Y",'📝 Four-tier กรอก'!BR57='📝 Four-tier กรอก'!BR51,'📝 Four-tier กรอก'!BS57="Y"),"✅ Sound",IF(AND('📝 Four-tier กรอก'!BP57='📝 Four-tier กรอก'!BP51,'📝 Four-tier กรอก'!BQ57="Y",'📝 Four-tier กรอก'!BR57&lt;&gt;'📝 Four-tier กรอก'!BR51,'📝 Four-tier กรอก'!BS57="Y"),"🎲 Guess",IF(AND('📝 Four-tier กรอก'!BP57&lt;&gt;'📝 Four-tier กรอก'!BP51,'📝 Four-tier กรอก'!BQ57="Y",'📝 Four-tier กรอก'!BR57&lt;&gt;'📝 Four-tier กรอก'!BR51,'📝 Four-tier กรอก'!BS57="Y"),"❌ Misc.",IF(AND('📝 Four-tier กรอก'!BP57&lt;&gt;'📝 Four-tier กรอก'!BP51,'📝 Four-tier กรอก'!BQ57="N",'📝 Four-tier กรอก'!BR57&lt;&gt;'📝 Four-tier กรอก'!BR51,'📝 Four-tier กรอก'!BS57="N"),"❓ NoK","🤔 Partial")))))</f>
        <v/>
      </c>
      <c r="U56" s="68">
        <f>IF(OR('📝 Four-tier กรอก'!BT57="",'📝 Four-tier กรอก'!BV57=""),"—",IF(AND('📝 Four-tier กรอก'!BT57='📝 Four-tier กรอก'!BT51,'📝 Four-tier กรอก'!BU57="Y",'📝 Four-tier กรอก'!BV57='📝 Four-tier กรอก'!BV51,'📝 Four-tier กรอก'!BW57="Y"),"✅ Sound",IF(AND('📝 Four-tier กรอก'!BT57='📝 Four-tier กรอก'!BT51,'📝 Four-tier กรอก'!BU57="Y",'📝 Four-tier กรอก'!BV57&lt;&gt;'📝 Four-tier กรอก'!BV51,'📝 Four-tier กรอก'!BW57="Y"),"🎲 Guess",IF(AND('📝 Four-tier กรอก'!BT57&lt;&gt;'📝 Four-tier กรอก'!BT51,'📝 Four-tier กรอก'!BU57="Y",'📝 Four-tier กรอก'!BV57&lt;&gt;'📝 Four-tier กรอก'!BV51,'📝 Four-tier กรอก'!BW57="Y"),"❌ Misc.",IF(AND('📝 Four-tier กรอก'!BT57&lt;&gt;'📝 Four-tier กรอก'!BT51,'📝 Four-tier กรอก'!BU57="N",'📝 Four-tier กรอก'!BV57&lt;&gt;'📝 Four-tier กรอก'!BV51,'📝 Four-tier กรอก'!BW57="N"),"❓ NoK","🤔 Partial")))))</f>
        <v/>
      </c>
      <c r="V56" s="68">
        <f>IF(OR('📝 Four-tier กรอก'!BX57="",'📝 Four-tier กรอก'!BZ57=""),"—",IF(AND('📝 Four-tier กรอก'!BX57='📝 Four-tier กรอก'!BX51,'📝 Four-tier กรอก'!BY57="Y",'📝 Four-tier กรอก'!BZ57='📝 Four-tier กรอก'!BZ51,'📝 Four-tier กรอก'!CA57="Y"),"✅ Sound",IF(AND('📝 Four-tier กรอก'!BX57='📝 Four-tier กรอก'!BX51,'📝 Four-tier กรอก'!BY57="Y",'📝 Four-tier กรอก'!BZ57&lt;&gt;'📝 Four-tier กรอก'!BZ51,'📝 Four-tier กรอก'!CA57="Y"),"🎲 Guess",IF(AND('📝 Four-tier กรอก'!BX57&lt;&gt;'📝 Four-tier กรอก'!BX51,'📝 Four-tier กรอก'!BY57="Y",'📝 Four-tier กรอก'!BZ57&lt;&gt;'📝 Four-tier กรอก'!BZ51,'📝 Four-tier กรอก'!CA57="Y"),"❌ Misc.",IF(AND('📝 Four-tier กรอก'!BX57&lt;&gt;'📝 Four-tier กรอก'!BX51,'📝 Four-tier กรอก'!BY57="N",'📝 Four-tier กรอก'!BZ57&lt;&gt;'📝 Four-tier กรอก'!BZ51,'📝 Four-tier กรอก'!CA57="N"),"❓ NoK","🤔 Partial")))))</f>
        <v/>
      </c>
      <c r="W56" s="68">
        <f>IF(OR('📝 Four-tier กรอก'!CB57="",'📝 Four-tier กรอก'!CD57=""),"—",IF(AND('📝 Four-tier กรอก'!CB57='📝 Four-tier กรอก'!CB51,'📝 Four-tier กรอก'!CC57="Y",'📝 Four-tier กรอก'!CD57='📝 Four-tier กรอก'!CD51,'📝 Four-tier กรอก'!CE57="Y"),"✅ Sound",IF(AND('📝 Four-tier กรอก'!CB57='📝 Four-tier กรอก'!CB51,'📝 Four-tier กรอก'!CC57="Y",'📝 Four-tier กรอก'!CD57&lt;&gt;'📝 Four-tier กรอก'!CD51,'📝 Four-tier กรอก'!CE57="Y"),"🎲 Guess",IF(AND('📝 Four-tier กรอก'!CB57&lt;&gt;'📝 Four-tier กรอก'!CB51,'📝 Four-tier กรอก'!CC57="Y",'📝 Four-tier กรอก'!CD57&lt;&gt;'📝 Four-tier กรอก'!CD51,'📝 Four-tier กรอก'!CE57="Y"),"❌ Misc.",IF(AND('📝 Four-tier กรอก'!CB57&lt;&gt;'📝 Four-tier กรอก'!CB51,'📝 Four-tier กรอก'!CC57="N",'📝 Four-tier กรอก'!CD57&lt;&gt;'📝 Four-tier กรอก'!CD51,'📝 Four-tier กรอก'!CE57="N"),"❓ NoK","🤔 Partial")))))</f>
        <v/>
      </c>
      <c r="X56" s="37">
        <f>COUNTIF(D56:W56,"✅ Sound")</f>
        <v/>
      </c>
      <c r="Y56" s="37">
        <f>COUNTIF(D56:W56,"❌ Misc.")</f>
        <v/>
      </c>
      <c r="Z56" s="37">
        <f>COUNTIF(D56:W56,"🎲 Guess")</f>
        <v/>
      </c>
      <c r="AA56" s="37">
        <f>COUNTIF(D56:W56,"❓ NoK")</f>
        <v/>
      </c>
    </row>
    <row r="57" ht="18" customHeight="1">
      <c r="B57" s="46">
        <f>'📝 Four-tier กรอก'!B58</f>
        <v/>
      </c>
      <c r="C57" s="47">
        <f>'📝 Four-tier กรอก'!C58</f>
        <v/>
      </c>
      <c r="D57" s="67">
        <f>IF(OR('📝 Four-tier กรอก'!D58="",'📝 Four-tier กรอก'!F58=""),"—",IF(AND('📝 Four-tier กรอก'!D58='📝 Four-tier กรอก'!D51,'📝 Four-tier กรอก'!E58="Y",'📝 Four-tier กรอก'!F58='📝 Four-tier กรอก'!F51,'📝 Four-tier กรอก'!G58="Y"),"✅ Sound",IF(AND('📝 Four-tier กรอก'!D58='📝 Four-tier กรอก'!D51,'📝 Four-tier กรอก'!E58="Y",'📝 Four-tier กรอก'!F58&lt;&gt;'📝 Four-tier กรอก'!F51,'📝 Four-tier กรอก'!G58="Y"),"🎲 Guess",IF(AND('📝 Four-tier กรอก'!D58&lt;&gt;'📝 Four-tier กรอก'!D51,'📝 Four-tier กรอก'!E58="Y",'📝 Four-tier กรอก'!F58&lt;&gt;'📝 Four-tier กรอก'!F51,'📝 Four-tier กรอก'!G58="Y"),"❌ Misc.",IF(AND('📝 Four-tier กรอก'!D58&lt;&gt;'📝 Four-tier กรอก'!D51,'📝 Four-tier กรอก'!E58="N",'📝 Four-tier กรอก'!F58&lt;&gt;'📝 Four-tier กรอก'!F51,'📝 Four-tier กรอก'!G58="N"),"❓ NoK","🤔 Partial")))))</f>
        <v/>
      </c>
      <c r="E57" s="67">
        <f>IF(OR('📝 Four-tier กรอก'!H58="",'📝 Four-tier กรอก'!J58=""),"—",IF(AND('📝 Four-tier กรอก'!H58='📝 Four-tier กรอก'!H51,'📝 Four-tier กรอก'!I58="Y",'📝 Four-tier กรอก'!J58='📝 Four-tier กรอก'!J51,'📝 Four-tier กรอก'!K58="Y"),"✅ Sound",IF(AND('📝 Four-tier กรอก'!H58='📝 Four-tier กรอก'!H51,'📝 Four-tier กรอก'!I58="Y",'📝 Four-tier กรอก'!J58&lt;&gt;'📝 Four-tier กรอก'!J51,'📝 Four-tier กรอก'!K58="Y"),"🎲 Guess",IF(AND('📝 Four-tier กรอก'!H58&lt;&gt;'📝 Four-tier กรอก'!H51,'📝 Four-tier กรอก'!I58="Y",'📝 Four-tier กรอก'!J58&lt;&gt;'📝 Four-tier กรอก'!J51,'📝 Four-tier กรอก'!K58="Y"),"❌ Misc.",IF(AND('📝 Four-tier กรอก'!H58&lt;&gt;'📝 Four-tier กรอก'!H51,'📝 Four-tier กรอก'!I58="N",'📝 Four-tier กรอก'!J58&lt;&gt;'📝 Four-tier กรอก'!J51,'📝 Four-tier กรอก'!K58="N"),"❓ NoK","🤔 Partial")))))</f>
        <v/>
      </c>
      <c r="F57" s="67">
        <f>IF(OR('📝 Four-tier กรอก'!L58="",'📝 Four-tier กรอก'!N58=""),"—",IF(AND('📝 Four-tier กรอก'!L58='📝 Four-tier กรอก'!L51,'📝 Four-tier กรอก'!M58="Y",'📝 Four-tier กรอก'!N58='📝 Four-tier กรอก'!N51,'📝 Four-tier กรอก'!O58="Y"),"✅ Sound",IF(AND('📝 Four-tier กรอก'!L58='📝 Four-tier กรอก'!L51,'📝 Four-tier กรอก'!M58="Y",'📝 Four-tier กรอก'!N58&lt;&gt;'📝 Four-tier กรอก'!N51,'📝 Four-tier กรอก'!O58="Y"),"🎲 Guess",IF(AND('📝 Four-tier กรอก'!L58&lt;&gt;'📝 Four-tier กรอก'!L51,'📝 Four-tier กรอก'!M58="Y",'📝 Four-tier กรอก'!N58&lt;&gt;'📝 Four-tier กรอก'!N51,'📝 Four-tier กรอก'!O58="Y"),"❌ Misc.",IF(AND('📝 Four-tier กรอก'!L58&lt;&gt;'📝 Four-tier กรอก'!L51,'📝 Four-tier กรอก'!M58="N",'📝 Four-tier กรอก'!N58&lt;&gt;'📝 Four-tier กรอก'!N51,'📝 Four-tier กรอก'!O58="N"),"❓ NoK","🤔 Partial")))))</f>
        <v/>
      </c>
      <c r="G57" s="67">
        <f>IF(OR('📝 Four-tier กรอก'!P58="",'📝 Four-tier กรอก'!R58=""),"—",IF(AND('📝 Four-tier กรอก'!P58='📝 Four-tier กรอก'!P51,'📝 Four-tier กรอก'!Q58="Y",'📝 Four-tier กรอก'!R58='📝 Four-tier กรอก'!R51,'📝 Four-tier กรอก'!S58="Y"),"✅ Sound",IF(AND('📝 Four-tier กรอก'!P58='📝 Four-tier กรอก'!P51,'📝 Four-tier กรอก'!Q58="Y",'📝 Four-tier กรอก'!R58&lt;&gt;'📝 Four-tier กรอก'!R51,'📝 Four-tier กรอก'!S58="Y"),"🎲 Guess",IF(AND('📝 Four-tier กรอก'!P58&lt;&gt;'📝 Four-tier กรอก'!P51,'📝 Four-tier กรอก'!Q58="Y",'📝 Four-tier กรอก'!R58&lt;&gt;'📝 Four-tier กรอก'!R51,'📝 Four-tier กรอก'!S58="Y"),"❌ Misc.",IF(AND('📝 Four-tier กรอก'!P58&lt;&gt;'📝 Four-tier กรอก'!P51,'📝 Four-tier กรอก'!Q58="N",'📝 Four-tier กรอก'!R58&lt;&gt;'📝 Four-tier กรอก'!R51,'📝 Four-tier กรอก'!S58="N"),"❓ NoK","🤔 Partial")))))</f>
        <v/>
      </c>
      <c r="H57" s="67">
        <f>IF(OR('📝 Four-tier กรอก'!T58="",'📝 Four-tier กรอก'!V58=""),"—",IF(AND('📝 Four-tier กรอก'!T58='📝 Four-tier กรอก'!T51,'📝 Four-tier กรอก'!U58="Y",'📝 Four-tier กรอก'!V58='📝 Four-tier กรอก'!V51,'📝 Four-tier กรอก'!W58="Y"),"✅ Sound",IF(AND('📝 Four-tier กรอก'!T58='📝 Four-tier กรอก'!T51,'📝 Four-tier กรอก'!U58="Y",'📝 Four-tier กรอก'!V58&lt;&gt;'📝 Four-tier กรอก'!V51,'📝 Four-tier กรอก'!W58="Y"),"🎲 Guess",IF(AND('📝 Four-tier กรอก'!T58&lt;&gt;'📝 Four-tier กรอก'!T51,'📝 Four-tier กรอก'!U58="Y",'📝 Four-tier กรอก'!V58&lt;&gt;'📝 Four-tier กรอก'!V51,'📝 Four-tier กรอก'!W58="Y"),"❌ Misc.",IF(AND('📝 Four-tier กรอก'!T58&lt;&gt;'📝 Four-tier กรอก'!T51,'📝 Four-tier กรอก'!U58="N",'📝 Four-tier กรอก'!V58&lt;&gt;'📝 Four-tier กรอก'!V51,'📝 Four-tier กรอก'!W58="N"),"❓ NoK","🤔 Partial")))))</f>
        <v/>
      </c>
      <c r="I57" s="67">
        <f>IF(OR('📝 Four-tier กรอก'!X58="",'📝 Four-tier กรอก'!Z58=""),"—",IF(AND('📝 Four-tier กรอก'!X58='📝 Four-tier กรอก'!X51,'📝 Four-tier กรอก'!Y58="Y",'📝 Four-tier กรอก'!Z58='📝 Four-tier กรอก'!Z51,'📝 Four-tier กรอก'!AA58="Y"),"✅ Sound",IF(AND('📝 Four-tier กรอก'!X58='📝 Four-tier กรอก'!X51,'📝 Four-tier กรอก'!Y58="Y",'📝 Four-tier กรอก'!Z58&lt;&gt;'📝 Four-tier กรอก'!Z51,'📝 Four-tier กรอก'!AA58="Y"),"🎲 Guess",IF(AND('📝 Four-tier กรอก'!X58&lt;&gt;'📝 Four-tier กรอก'!X51,'📝 Four-tier กรอก'!Y58="Y",'📝 Four-tier กรอก'!Z58&lt;&gt;'📝 Four-tier กรอก'!Z51,'📝 Four-tier กรอก'!AA58="Y"),"❌ Misc.",IF(AND('📝 Four-tier กรอก'!X58&lt;&gt;'📝 Four-tier กรอก'!X51,'📝 Four-tier กรอก'!Y58="N",'📝 Four-tier กรอก'!Z58&lt;&gt;'📝 Four-tier กรอก'!Z51,'📝 Four-tier กรอก'!AA58="N"),"❓ NoK","🤔 Partial")))))</f>
        <v/>
      </c>
      <c r="J57" s="67">
        <f>IF(OR('📝 Four-tier กรอก'!AB58="",'📝 Four-tier กรอก'!AD58=""),"—",IF(AND('📝 Four-tier กรอก'!AB58='📝 Four-tier กรอก'!AB51,'📝 Four-tier กรอก'!AC58="Y",'📝 Four-tier กรอก'!AD58='📝 Four-tier กรอก'!AD51,'📝 Four-tier กรอก'!AE58="Y"),"✅ Sound",IF(AND('📝 Four-tier กรอก'!AB58='📝 Four-tier กรอก'!AB51,'📝 Four-tier กรอก'!AC58="Y",'📝 Four-tier กรอก'!AD58&lt;&gt;'📝 Four-tier กรอก'!AD51,'📝 Four-tier กรอก'!AE58="Y"),"🎲 Guess",IF(AND('📝 Four-tier กรอก'!AB58&lt;&gt;'📝 Four-tier กรอก'!AB51,'📝 Four-tier กรอก'!AC58="Y",'📝 Four-tier กรอก'!AD58&lt;&gt;'📝 Four-tier กรอก'!AD51,'📝 Four-tier กรอก'!AE58="Y"),"❌ Misc.",IF(AND('📝 Four-tier กรอก'!AB58&lt;&gt;'📝 Four-tier กรอก'!AB51,'📝 Four-tier กรอก'!AC58="N",'📝 Four-tier กรอก'!AD58&lt;&gt;'📝 Four-tier กรอก'!AD51,'📝 Four-tier กรอก'!AE58="N"),"❓ NoK","🤔 Partial")))))</f>
        <v/>
      </c>
      <c r="K57" s="67">
        <f>IF(OR('📝 Four-tier กรอก'!AF58="",'📝 Four-tier กรอก'!AH58=""),"—",IF(AND('📝 Four-tier กรอก'!AF58='📝 Four-tier กรอก'!AF51,'📝 Four-tier กรอก'!AG58="Y",'📝 Four-tier กรอก'!AH58='📝 Four-tier กรอก'!AH51,'📝 Four-tier กรอก'!AI58="Y"),"✅ Sound",IF(AND('📝 Four-tier กรอก'!AF58='📝 Four-tier กรอก'!AF51,'📝 Four-tier กรอก'!AG58="Y",'📝 Four-tier กรอก'!AH58&lt;&gt;'📝 Four-tier กรอก'!AH51,'📝 Four-tier กรอก'!AI58="Y"),"🎲 Guess",IF(AND('📝 Four-tier กรอก'!AF58&lt;&gt;'📝 Four-tier กรอก'!AF51,'📝 Four-tier กรอก'!AG58="Y",'📝 Four-tier กรอก'!AH58&lt;&gt;'📝 Four-tier กรอก'!AH51,'📝 Four-tier กรอก'!AI58="Y"),"❌ Misc.",IF(AND('📝 Four-tier กรอก'!AF58&lt;&gt;'📝 Four-tier กรอก'!AF51,'📝 Four-tier กรอก'!AG58="N",'📝 Four-tier กรอก'!AH58&lt;&gt;'📝 Four-tier กรอก'!AH51,'📝 Four-tier กรอก'!AI58="N"),"❓ NoK","🤔 Partial")))))</f>
        <v/>
      </c>
      <c r="L57" s="67">
        <f>IF(OR('📝 Four-tier กรอก'!AJ58="",'📝 Four-tier กรอก'!AL58=""),"—",IF(AND('📝 Four-tier กรอก'!AJ58='📝 Four-tier กรอก'!AJ51,'📝 Four-tier กรอก'!AK58="Y",'📝 Four-tier กรอก'!AL58='📝 Four-tier กรอก'!AL51,'📝 Four-tier กรอก'!AM58="Y"),"✅ Sound",IF(AND('📝 Four-tier กรอก'!AJ58='📝 Four-tier กรอก'!AJ51,'📝 Four-tier กรอก'!AK58="Y",'📝 Four-tier กรอก'!AL58&lt;&gt;'📝 Four-tier กรอก'!AL51,'📝 Four-tier กรอก'!AM58="Y"),"🎲 Guess",IF(AND('📝 Four-tier กรอก'!AJ58&lt;&gt;'📝 Four-tier กรอก'!AJ51,'📝 Four-tier กรอก'!AK58="Y",'📝 Four-tier กรอก'!AL58&lt;&gt;'📝 Four-tier กรอก'!AL51,'📝 Four-tier กรอก'!AM58="Y"),"❌ Misc.",IF(AND('📝 Four-tier กรอก'!AJ58&lt;&gt;'📝 Four-tier กรอก'!AJ51,'📝 Four-tier กรอก'!AK58="N",'📝 Four-tier กรอก'!AL58&lt;&gt;'📝 Four-tier กรอก'!AL51,'📝 Four-tier กรอก'!AM58="N"),"❓ NoK","🤔 Partial")))))</f>
        <v/>
      </c>
      <c r="M57" s="67">
        <f>IF(OR('📝 Four-tier กรอก'!AN58="",'📝 Four-tier กรอก'!AP58=""),"—",IF(AND('📝 Four-tier กรอก'!AN58='📝 Four-tier กรอก'!AN51,'📝 Four-tier กรอก'!AO58="Y",'📝 Four-tier กรอก'!AP58='📝 Four-tier กรอก'!AP51,'📝 Four-tier กรอก'!AQ58="Y"),"✅ Sound",IF(AND('📝 Four-tier กรอก'!AN58='📝 Four-tier กรอก'!AN51,'📝 Four-tier กรอก'!AO58="Y",'📝 Four-tier กรอก'!AP58&lt;&gt;'📝 Four-tier กรอก'!AP51,'📝 Four-tier กรอก'!AQ58="Y"),"🎲 Guess",IF(AND('📝 Four-tier กรอก'!AN58&lt;&gt;'📝 Four-tier กรอก'!AN51,'📝 Four-tier กรอก'!AO58="Y",'📝 Four-tier กรอก'!AP58&lt;&gt;'📝 Four-tier กรอก'!AP51,'📝 Four-tier กรอก'!AQ58="Y"),"❌ Misc.",IF(AND('📝 Four-tier กรอก'!AN58&lt;&gt;'📝 Four-tier กรอก'!AN51,'📝 Four-tier กรอก'!AO58="N",'📝 Four-tier กรอก'!AP58&lt;&gt;'📝 Four-tier กรอก'!AP51,'📝 Four-tier กรอก'!AQ58="N"),"❓ NoK","🤔 Partial")))))</f>
        <v/>
      </c>
      <c r="N57" s="67">
        <f>IF(OR('📝 Four-tier กรอก'!AR58="",'📝 Four-tier กรอก'!AT58=""),"—",IF(AND('📝 Four-tier กรอก'!AR58='📝 Four-tier กรอก'!AR51,'📝 Four-tier กรอก'!AS58="Y",'📝 Four-tier กรอก'!AT58='📝 Four-tier กรอก'!AT51,'📝 Four-tier กรอก'!AU58="Y"),"✅ Sound",IF(AND('📝 Four-tier กรอก'!AR58='📝 Four-tier กรอก'!AR51,'📝 Four-tier กรอก'!AS58="Y",'📝 Four-tier กรอก'!AT58&lt;&gt;'📝 Four-tier กรอก'!AT51,'📝 Four-tier กรอก'!AU58="Y"),"🎲 Guess",IF(AND('📝 Four-tier กรอก'!AR58&lt;&gt;'📝 Four-tier กรอก'!AR51,'📝 Four-tier กรอก'!AS58="Y",'📝 Four-tier กรอก'!AT58&lt;&gt;'📝 Four-tier กรอก'!AT51,'📝 Four-tier กรอก'!AU58="Y"),"❌ Misc.",IF(AND('📝 Four-tier กรอก'!AR58&lt;&gt;'📝 Four-tier กรอก'!AR51,'📝 Four-tier กรอก'!AS58="N",'📝 Four-tier กรอก'!AT58&lt;&gt;'📝 Four-tier กรอก'!AT51,'📝 Four-tier กรอก'!AU58="N"),"❓ NoK","🤔 Partial")))))</f>
        <v/>
      </c>
      <c r="O57" s="67">
        <f>IF(OR('📝 Four-tier กรอก'!AV58="",'📝 Four-tier กรอก'!AX58=""),"—",IF(AND('📝 Four-tier กรอก'!AV58='📝 Four-tier กรอก'!AV51,'📝 Four-tier กรอก'!AW58="Y",'📝 Four-tier กรอก'!AX58='📝 Four-tier กรอก'!AX51,'📝 Four-tier กรอก'!AY58="Y"),"✅ Sound",IF(AND('📝 Four-tier กรอก'!AV58='📝 Four-tier กรอก'!AV51,'📝 Four-tier กรอก'!AW58="Y",'📝 Four-tier กรอก'!AX58&lt;&gt;'📝 Four-tier กรอก'!AX51,'📝 Four-tier กรอก'!AY58="Y"),"🎲 Guess",IF(AND('📝 Four-tier กรอก'!AV58&lt;&gt;'📝 Four-tier กรอก'!AV51,'📝 Four-tier กรอก'!AW58="Y",'📝 Four-tier กรอก'!AX58&lt;&gt;'📝 Four-tier กรอก'!AX51,'📝 Four-tier กรอก'!AY58="Y"),"❌ Misc.",IF(AND('📝 Four-tier กรอก'!AV58&lt;&gt;'📝 Four-tier กรอก'!AV51,'📝 Four-tier กรอก'!AW58="N",'📝 Four-tier กรอก'!AX58&lt;&gt;'📝 Four-tier กรอก'!AX51,'📝 Four-tier กรอก'!AY58="N"),"❓ NoK","🤔 Partial")))))</f>
        <v/>
      </c>
      <c r="P57" s="67">
        <f>IF(OR('📝 Four-tier กรอก'!AZ58="",'📝 Four-tier กรอก'!BB58=""),"—",IF(AND('📝 Four-tier กรอก'!AZ58='📝 Four-tier กรอก'!AZ51,'📝 Four-tier กรอก'!BA58="Y",'📝 Four-tier กรอก'!BB58='📝 Four-tier กรอก'!BB51,'📝 Four-tier กรอก'!BC58="Y"),"✅ Sound",IF(AND('📝 Four-tier กรอก'!AZ58='📝 Four-tier กรอก'!AZ51,'📝 Four-tier กรอก'!BA58="Y",'📝 Four-tier กรอก'!BB58&lt;&gt;'📝 Four-tier กรอก'!BB51,'📝 Four-tier กรอก'!BC58="Y"),"🎲 Guess",IF(AND('📝 Four-tier กรอก'!AZ58&lt;&gt;'📝 Four-tier กรอก'!AZ51,'📝 Four-tier กรอก'!BA58="Y",'📝 Four-tier กรอก'!BB58&lt;&gt;'📝 Four-tier กรอก'!BB51,'📝 Four-tier กรอก'!BC58="Y"),"❌ Misc.",IF(AND('📝 Four-tier กรอก'!AZ58&lt;&gt;'📝 Four-tier กรอก'!AZ51,'📝 Four-tier กรอก'!BA58="N",'📝 Four-tier กรอก'!BB58&lt;&gt;'📝 Four-tier กรอก'!BB51,'📝 Four-tier กรอก'!BC58="N"),"❓ NoK","🤔 Partial")))))</f>
        <v/>
      </c>
      <c r="Q57" s="67">
        <f>IF(OR('📝 Four-tier กรอก'!BD58="",'📝 Four-tier กรอก'!BF58=""),"—",IF(AND('📝 Four-tier กรอก'!BD58='📝 Four-tier กรอก'!BD51,'📝 Four-tier กรอก'!BE58="Y",'📝 Four-tier กรอก'!BF58='📝 Four-tier กรอก'!BF51,'📝 Four-tier กรอก'!BG58="Y"),"✅ Sound",IF(AND('📝 Four-tier กรอก'!BD58='📝 Four-tier กรอก'!BD51,'📝 Four-tier กรอก'!BE58="Y",'📝 Four-tier กรอก'!BF58&lt;&gt;'📝 Four-tier กรอก'!BF51,'📝 Four-tier กรอก'!BG58="Y"),"🎲 Guess",IF(AND('📝 Four-tier กรอก'!BD58&lt;&gt;'📝 Four-tier กรอก'!BD51,'📝 Four-tier กรอก'!BE58="Y",'📝 Four-tier กรอก'!BF58&lt;&gt;'📝 Four-tier กรอก'!BF51,'📝 Four-tier กรอก'!BG58="Y"),"❌ Misc.",IF(AND('📝 Four-tier กรอก'!BD58&lt;&gt;'📝 Four-tier กรอก'!BD51,'📝 Four-tier กรอก'!BE58="N",'📝 Four-tier กรอก'!BF58&lt;&gt;'📝 Four-tier กรอก'!BF51,'📝 Four-tier กรอก'!BG58="N"),"❓ NoK","🤔 Partial")))))</f>
        <v/>
      </c>
      <c r="R57" s="67">
        <f>IF(OR('📝 Four-tier กรอก'!BH58="",'📝 Four-tier กรอก'!BJ58=""),"—",IF(AND('📝 Four-tier กรอก'!BH58='📝 Four-tier กรอก'!BH51,'📝 Four-tier กรอก'!BI58="Y",'📝 Four-tier กรอก'!BJ58='📝 Four-tier กรอก'!BJ51,'📝 Four-tier กรอก'!BK58="Y"),"✅ Sound",IF(AND('📝 Four-tier กรอก'!BH58='📝 Four-tier กรอก'!BH51,'📝 Four-tier กรอก'!BI58="Y",'📝 Four-tier กรอก'!BJ58&lt;&gt;'📝 Four-tier กรอก'!BJ51,'📝 Four-tier กรอก'!BK58="Y"),"🎲 Guess",IF(AND('📝 Four-tier กรอก'!BH58&lt;&gt;'📝 Four-tier กรอก'!BH51,'📝 Four-tier กรอก'!BI58="Y",'📝 Four-tier กรอก'!BJ58&lt;&gt;'📝 Four-tier กรอก'!BJ51,'📝 Four-tier กรอก'!BK58="Y"),"❌ Misc.",IF(AND('📝 Four-tier กรอก'!BH58&lt;&gt;'📝 Four-tier กรอก'!BH51,'📝 Four-tier กรอก'!BI58="N",'📝 Four-tier กรอก'!BJ58&lt;&gt;'📝 Four-tier กรอก'!BJ51,'📝 Four-tier กรอก'!BK58="N"),"❓ NoK","🤔 Partial")))))</f>
        <v/>
      </c>
      <c r="S57" s="67">
        <f>IF(OR('📝 Four-tier กรอก'!BL58="",'📝 Four-tier กรอก'!BN58=""),"—",IF(AND('📝 Four-tier กรอก'!BL58='📝 Four-tier กรอก'!BL51,'📝 Four-tier กรอก'!BM58="Y",'📝 Four-tier กรอก'!BN58='📝 Four-tier กรอก'!BN51,'📝 Four-tier กรอก'!BO58="Y"),"✅ Sound",IF(AND('📝 Four-tier กรอก'!BL58='📝 Four-tier กรอก'!BL51,'📝 Four-tier กรอก'!BM58="Y",'📝 Four-tier กรอก'!BN58&lt;&gt;'📝 Four-tier กรอก'!BN51,'📝 Four-tier กรอก'!BO58="Y"),"🎲 Guess",IF(AND('📝 Four-tier กรอก'!BL58&lt;&gt;'📝 Four-tier กรอก'!BL51,'📝 Four-tier กรอก'!BM58="Y",'📝 Four-tier กรอก'!BN58&lt;&gt;'📝 Four-tier กรอก'!BN51,'📝 Four-tier กรอก'!BO58="Y"),"❌ Misc.",IF(AND('📝 Four-tier กรอก'!BL58&lt;&gt;'📝 Four-tier กรอก'!BL51,'📝 Four-tier กรอก'!BM58="N",'📝 Four-tier กรอก'!BN58&lt;&gt;'📝 Four-tier กรอก'!BN51,'📝 Four-tier กรอก'!BO58="N"),"❓ NoK","🤔 Partial")))))</f>
        <v/>
      </c>
      <c r="T57" s="67">
        <f>IF(OR('📝 Four-tier กรอก'!BP58="",'📝 Four-tier กรอก'!BR58=""),"—",IF(AND('📝 Four-tier กรอก'!BP58='📝 Four-tier กรอก'!BP51,'📝 Four-tier กรอก'!BQ58="Y",'📝 Four-tier กรอก'!BR58='📝 Four-tier กรอก'!BR51,'📝 Four-tier กรอก'!BS58="Y"),"✅ Sound",IF(AND('📝 Four-tier กรอก'!BP58='📝 Four-tier กรอก'!BP51,'📝 Four-tier กรอก'!BQ58="Y",'📝 Four-tier กรอก'!BR58&lt;&gt;'📝 Four-tier กรอก'!BR51,'📝 Four-tier กรอก'!BS58="Y"),"🎲 Guess",IF(AND('📝 Four-tier กรอก'!BP58&lt;&gt;'📝 Four-tier กรอก'!BP51,'📝 Four-tier กรอก'!BQ58="Y",'📝 Four-tier กรอก'!BR58&lt;&gt;'📝 Four-tier กรอก'!BR51,'📝 Four-tier กรอก'!BS58="Y"),"❌ Misc.",IF(AND('📝 Four-tier กรอก'!BP58&lt;&gt;'📝 Four-tier กรอก'!BP51,'📝 Four-tier กรอก'!BQ58="N",'📝 Four-tier กรอก'!BR58&lt;&gt;'📝 Four-tier กรอก'!BR51,'📝 Four-tier กรอก'!BS58="N"),"❓ NoK","🤔 Partial")))))</f>
        <v/>
      </c>
      <c r="U57" s="67">
        <f>IF(OR('📝 Four-tier กรอก'!BT58="",'📝 Four-tier กรอก'!BV58=""),"—",IF(AND('📝 Four-tier กรอก'!BT58='📝 Four-tier กรอก'!BT51,'📝 Four-tier กรอก'!BU58="Y",'📝 Four-tier กรอก'!BV58='📝 Four-tier กรอก'!BV51,'📝 Four-tier กรอก'!BW58="Y"),"✅ Sound",IF(AND('📝 Four-tier กรอก'!BT58='📝 Four-tier กรอก'!BT51,'📝 Four-tier กรอก'!BU58="Y",'📝 Four-tier กรอก'!BV58&lt;&gt;'📝 Four-tier กรอก'!BV51,'📝 Four-tier กรอก'!BW58="Y"),"🎲 Guess",IF(AND('📝 Four-tier กรอก'!BT58&lt;&gt;'📝 Four-tier กรอก'!BT51,'📝 Four-tier กรอก'!BU58="Y",'📝 Four-tier กรอก'!BV58&lt;&gt;'📝 Four-tier กรอก'!BV51,'📝 Four-tier กรอก'!BW58="Y"),"❌ Misc.",IF(AND('📝 Four-tier กรอก'!BT58&lt;&gt;'📝 Four-tier กรอก'!BT51,'📝 Four-tier กรอก'!BU58="N",'📝 Four-tier กรอก'!BV58&lt;&gt;'📝 Four-tier กรอก'!BV51,'📝 Four-tier กรอก'!BW58="N"),"❓ NoK","🤔 Partial")))))</f>
        <v/>
      </c>
      <c r="V57" s="67">
        <f>IF(OR('📝 Four-tier กรอก'!BX58="",'📝 Four-tier กรอก'!BZ58=""),"—",IF(AND('📝 Four-tier กรอก'!BX58='📝 Four-tier กรอก'!BX51,'📝 Four-tier กรอก'!BY58="Y",'📝 Four-tier กรอก'!BZ58='📝 Four-tier กรอก'!BZ51,'📝 Four-tier กรอก'!CA58="Y"),"✅ Sound",IF(AND('📝 Four-tier กรอก'!BX58='📝 Four-tier กรอก'!BX51,'📝 Four-tier กรอก'!BY58="Y",'📝 Four-tier กรอก'!BZ58&lt;&gt;'📝 Four-tier กรอก'!BZ51,'📝 Four-tier กรอก'!CA58="Y"),"🎲 Guess",IF(AND('📝 Four-tier กรอก'!BX58&lt;&gt;'📝 Four-tier กรอก'!BX51,'📝 Four-tier กรอก'!BY58="Y",'📝 Four-tier กรอก'!BZ58&lt;&gt;'📝 Four-tier กรอก'!BZ51,'📝 Four-tier กรอก'!CA58="Y"),"❌ Misc.",IF(AND('📝 Four-tier กรอก'!BX58&lt;&gt;'📝 Four-tier กรอก'!BX51,'📝 Four-tier กรอก'!BY58="N",'📝 Four-tier กรอก'!BZ58&lt;&gt;'📝 Four-tier กรอก'!BZ51,'📝 Four-tier กรอก'!CA58="N"),"❓ NoK","🤔 Partial")))))</f>
        <v/>
      </c>
      <c r="W57" s="67">
        <f>IF(OR('📝 Four-tier กรอก'!CB58="",'📝 Four-tier กรอก'!CD58=""),"—",IF(AND('📝 Four-tier กรอก'!CB58='📝 Four-tier กรอก'!CB51,'📝 Four-tier กรอก'!CC58="Y",'📝 Four-tier กรอก'!CD58='📝 Four-tier กรอก'!CD51,'📝 Four-tier กรอก'!CE58="Y"),"✅ Sound",IF(AND('📝 Four-tier กรอก'!CB58='📝 Four-tier กรอก'!CB51,'📝 Four-tier กรอก'!CC58="Y",'📝 Four-tier กรอก'!CD58&lt;&gt;'📝 Four-tier กรอก'!CD51,'📝 Four-tier กรอก'!CE58="Y"),"🎲 Guess",IF(AND('📝 Four-tier กรอก'!CB58&lt;&gt;'📝 Four-tier กรอก'!CB51,'📝 Four-tier กรอก'!CC58="Y",'📝 Four-tier กรอก'!CD58&lt;&gt;'📝 Four-tier กรอก'!CD51,'📝 Four-tier กรอก'!CE58="Y"),"❌ Misc.",IF(AND('📝 Four-tier กรอก'!CB58&lt;&gt;'📝 Four-tier กรอก'!CB51,'📝 Four-tier กรอก'!CC58="N",'📝 Four-tier กรอก'!CD58&lt;&gt;'📝 Four-tier กรอก'!CD51,'📝 Four-tier กรอก'!CE58="N"),"❓ NoK","🤔 Partial")))))</f>
        <v/>
      </c>
      <c r="X57" s="37">
        <f>COUNTIF(D57:W57,"✅ Sound")</f>
        <v/>
      </c>
      <c r="Y57" s="37">
        <f>COUNTIF(D57:W57,"❌ Misc.")</f>
        <v/>
      </c>
      <c r="Z57" s="37">
        <f>COUNTIF(D57:W57,"🎲 Guess")</f>
        <v/>
      </c>
      <c r="AA57" s="37">
        <f>COUNTIF(D57:W57,"❓ NoK")</f>
        <v/>
      </c>
    </row>
    <row r="58" ht="18" customHeight="1">
      <c r="B58" s="46">
        <f>'📝 Four-tier กรอก'!B59</f>
        <v/>
      </c>
      <c r="C58" s="51">
        <f>'📝 Four-tier กรอก'!C59</f>
        <v/>
      </c>
      <c r="D58" s="68">
        <f>IF(OR('📝 Four-tier กรอก'!D59="",'📝 Four-tier กรอก'!F59=""),"—",IF(AND('📝 Four-tier กรอก'!D59='📝 Four-tier กรอก'!D51,'📝 Four-tier กรอก'!E59="Y",'📝 Four-tier กรอก'!F59='📝 Four-tier กรอก'!F51,'📝 Four-tier กรอก'!G59="Y"),"✅ Sound",IF(AND('📝 Four-tier กรอก'!D59='📝 Four-tier กรอก'!D51,'📝 Four-tier กรอก'!E59="Y",'📝 Four-tier กรอก'!F59&lt;&gt;'📝 Four-tier กรอก'!F51,'📝 Four-tier กรอก'!G59="Y"),"🎲 Guess",IF(AND('📝 Four-tier กรอก'!D59&lt;&gt;'📝 Four-tier กรอก'!D51,'📝 Four-tier กรอก'!E59="Y",'📝 Four-tier กรอก'!F59&lt;&gt;'📝 Four-tier กรอก'!F51,'📝 Four-tier กรอก'!G59="Y"),"❌ Misc.",IF(AND('📝 Four-tier กรอก'!D59&lt;&gt;'📝 Four-tier กรอก'!D51,'📝 Four-tier กรอก'!E59="N",'📝 Four-tier กรอก'!F59&lt;&gt;'📝 Four-tier กรอก'!F51,'📝 Four-tier กรอก'!G59="N"),"❓ NoK","🤔 Partial")))))</f>
        <v/>
      </c>
      <c r="E58" s="68">
        <f>IF(OR('📝 Four-tier กรอก'!H59="",'📝 Four-tier กรอก'!J59=""),"—",IF(AND('📝 Four-tier กรอก'!H59='📝 Four-tier กรอก'!H51,'📝 Four-tier กรอก'!I59="Y",'📝 Four-tier กรอก'!J59='📝 Four-tier กรอก'!J51,'📝 Four-tier กรอก'!K59="Y"),"✅ Sound",IF(AND('📝 Four-tier กรอก'!H59='📝 Four-tier กรอก'!H51,'📝 Four-tier กรอก'!I59="Y",'📝 Four-tier กรอก'!J59&lt;&gt;'📝 Four-tier กรอก'!J51,'📝 Four-tier กรอก'!K59="Y"),"🎲 Guess",IF(AND('📝 Four-tier กรอก'!H59&lt;&gt;'📝 Four-tier กรอก'!H51,'📝 Four-tier กรอก'!I59="Y",'📝 Four-tier กรอก'!J59&lt;&gt;'📝 Four-tier กรอก'!J51,'📝 Four-tier กรอก'!K59="Y"),"❌ Misc.",IF(AND('📝 Four-tier กรอก'!H59&lt;&gt;'📝 Four-tier กรอก'!H51,'📝 Four-tier กรอก'!I59="N",'📝 Four-tier กรอก'!J59&lt;&gt;'📝 Four-tier กรอก'!J51,'📝 Four-tier กรอก'!K59="N"),"❓ NoK","🤔 Partial")))))</f>
        <v/>
      </c>
      <c r="F58" s="68">
        <f>IF(OR('📝 Four-tier กรอก'!L59="",'📝 Four-tier กรอก'!N59=""),"—",IF(AND('📝 Four-tier กรอก'!L59='📝 Four-tier กรอก'!L51,'📝 Four-tier กรอก'!M59="Y",'📝 Four-tier กรอก'!N59='📝 Four-tier กรอก'!N51,'📝 Four-tier กรอก'!O59="Y"),"✅ Sound",IF(AND('📝 Four-tier กรอก'!L59='📝 Four-tier กรอก'!L51,'📝 Four-tier กรอก'!M59="Y",'📝 Four-tier กรอก'!N59&lt;&gt;'📝 Four-tier กรอก'!N51,'📝 Four-tier กรอก'!O59="Y"),"🎲 Guess",IF(AND('📝 Four-tier กรอก'!L59&lt;&gt;'📝 Four-tier กรอก'!L51,'📝 Four-tier กรอก'!M59="Y",'📝 Four-tier กรอก'!N59&lt;&gt;'📝 Four-tier กรอก'!N51,'📝 Four-tier กรอก'!O59="Y"),"❌ Misc.",IF(AND('📝 Four-tier กรอก'!L59&lt;&gt;'📝 Four-tier กรอก'!L51,'📝 Four-tier กรอก'!M59="N",'📝 Four-tier กรอก'!N59&lt;&gt;'📝 Four-tier กรอก'!N51,'📝 Four-tier กรอก'!O59="N"),"❓ NoK","🤔 Partial")))))</f>
        <v/>
      </c>
      <c r="G58" s="68">
        <f>IF(OR('📝 Four-tier กรอก'!P59="",'📝 Four-tier กรอก'!R59=""),"—",IF(AND('📝 Four-tier กรอก'!P59='📝 Four-tier กรอก'!P51,'📝 Four-tier กรอก'!Q59="Y",'📝 Four-tier กรอก'!R59='📝 Four-tier กรอก'!R51,'📝 Four-tier กรอก'!S59="Y"),"✅ Sound",IF(AND('📝 Four-tier กรอก'!P59='📝 Four-tier กรอก'!P51,'📝 Four-tier กรอก'!Q59="Y",'📝 Four-tier กรอก'!R59&lt;&gt;'📝 Four-tier กรอก'!R51,'📝 Four-tier กรอก'!S59="Y"),"🎲 Guess",IF(AND('📝 Four-tier กรอก'!P59&lt;&gt;'📝 Four-tier กรอก'!P51,'📝 Four-tier กรอก'!Q59="Y",'📝 Four-tier กรอก'!R59&lt;&gt;'📝 Four-tier กรอก'!R51,'📝 Four-tier กรอก'!S59="Y"),"❌ Misc.",IF(AND('📝 Four-tier กรอก'!P59&lt;&gt;'📝 Four-tier กรอก'!P51,'📝 Four-tier กรอก'!Q59="N",'📝 Four-tier กรอก'!R59&lt;&gt;'📝 Four-tier กรอก'!R51,'📝 Four-tier กรอก'!S59="N"),"❓ NoK","🤔 Partial")))))</f>
        <v/>
      </c>
      <c r="H58" s="68">
        <f>IF(OR('📝 Four-tier กรอก'!T59="",'📝 Four-tier กรอก'!V59=""),"—",IF(AND('📝 Four-tier กรอก'!T59='📝 Four-tier กรอก'!T51,'📝 Four-tier กรอก'!U59="Y",'📝 Four-tier กรอก'!V59='📝 Four-tier กรอก'!V51,'📝 Four-tier กรอก'!W59="Y"),"✅ Sound",IF(AND('📝 Four-tier กรอก'!T59='📝 Four-tier กรอก'!T51,'📝 Four-tier กรอก'!U59="Y",'📝 Four-tier กรอก'!V59&lt;&gt;'📝 Four-tier กรอก'!V51,'📝 Four-tier กรอก'!W59="Y"),"🎲 Guess",IF(AND('📝 Four-tier กรอก'!T59&lt;&gt;'📝 Four-tier กรอก'!T51,'📝 Four-tier กรอก'!U59="Y",'📝 Four-tier กรอก'!V59&lt;&gt;'📝 Four-tier กรอก'!V51,'📝 Four-tier กรอก'!W59="Y"),"❌ Misc.",IF(AND('📝 Four-tier กรอก'!T59&lt;&gt;'📝 Four-tier กรอก'!T51,'📝 Four-tier กรอก'!U59="N",'📝 Four-tier กรอก'!V59&lt;&gt;'📝 Four-tier กรอก'!V51,'📝 Four-tier กรอก'!W59="N"),"❓ NoK","🤔 Partial")))))</f>
        <v/>
      </c>
      <c r="I58" s="68">
        <f>IF(OR('📝 Four-tier กรอก'!X59="",'📝 Four-tier กรอก'!Z59=""),"—",IF(AND('📝 Four-tier กรอก'!X59='📝 Four-tier กรอก'!X51,'📝 Four-tier กรอก'!Y59="Y",'📝 Four-tier กรอก'!Z59='📝 Four-tier กรอก'!Z51,'📝 Four-tier กรอก'!AA59="Y"),"✅ Sound",IF(AND('📝 Four-tier กรอก'!X59='📝 Four-tier กรอก'!X51,'📝 Four-tier กรอก'!Y59="Y",'📝 Four-tier กรอก'!Z59&lt;&gt;'📝 Four-tier กรอก'!Z51,'📝 Four-tier กรอก'!AA59="Y"),"🎲 Guess",IF(AND('📝 Four-tier กรอก'!X59&lt;&gt;'📝 Four-tier กรอก'!X51,'📝 Four-tier กรอก'!Y59="Y",'📝 Four-tier กรอก'!Z59&lt;&gt;'📝 Four-tier กรอก'!Z51,'📝 Four-tier กรอก'!AA59="Y"),"❌ Misc.",IF(AND('📝 Four-tier กรอก'!X59&lt;&gt;'📝 Four-tier กรอก'!X51,'📝 Four-tier กรอก'!Y59="N",'📝 Four-tier กรอก'!Z59&lt;&gt;'📝 Four-tier กรอก'!Z51,'📝 Four-tier กรอก'!AA59="N"),"❓ NoK","🤔 Partial")))))</f>
        <v/>
      </c>
      <c r="J58" s="68">
        <f>IF(OR('📝 Four-tier กรอก'!AB59="",'📝 Four-tier กรอก'!AD59=""),"—",IF(AND('📝 Four-tier กรอก'!AB59='📝 Four-tier กรอก'!AB51,'📝 Four-tier กรอก'!AC59="Y",'📝 Four-tier กรอก'!AD59='📝 Four-tier กรอก'!AD51,'📝 Four-tier กรอก'!AE59="Y"),"✅ Sound",IF(AND('📝 Four-tier กรอก'!AB59='📝 Four-tier กรอก'!AB51,'📝 Four-tier กรอก'!AC59="Y",'📝 Four-tier กรอก'!AD59&lt;&gt;'📝 Four-tier กรอก'!AD51,'📝 Four-tier กรอก'!AE59="Y"),"🎲 Guess",IF(AND('📝 Four-tier กรอก'!AB59&lt;&gt;'📝 Four-tier กรอก'!AB51,'📝 Four-tier กรอก'!AC59="Y",'📝 Four-tier กรอก'!AD59&lt;&gt;'📝 Four-tier กรอก'!AD51,'📝 Four-tier กรอก'!AE59="Y"),"❌ Misc.",IF(AND('📝 Four-tier กรอก'!AB59&lt;&gt;'📝 Four-tier กรอก'!AB51,'📝 Four-tier กรอก'!AC59="N",'📝 Four-tier กรอก'!AD59&lt;&gt;'📝 Four-tier กรอก'!AD51,'📝 Four-tier กรอก'!AE59="N"),"❓ NoK","🤔 Partial")))))</f>
        <v/>
      </c>
      <c r="K58" s="68">
        <f>IF(OR('📝 Four-tier กรอก'!AF59="",'📝 Four-tier กรอก'!AH59=""),"—",IF(AND('📝 Four-tier กรอก'!AF59='📝 Four-tier กรอก'!AF51,'📝 Four-tier กรอก'!AG59="Y",'📝 Four-tier กรอก'!AH59='📝 Four-tier กรอก'!AH51,'📝 Four-tier กรอก'!AI59="Y"),"✅ Sound",IF(AND('📝 Four-tier กรอก'!AF59='📝 Four-tier กรอก'!AF51,'📝 Four-tier กรอก'!AG59="Y",'📝 Four-tier กรอก'!AH59&lt;&gt;'📝 Four-tier กรอก'!AH51,'📝 Four-tier กรอก'!AI59="Y"),"🎲 Guess",IF(AND('📝 Four-tier กรอก'!AF59&lt;&gt;'📝 Four-tier กรอก'!AF51,'📝 Four-tier กรอก'!AG59="Y",'📝 Four-tier กรอก'!AH59&lt;&gt;'📝 Four-tier กรอก'!AH51,'📝 Four-tier กรอก'!AI59="Y"),"❌ Misc.",IF(AND('📝 Four-tier กรอก'!AF59&lt;&gt;'📝 Four-tier กรอก'!AF51,'📝 Four-tier กรอก'!AG59="N",'📝 Four-tier กรอก'!AH59&lt;&gt;'📝 Four-tier กรอก'!AH51,'📝 Four-tier กรอก'!AI59="N"),"❓ NoK","🤔 Partial")))))</f>
        <v/>
      </c>
      <c r="L58" s="68">
        <f>IF(OR('📝 Four-tier กรอก'!AJ59="",'📝 Four-tier กรอก'!AL59=""),"—",IF(AND('📝 Four-tier กรอก'!AJ59='📝 Four-tier กรอก'!AJ51,'📝 Four-tier กรอก'!AK59="Y",'📝 Four-tier กรอก'!AL59='📝 Four-tier กรอก'!AL51,'📝 Four-tier กรอก'!AM59="Y"),"✅ Sound",IF(AND('📝 Four-tier กรอก'!AJ59='📝 Four-tier กรอก'!AJ51,'📝 Four-tier กรอก'!AK59="Y",'📝 Four-tier กรอก'!AL59&lt;&gt;'📝 Four-tier กรอก'!AL51,'📝 Four-tier กรอก'!AM59="Y"),"🎲 Guess",IF(AND('📝 Four-tier กรอก'!AJ59&lt;&gt;'📝 Four-tier กรอก'!AJ51,'📝 Four-tier กรอก'!AK59="Y",'📝 Four-tier กรอก'!AL59&lt;&gt;'📝 Four-tier กรอก'!AL51,'📝 Four-tier กรอก'!AM59="Y"),"❌ Misc.",IF(AND('📝 Four-tier กรอก'!AJ59&lt;&gt;'📝 Four-tier กรอก'!AJ51,'📝 Four-tier กรอก'!AK59="N",'📝 Four-tier กรอก'!AL59&lt;&gt;'📝 Four-tier กรอก'!AL51,'📝 Four-tier กรอก'!AM59="N"),"❓ NoK","🤔 Partial")))))</f>
        <v/>
      </c>
      <c r="M58" s="68">
        <f>IF(OR('📝 Four-tier กรอก'!AN59="",'📝 Four-tier กรอก'!AP59=""),"—",IF(AND('📝 Four-tier กรอก'!AN59='📝 Four-tier กรอก'!AN51,'📝 Four-tier กรอก'!AO59="Y",'📝 Four-tier กรอก'!AP59='📝 Four-tier กรอก'!AP51,'📝 Four-tier กรอก'!AQ59="Y"),"✅ Sound",IF(AND('📝 Four-tier กรอก'!AN59='📝 Four-tier กรอก'!AN51,'📝 Four-tier กรอก'!AO59="Y",'📝 Four-tier กรอก'!AP59&lt;&gt;'📝 Four-tier กรอก'!AP51,'📝 Four-tier กรอก'!AQ59="Y"),"🎲 Guess",IF(AND('📝 Four-tier กรอก'!AN59&lt;&gt;'📝 Four-tier กรอก'!AN51,'📝 Four-tier กรอก'!AO59="Y",'📝 Four-tier กรอก'!AP59&lt;&gt;'📝 Four-tier กรอก'!AP51,'📝 Four-tier กรอก'!AQ59="Y"),"❌ Misc.",IF(AND('📝 Four-tier กรอก'!AN59&lt;&gt;'📝 Four-tier กรอก'!AN51,'📝 Four-tier กรอก'!AO59="N",'📝 Four-tier กรอก'!AP59&lt;&gt;'📝 Four-tier กรอก'!AP51,'📝 Four-tier กรอก'!AQ59="N"),"❓ NoK","🤔 Partial")))))</f>
        <v/>
      </c>
      <c r="N58" s="68">
        <f>IF(OR('📝 Four-tier กรอก'!AR59="",'📝 Four-tier กรอก'!AT59=""),"—",IF(AND('📝 Four-tier กรอก'!AR59='📝 Four-tier กรอก'!AR51,'📝 Four-tier กรอก'!AS59="Y",'📝 Four-tier กรอก'!AT59='📝 Four-tier กรอก'!AT51,'📝 Four-tier กรอก'!AU59="Y"),"✅ Sound",IF(AND('📝 Four-tier กรอก'!AR59='📝 Four-tier กรอก'!AR51,'📝 Four-tier กรอก'!AS59="Y",'📝 Four-tier กรอก'!AT59&lt;&gt;'📝 Four-tier กรอก'!AT51,'📝 Four-tier กรอก'!AU59="Y"),"🎲 Guess",IF(AND('📝 Four-tier กรอก'!AR59&lt;&gt;'📝 Four-tier กรอก'!AR51,'📝 Four-tier กรอก'!AS59="Y",'📝 Four-tier กรอก'!AT59&lt;&gt;'📝 Four-tier กรอก'!AT51,'📝 Four-tier กรอก'!AU59="Y"),"❌ Misc.",IF(AND('📝 Four-tier กรอก'!AR59&lt;&gt;'📝 Four-tier กรอก'!AR51,'📝 Four-tier กรอก'!AS59="N",'📝 Four-tier กรอก'!AT59&lt;&gt;'📝 Four-tier กรอก'!AT51,'📝 Four-tier กรอก'!AU59="N"),"❓ NoK","🤔 Partial")))))</f>
        <v/>
      </c>
      <c r="O58" s="68">
        <f>IF(OR('📝 Four-tier กรอก'!AV59="",'📝 Four-tier กรอก'!AX59=""),"—",IF(AND('📝 Four-tier กรอก'!AV59='📝 Four-tier กรอก'!AV51,'📝 Four-tier กรอก'!AW59="Y",'📝 Four-tier กรอก'!AX59='📝 Four-tier กรอก'!AX51,'📝 Four-tier กรอก'!AY59="Y"),"✅ Sound",IF(AND('📝 Four-tier กรอก'!AV59='📝 Four-tier กรอก'!AV51,'📝 Four-tier กรอก'!AW59="Y",'📝 Four-tier กรอก'!AX59&lt;&gt;'📝 Four-tier กรอก'!AX51,'📝 Four-tier กรอก'!AY59="Y"),"🎲 Guess",IF(AND('📝 Four-tier กรอก'!AV59&lt;&gt;'📝 Four-tier กรอก'!AV51,'📝 Four-tier กรอก'!AW59="Y",'📝 Four-tier กรอก'!AX59&lt;&gt;'📝 Four-tier กรอก'!AX51,'📝 Four-tier กรอก'!AY59="Y"),"❌ Misc.",IF(AND('📝 Four-tier กรอก'!AV59&lt;&gt;'📝 Four-tier กรอก'!AV51,'📝 Four-tier กรอก'!AW59="N",'📝 Four-tier กรอก'!AX59&lt;&gt;'📝 Four-tier กรอก'!AX51,'📝 Four-tier กรอก'!AY59="N"),"❓ NoK","🤔 Partial")))))</f>
        <v/>
      </c>
      <c r="P58" s="68">
        <f>IF(OR('📝 Four-tier กรอก'!AZ59="",'📝 Four-tier กรอก'!BB59=""),"—",IF(AND('📝 Four-tier กรอก'!AZ59='📝 Four-tier กรอก'!AZ51,'📝 Four-tier กรอก'!BA59="Y",'📝 Four-tier กรอก'!BB59='📝 Four-tier กรอก'!BB51,'📝 Four-tier กรอก'!BC59="Y"),"✅ Sound",IF(AND('📝 Four-tier กรอก'!AZ59='📝 Four-tier กรอก'!AZ51,'📝 Four-tier กรอก'!BA59="Y",'📝 Four-tier กรอก'!BB59&lt;&gt;'📝 Four-tier กรอก'!BB51,'📝 Four-tier กรอก'!BC59="Y"),"🎲 Guess",IF(AND('📝 Four-tier กรอก'!AZ59&lt;&gt;'📝 Four-tier กรอก'!AZ51,'📝 Four-tier กรอก'!BA59="Y",'📝 Four-tier กรอก'!BB59&lt;&gt;'📝 Four-tier กรอก'!BB51,'📝 Four-tier กรอก'!BC59="Y"),"❌ Misc.",IF(AND('📝 Four-tier กรอก'!AZ59&lt;&gt;'📝 Four-tier กรอก'!AZ51,'📝 Four-tier กรอก'!BA59="N",'📝 Four-tier กรอก'!BB59&lt;&gt;'📝 Four-tier กรอก'!BB51,'📝 Four-tier กรอก'!BC59="N"),"❓ NoK","🤔 Partial")))))</f>
        <v/>
      </c>
      <c r="Q58" s="68">
        <f>IF(OR('📝 Four-tier กรอก'!BD59="",'📝 Four-tier กรอก'!BF59=""),"—",IF(AND('📝 Four-tier กรอก'!BD59='📝 Four-tier กรอก'!BD51,'📝 Four-tier กรอก'!BE59="Y",'📝 Four-tier กรอก'!BF59='📝 Four-tier กรอก'!BF51,'📝 Four-tier กรอก'!BG59="Y"),"✅ Sound",IF(AND('📝 Four-tier กรอก'!BD59='📝 Four-tier กรอก'!BD51,'📝 Four-tier กรอก'!BE59="Y",'📝 Four-tier กรอก'!BF59&lt;&gt;'📝 Four-tier กรอก'!BF51,'📝 Four-tier กรอก'!BG59="Y"),"🎲 Guess",IF(AND('📝 Four-tier กรอก'!BD59&lt;&gt;'📝 Four-tier กรอก'!BD51,'📝 Four-tier กรอก'!BE59="Y",'📝 Four-tier กรอก'!BF59&lt;&gt;'📝 Four-tier กรอก'!BF51,'📝 Four-tier กรอก'!BG59="Y"),"❌ Misc.",IF(AND('📝 Four-tier กรอก'!BD59&lt;&gt;'📝 Four-tier กรอก'!BD51,'📝 Four-tier กรอก'!BE59="N",'📝 Four-tier กรอก'!BF59&lt;&gt;'📝 Four-tier กรอก'!BF51,'📝 Four-tier กรอก'!BG59="N"),"❓ NoK","🤔 Partial")))))</f>
        <v/>
      </c>
      <c r="R58" s="68">
        <f>IF(OR('📝 Four-tier กรอก'!BH59="",'📝 Four-tier กรอก'!BJ59=""),"—",IF(AND('📝 Four-tier กรอก'!BH59='📝 Four-tier กรอก'!BH51,'📝 Four-tier กรอก'!BI59="Y",'📝 Four-tier กรอก'!BJ59='📝 Four-tier กรอก'!BJ51,'📝 Four-tier กรอก'!BK59="Y"),"✅ Sound",IF(AND('📝 Four-tier กรอก'!BH59='📝 Four-tier กรอก'!BH51,'📝 Four-tier กรอก'!BI59="Y",'📝 Four-tier กรอก'!BJ59&lt;&gt;'📝 Four-tier กรอก'!BJ51,'📝 Four-tier กรอก'!BK59="Y"),"🎲 Guess",IF(AND('📝 Four-tier กรอก'!BH59&lt;&gt;'📝 Four-tier กรอก'!BH51,'📝 Four-tier กรอก'!BI59="Y",'📝 Four-tier กรอก'!BJ59&lt;&gt;'📝 Four-tier กรอก'!BJ51,'📝 Four-tier กรอก'!BK59="Y"),"❌ Misc.",IF(AND('📝 Four-tier กรอก'!BH59&lt;&gt;'📝 Four-tier กรอก'!BH51,'📝 Four-tier กรอก'!BI59="N",'📝 Four-tier กรอก'!BJ59&lt;&gt;'📝 Four-tier กรอก'!BJ51,'📝 Four-tier กรอก'!BK59="N"),"❓ NoK","🤔 Partial")))))</f>
        <v/>
      </c>
      <c r="S58" s="68">
        <f>IF(OR('📝 Four-tier กรอก'!BL59="",'📝 Four-tier กรอก'!BN59=""),"—",IF(AND('📝 Four-tier กรอก'!BL59='📝 Four-tier กรอก'!BL51,'📝 Four-tier กรอก'!BM59="Y",'📝 Four-tier กรอก'!BN59='📝 Four-tier กรอก'!BN51,'📝 Four-tier กรอก'!BO59="Y"),"✅ Sound",IF(AND('📝 Four-tier กรอก'!BL59='📝 Four-tier กรอก'!BL51,'📝 Four-tier กรอก'!BM59="Y",'📝 Four-tier กรอก'!BN59&lt;&gt;'📝 Four-tier กรอก'!BN51,'📝 Four-tier กรอก'!BO59="Y"),"🎲 Guess",IF(AND('📝 Four-tier กรอก'!BL59&lt;&gt;'📝 Four-tier กรอก'!BL51,'📝 Four-tier กรอก'!BM59="Y",'📝 Four-tier กรอก'!BN59&lt;&gt;'📝 Four-tier กรอก'!BN51,'📝 Four-tier กรอก'!BO59="Y"),"❌ Misc.",IF(AND('📝 Four-tier กรอก'!BL59&lt;&gt;'📝 Four-tier กรอก'!BL51,'📝 Four-tier กรอก'!BM59="N",'📝 Four-tier กรอก'!BN59&lt;&gt;'📝 Four-tier กรอก'!BN51,'📝 Four-tier กรอก'!BO59="N"),"❓ NoK","🤔 Partial")))))</f>
        <v/>
      </c>
      <c r="T58" s="68">
        <f>IF(OR('📝 Four-tier กรอก'!BP59="",'📝 Four-tier กรอก'!BR59=""),"—",IF(AND('📝 Four-tier กรอก'!BP59='📝 Four-tier กรอก'!BP51,'📝 Four-tier กรอก'!BQ59="Y",'📝 Four-tier กรอก'!BR59='📝 Four-tier กรอก'!BR51,'📝 Four-tier กรอก'!BS59="Y"),"✅ Sound",IF(AND('📝 Four-tier กรอก'!BP59='📝 Four-tier กรอก'!BP51,'📝 Four-tier กรอก'!BQ59="Y",'📝 Four-tier กรอก'!BR59&lt;&gt;'📝 Four-tier กรอก'!BR51,'📝 Four-tier กรอก'!BS59="Y"),"🎲 Guess",IF(AND('📝 Four-tier กรอก'!BP59&lt;&gt;'📝 Four-tier กรอก'!BP51,'📝 Four-tier กรอก'!BQ59="Y",'📝 Four-tier กรอก'!BR59&lt;&gt;'📝 Four-tier กรอก'!BR51,'📝 Four-tier กรอก'!BS59="Y"),"❌ Misc.",IF(AND('📝 Four-tier กรอก'!BP59&lt;&gt;'📝 Four-tier กรอก'!BP51,'📝 Four-tier กรอก'!BQ59="N",'📝 Four-tier กรอก'!BR59&lt;&gt;'📝 Four-tier กรอก'!BR51,'📝 Four-tier กรอก'!BS59="N"),"❓ NoK","🤔 Partial")))))</f>
        <v/>
      </c>
      <c r="U58" s="68">
        <f>IF(OR('📝 Four-tier กรอก'!BT59="",'📝 Four-tier กรอก'!BV59=""),"—",IF(AND('📝 Four-tier กรอก'!BT59='📝 Four-tier กรอก'!BT51,'📝 Four-tier กรอก'!BU59="Y",'📝 Four-tier กรอก'!BV59='📝 Four-tier กรอก'!BV51,'📝 Four-tier กรอก'!BW59="Y"),"✅ Sound",IF(AND('📝 Four-tier กรอก'!BT59='📝 Four-tier กรอก'!BT51,'📝 Four-tier กรอก'!BU59="Y",'📝 Four-tier กรอก'!BV59&lt;&gt;'📝 Four-tier กรอก'!BV51,'📝 Four-tier กรอก'!BW59="Y"),"🎲 Guess",IF(AND('📝 Four-tier กรอก'!BT59&lt;&gt;'📝 Four-tier กรอก'!BT51,'📝 Four-tier กรอก'!BU59="Y",'📝 Four-tier กรอก'!BV59&lt;&gt;'📝 Four-tier กรอก'!BV51,'📝 Four-tier กรอก'!BW59="Y"),"❌ Misc.",IF(AND('📝 Four-tier กรอก'!BT59&lt;&gt;'📝 Four-tier กรอก'!BT51,'📝 Four-tier กรอก'!BU59="N",'📝 Four-tier กรอก'!BV59&lt;&gt;'📝 Four-tier กรอก'!BV51,'📝 Four-tier กรอก'!BW59="N"),"❓ NoK","🤔 Partial")))))</f>
        <v/>
      </c>
      <c r="V58" s="68">
        <f>IF(OR('📝 Four-tier กรอก'!BX59="",'📝 Four-tier กรอก'!BZ59=""),"—",IF(AND('📝 Four-tier กรอก'!BX59='📝 Four-tier กรอก'!BX51,'📝 Four-tier กรอก'!BY59="Y",'📝 Four-tier กรอก'!BZ59='📝 Four-tier กรอก'!BZ51,'📝 Four-tier กรอก'!CA59="Y"),"✅ Sound",IF(AND('📝 Four-tier กรอก'!BX59='📝 Four-tier กรอก'!BX51,'📝 Four-tier กรอก'!BY59="Y",'📝 Four-tier กรอก'!BZ59&lt;&gt;'📝 Four-tier กรอก'!BZ51,'📝 Four-tier กรอก'!CA59="Y"),"🎲 Guess",IF(AND('📝 Four-tier กรอก'!BX59&lt;&gt;'📝 Four-tier กรอก'!BX51,'📝 Four-tier กรอก'!BY59="Y",'📝 Four-tier กรอก'!BZ59&lt;&gt;'📝 Four-tier กรอก'!BZ51,'📝 Four-tier กรอก'!CA59="Y"),"❌ Misc.",IF(AND('📝 Four-tier กรอก'!BX59&lt;&gt;'📝 Four-tier กรอก'!BX51,'📝 Four-tier กรอก'!BY59="N",'📝 Four-tier กรอก'!BZ59&lt;&gt;'📝 Four-tier กรอก'!BZ51,'📝 Four-tier กรอก'!CA59="N"),"❓ NoK","🤔 Partial")))))</f>
        <v/>
      </c>
      <c r="W58" s="68">
        <f>IF(OR('📝 Four-tier กรอก'!CB59="",'📝 Four-tier กรอก'!CD59=""),"—",IF(AND('📝 Four-tier กรอก'!CB59='📝 Four-tier กรอก'!CB51,'📝 Four-tier กรอก'!CC59="Y",'📝 Four-tier กรอก'!CD59='📝 Four-tier กรอก'!CD51,'📝 Four-tier กรอก'!CE59="Y"),"✅ Sound",IF(AND('📝 Four-tier กรอก'!CB59='📝 Four-tier กรอก'!CB51,'📝 Four-tier กรอก'!CC59="Y",'📝 Four-tier กรอก'!CD59&lt;&gt;'📝 Four-tier กรอก'!CD51,'📝 Four-tier กรอก'!CE59="Y"),"🎲 Guess",IF(AND('📝 Four-tier กรอก'!CB59&lt;&gt;'📝 Four-tier กรอก'!CB51,'📝 Four-tier กรอก'!CC59="Y",'📝 Four-tier กรอก'!CD59&lt;&gt;'📝 Four-tier กรอก'!CD51,'📝 Four-tier กรอก'!CE59="Y"),"❌ Misc.",IF(AND('📝 Four-tier กรอก'!CB59&lt;&gt;'📝 Four-tier กรอก'!CB51,'📝 Four-tier กรอก'!CC59="N",'📝 Four-tier กรอก'!CD59&lt;&gt;'📝 Four-tier กรอก'!CD51,'📝 Four-tier กรอก'!CE59="N"),"❓ NoK","🤔 Partial")))))</f>
        <v/>
      </c>
      <c r="X58" s="37">
        <f>COUNTIF(D58:W58,"✅ Sound")</f>
        <v/>
      </c>
      <c r="Y58" s="37">
        <f>COUNTIF(D58:W58,"❌ Misc.")</f>
        <v/>
      </c>
      <c r="Z58" s="37">
        <f>COUNTIF(D58:W58,"🎲 Guess")</f>
        <v/>
      </c>
      <c r="AA58" s="37">
        <f>COUNTIF(D58:W58,"❓ NoK")</f>
        <v/>
      </c>
    </row>
    <row r="59" ht="18" customHeight="1">
      <c r="B59" s="46">
        <f>'📝 Four-tier กรอก'!B60</f>
        <v/>
      </c>
      <c r="C59" s="47">
        <f>'📝 Four-tier กรอก'!C60</f>
        <v/>
      </c>
      <c r="D59" s="67">
        <f>IF(OR('📝 Four-tier กรอก'!D60="",'📝 Four-tier กรอก'!F60=""),"—",IF(AND('📝 Four-tier กรอก'!D60='📝 Four-tier กรอก'!D51,'📝 Four-tier กรอก'!E60="Y",'📝 Four-tier กรอก'!F60='📝 Four-tier กรอก'!F51,'📝 Four-tier กรอก'!G60="Y"),"✅ Sound",IF(AND('📝 Four-tier กรอก'!D60='📝 Four-tier กรอก'!D51,'📝 Four-tier กรอก'!E60="Y",'📝 Four-tier กรอก'!F60&lt;&gt;'📝 Four-tier กรอก'!F51,'📝 Four-tier กรอก'!G60="Y"),"🎲 Guess",IF(AND('📝 Four-tier กรอก'!D60&lt;&gt;'📝 Four-tier กรอก'!D51,'📝 Four-tier กรอก'!E60="Y",'📝 Four-tier กรอก'!F60&lt;&gt;'📝 Four-tier กรอก'!F51,'📝 Four-tier กรอก'!G60="Y"),"❌ Misc.",IF(AND('📝 Four-tier กรอก'!D60&lt;&gt;'📝 Four-tier กรอก'!D51,'📝 Four-tier กรอก'!E60="N",'📝 Four-tier กรอก'!F60&lt;&gt;'📝 Four-tier กรอก'!F51,'📝 Four-tier กรอก'!G60="N"),"❓ NoK","🤔 Partial")))))</f>
        <v/>
      </c>
      <c r="E59" s="67">
        <f>IF(OR('📝 Four-tier กรอก'!H60="",'📝 Four-tier กรอก'!J60=""),"—",IF(AND('📝 Four-tier กรอก'!H60='📝 Four-tier กรอก'!H51,'📝 Four-tier กรอก'!I60="Y",'📝 Four-tier กรอก'!J60='📝 Four-tier กรอก'!J51,'📝 Four-tier กรอก'!K60="Y"),"✅ Sound",IF(AND('📝 Four-tier กรอก'!H60='📝 Four-tier กรอก'!H51,'📝 Four-tier กรอก'!I60="Y",'📝 Four-tier กรอก'!J60&lt;&gt;'📝 Four-tier กรอก'!J51,'📝 Four-tier กรอก'!K60="Y"),"🎲 Guess",IF(AND('📝 Four-tier กรอก'!H60&lt;&gt;'📝 Four-tier กรอก'!H51,'📝 Four-tier กรอก'!I60="Y",'📝 Four-tier กรอก'!J60&lt;&gt;'📝 Four-tier กรอก'!J51,'📝 Four-tier กรอก'!K60="Y"),"❌ Misc.",IF(AND('📝 Four-tier กรอก'!H60&lt;&gt;'📝 Four-tier กรอก'!H51,'📝 Four-tier กรอก'!I60="N",'📝 Four-tier กรอก'!J60&lt;&gt;'📝 Four-tier กรอก'!J51,'📝 Four-tier กรอก'!K60="N"),"❓ NoK","🤔 Partial")))))</f>
        <v/>
      </c>
      <c r="F59" s="67">
        <f>IF(OR('📝 Four-tier กรอก'!L60="",'📝 Four-tier กรอก'!N60=""),"—",IF(AND('📝 Four-tier กรอก'!L60='📝 Four-tier กรอก'!L51,'📝 Four-tier กรอก'!M60="Y",'📝 Four-tier กรอก'!N60='📝 Four-tier กรอก'!N51,'📝 Four-tier กรอก'!O60="Y"),"✅ Sound",IF(AND('📝 Four-tier กรอก'!L60='📝 Four-tier กรอก'!L51,'📝 Four-tier กรอก'!M60="Y",'📝 Four-tier กรอก'!N60&lt;&gt;'📝 Four-tier กรอก'!N51,'📝 Four-tier กรอก'!O60="Y"),"🎲 Guess",IF(AND('📝 Four-tier กรอก'!L60&lt;&gt;'📝 Four-tier กรอก'!L51,'📝 Four-tier กรอก'!M60="Y",'📝 Four-tier กรอก'!N60&lt;&gt;'📝 Four-tier กรอก'!N51,'📝 Four-tier กรอก'!O60="Y"),"❌ Misc.",IF(AND('📝 Four-tier กรอก'!L60&lt;&gt;'📝 Four-tier กรอก'!L51,'📝 Four-tier กรอก'!M60="N",'📝 Four-tier กรอก'!N60&lt;&gt;'📝 Four-tier กรอก'!N51,'📝 Four-tier กรอก'!O60="N"),"❓ NoK","🤔 Partial")))))</f>
        <v/>
      </c>
      <c r="G59" s="67">
        <f>IF(OR('📝 Four-tier กรอก'!P60="",'📝 Four-tier กรอก'!R60=""),"—",IF(AND('📝 Four-tier กรอก'!P60='📝 Four-tier กรอก'!P51,'📝 Four-tier กรอก'!Q60="Y",'📝 Four-tier กรอก'!R60='📝 Four-tier กรอก'!R51,'📝 Four-tier กรอก'!S60="Y"),"✅ Sound",IF(AND('📝 Four-tier กรอก'!P60='📝 Four-tier กรอก'!P51,'📝 Four-tier กรอก'!Q60="Y",'📝 Four-tier กรอก'!R60&lt;&gt;'📝 Four-tier กรอก'!R51,'📝 Four-tier กรอก'!S60="Y"),"🎲 Guess",IF(AND('📝 Four-tier กรอก'!P60&lt;&gt;'📝 Four-tier กรอก'!P51,'📝 Four-tier กรอก'!Q60="Y",'📝 Four-tier กรอก'!R60&lt;&gt;'📝 Four-tier กรอก'!R51,'📝 Four-tier กรอก'!S60="Y"),"❌ Misc.",IF(AND('📝 Four-tier กรอก'!P60&lt;&gt;'📝 Four-tier กรอก'!P51,'📝 Four-tier กรอก'!Q60="N",'📝 Four-tier กรอก'!R60&lt;&gt;'📝 Four-tier กรอก'!R51,'📝 Four-tier กรอก'!S60="N"),"❓ NoK","🤔 Partial")))))</f>
        <v/>
      </c>
      <c r="H59" s="67">
        <f>IF(OR('📝 Four-tier กรอก'!T60="",'📝 Four-tier กรอก'!V60=""),"—",IF(AND('📝 Four-tier กรอก'!T60='📝 Four-tier กรอก'!T51,'📝 Four-tier กรอก'!U60="Y",'📝 Four-tier กรอก'!V60='📝 Four-tier กรอก'!V51,'📝 Four-tier กรอก'!W60="Y"),"✅ Sound",IF(AND('📝 Four-tier กรอก'!T60='📝 Four-tier กรอก'!T51,'📝 Four-tier กรอก'!U60="Y",'📝 Four-tier กรอก'!V60&lt;&gt;'📝 Four-tier กรอก'!V51,'📝 Four-tier กรอก'!W60="Y"),"🎲 Guess",IF(AND('📝 Four-tier กรอก'!T60&lt;&gt;'📝 Four-tier กรอก'!T51,'📝 Four-tier กรอก'!U60="Y",'📝 Four-tier กรอก'!V60&lt;&gt;'📝 Four-tier กรอก'!V51,'📝 Four-tier กรอก'!W60="Y"),"❌ Misc.",IF(AND('📝 Four-tier กรอก'!T60&lt;&gt;'📝 Four-tier กรอก'!T51,'📝 Four-tier กรอก'!U60="N",'📝 Four-tier กรอก'!V60&lt;&gt;'📝 Four-tier กรอก'!V51,'📝 Four-tier กรอก'!W60="N"),"❓ NoK","🤔 Partial")))))</f>
        <v/>
      </c>
      <c r="I59" s="67">
        <f>IF(OR('📝 Four-tier กรอก'!X60="",'📝 Four-tier กรอก'!Z60=""),"—",IF(AND('📝 Four-tier กรอก'!X60='📝 Four-tier กรอก'!X51,'📝 Four-tier กรอก'!Y60="Y",'📝 Four-tier กรอก'!Z60='📝 Four-tier กรอก'!Z51,'📝 Four-tier กรอก'!AA60="Y"),"✅ Sound",IF(AND('📝 Four-tier กรอก'!X60='📝 Four-tier กรอก'!X51,'📝 Four-tier กรอก'!Y60="Y",'📝 Four-tier กรอก'!Z60&lt;&gt;'📝 Four-tier กรอก'!Z51,'📝 Four-tier กรอก'!AA60="Y"),"🎲 Guess",IF(AND('📝 Four-tier กรอก'!X60&lt;&gt;'📝 Four-tier กรอก'!X51,'📝 Four-tier กรอก'!Y60="Y",'📝 Four-tier กรอก'!Z60&lt;&gt;'📝 Four-tier กรอก'!Z51,'📝 Four-tier กรอก'!AA60="Y"),"❌ Misc.",IF(AND('📝 Four-tier กรอก'!X60&lt;&gt;'📝 Four-tier กรอก'!X51,'📝 Four-tier กรอก'!Y60="N",'📝 Four-tier กรอก'!Z60&lt;&gt;'📝 Four-tier กรอก'!Z51,'📝 Four-tier กรอก'!AA60="N"),"❓ NoK","🤔 Partial")))))</f>
        <v/>
      </c>
      <c r="J59" s="67">
        <f>IF(OR('📝 Four-tier กรอก'!AB60="",'📝 Four-tier กรอก'!AD60=""),"—",IF(AND('📝 Four-tier กรอก'!AB60='📝 Four-tier กรอก'!AB51,'📝 Four-tier กรอก'!AC60="Y",'📝 Four-tier กรอก'!AD60='📝 Four-tier กรอก'!AD51,'📝 Four-tier กรอก'!AE60="Y"),"✅ Sound",IF(AND('📝 Four-tier กรอก'!AB60='📝 Four-tier กรอก'!AB51,'📝 Four-tier กรอก'!AC60="Y",'📝 Four-tier กรอก'!AD60&lt;&gt;'📝 Four-tier กรอก'!AD51,'📝 Four-tier กรอก'!AE60="Y"),"🎲 Guess",IF(AND('📝 Four-tier กรอก'!AB60&lt;&gt;'📝 Four-tier กรอก'!AB51,'📝 Four-tier กรอก'!AC60="Y",'📝 Four-tier กรอก'!AD60&lt;&gt;'📝 Four-tier กรอก'!AD51,'📝 Four-tier กรอก'!AE60="Y"),"❌ Misc.",IF(AND('📝 Four-tier กรอก'!AB60&lt;&gt;'📝 Four-tier กรอก'!AB51,'📝 Four-tier กรอก'!AC60="N",'📝 Four-tier กรอก'!AD60&lt;&gt;'📝 Four-tier กรอก'!AD51,'📝 Four-tier กรอก'!AE60="N"),"❓ NoK","🤔 Partial")))))</f>
        <v/>
      </c>
      <c r="K59" s="67">
        <f>IF(OR('📝 Four-tier กรอก'!AF60="",'📝 Four-tier กรอก'!AH60=""),"—",IF(AND('📝 Four-tier กรอก'!AF60='📝 Four-tier กรอก'!AF51,'📝 Four-tier กรอก'!AG60="Y",'📝 Four-tier กรอก'!AH60='📝 Four-tier กรอก'!AH51,'📝 Four-tier กรอก'!AI60="Y"),"✅ Sound",IF(AND('📝 Four-tier กรอก'!AF60='📝 Four-tier กรอก'!AF51,'📝 Four-tier กรอก'!AG60="Y",'📝 Four-tier กรอก'!AH60&lt;&gt;'📝 Four-tier กรอก'!AH51,'📝 Four-tier กรอก'!AI60="Y"),"🎲 Guess",IF(AND('📝 Four-tier กรอก'!AF60&lt;&gt;'📝 Four-tier กรอก'!AF51,'📝 Four-tier กรอก'!AG60="Y",'📝 Four-tier กรอก'!AH60&lt;&gt;'📝 Four-tier กรอก'!AH51,'📝 Four-tier กรอก'!AI60="Y"),"❌ Misc.",IF(AND('📝 Four-tier กรอก'!AF60&lt;&gt;'📝 Four-tier กรอก'!AF51,'📝 Four-tier กรอก'!AG60="N",'📝 Four-tier กรอก'!AH60&lt;&gt;'📝 Four-tier กรอก'!AH51,'📝 Four-tier กรอก'!AI60="N"),"❓ NoK","🤔 Partial")))))</f>
        <v/>
      </c>
      <c r="L59" s="67">
        <f>IF(OR('📝 Four-tier กรอก'!AJ60="",'📝 Four-tier กรอก'!AL60=""),"—",IF(AND('📝 Four-tier กรอก'!AJ60='📝 Four-tier กรอก'!AJ51,'📝 Four-tier กรอก'!AK60="Y",'📝 Four-tier กรอก'!AL60='📝 Four-tier กรอก'!AL51,'📝 Four-tier กรอก'!AM60="Y"),"✅ Sound",IF(AND('📝 Four-tier กรอก'!AJ60='📝 Four-tier กรอก'!AJ51,'📝 Four-tier กรอก'!AK60="Y",'📝 Four-tier กรอก'!AL60&lt;&gt;'📝 Four-tier กรอก'!AL51,'📝 Four-tier กรอก'!AM60="Y"),"🎲 Guess",IF(AND('📝 Four-tier กรอก'!AJ60&lt;&gt;'📝 Four-tier กรอก'!AJ51,'📝 Four-tier กรอก'!AK60="Y",'📝 Four-tier กรอก'!AL60&lt;&gt;'📝 Four-tier กรอก'!AL51,'📝 Four-tier กรอก'!AM60="Y"),"❌ Misc.",IF(AND('📝 Four-tier กรอก'!AJ60&lt;&gt;'📝 Four-tier กรอก'!AJ51,'📝 Four-tier กรอก'!AK60="N",'📝 Four-tier กรอก'!AL60&lt;&gt;'📝 Four-tier กรอก'!AL51,'📝 Four-tier กรอก'!AM60="N"),"❓ NoK","🤔 Partial")))))</f>
        <v/>
      </c>
      <c r="M59" s="67">
        <f>IF(OR('📝 Four-tier กรอก'!AN60="",'📝 Four-tier กรอก'!AP60=""),"—",IF(AND('📝 Four-tier กรอก'!AN60='📝 Four-tier กรอก'!AN51,'📝 Four-tier กรอก'!AO60="Y",'📝 Four-tier กรอก'!AP60='📝 Four-tier กรอก'!AP51,'📝 Four-tier กรอก'!AQ60="Y"),"✅ Sound",IF(AND('📝 Four-tier กรอก'!AN60='📝 Four-tier กรอก'!AN51,'📝 Four-tier กรอก'!AO60="Y",'📝 Four-tier กรอก'!AP60&lt;&gt;'📝 Four-tier กรอก'!AP51,'📝 Four-tier กรอก'!AQ60="Y"),"🎲 Guess",IF(AND('📝 Four-tier กรอก'!AN60&lt;&gt;'📝 Four-tier กรอก'!AN51,'📝 Four-tier กรอก'!AO60="Y",'📝 Four-tier กรอก'!AP60&lt;&gt;'📝 Four-tier กรอก'!AP51,'📝 Four-tier กรอก'!AQ60="Y"),"❌ Misc.",IF(AND('📝 Four-tier กรอก'!AN60&lt;&gt;'📝 Four-tier กรอก'!AN51,'📝 Four-tier กรอก'!AO60="N",'📝 Four-tier กรอก'!AP60&lt;&gt;'📝 Four-tier กรอก'!AP51,'📝 Four-tier กรอก'!AQ60="N"),"❓ NoK","🤔 Partial")))))</f>
        <v/>
      </c>
      <c r="N59" s="67">
        <f>IF(OR('📝 Four-tier กรอก'!AR60="",'📝 Four-tier กรอก'!AT60=""),"—",IF(AND('📝 Four-tier กรอก'!AR60='📝 Four-tier กรอก'!AR51,'📝 Four-tier กรอก'!AS60="Y",'📝 Four-tier กรอก'!AT60='📝 Four-tier กรอก'!AT51,'📝 Four-tier กรอก'!AU60="Y"),"✅ Sound",IF(AND('📝 Four-tier กรอก'!AR60='📝 Four-tier กรอก'!AR51,'📝 Four-tier กรอก'!AS60="Y",'📝 Four-tier กรอก'!AT60&lt;&gt;'📝 Four-tier กรอก'!AT51,'📝 Four-tier กรอก'!AU60="Y"),"🎲 Guess",IF(AND('📝 Four-tier กรอก'!AR60&lt;&gt;'📝 Four-tier กรอก'!AR51,'📝 Four-tier กรอก'!AS60="Y",'📝 Four-tier กรอก'!AT60&lt;&gt;'📝 Four-tier กรอก'!AT51,'📝 Four-tier กรอก'!AU60="Y"),"❌ Misc.",IF(AND('📝 Four-tier กรอก'!AR60&lt;&gt;'📝 Four-tier กรอก'!AR51,'📝 Four-tier กรอก'!AS60="N",'📝 Four-tier กรอก'!AT60&lt;&gt;'📝 Four-tier กรอก'!AT51,'📝 Four-tier กรอก'!AU60="N"),"❓ NoK","🤔 Partial")))))</f>
        <v/>
      </c>
      <c r="O59" s="67">
        <f>IF(OR('📝 Four-tier กรอก'!AV60="",'📝 Four-tier กรอก'!AX60=""),"—",IF(AND('📝 Four-tier กรอก'!AV60='📝 Four-tier กรอก'!AV51,'📝 Four-tier กรอก'!AW60="Y",'📝 Four-tier กรอก'!AX60='📝 Four-tier กรอก'!AX51,'📝 Four-tier กรอก'!AY60="Y"),"✅ Sound",IF(AND('📝 Four-tier กรอก'!AV60='📝 Four-tier กรอก'!AV51,'📝 Four-tier กรอก'!AW60="Y",'📝 Four-tier กรอก'!AX60&lt;&gt;'📝 Four-tier กรอก'!AX51,'📝 Four-tier กรอก'!AY60="Y"),"🎲 Guess",IF(AND('📝 Four-tier กรอก'!AV60&lt;&gt;'📝 Four-tier กรอก'!AV51,'📝 Four-tier กรอก'!AW60="Y",'📝 Four-tier กรอก'!AX60&lt;&gt;'📝 Four-tier กรอก'!AX51,'📝 Four-tier กรอก'!AY60="Y"),"❌ Misc.",IF(AND('📝 Four-tier กรอก'!AV60&lt;&gt;'📝 Four-tier กรอก'!AV51,'📝 Four-tier กรอก'!AW60="N",'📝 Four-tier กรอก'!AX60&lt;&gt;'📝 Four-tier กรอก'!AX51,'📝 Four-tier กรอก'!AY60="N"),"❓ NoK","🤔 Partial")))))</f>
        <v/>
      </c>
      <c r="P59" s="67">
        <f>IF(OR('📝 Four-tier กรอก'!AZ60="",'📝 Four-tier กรอก'!BB60=""),"—",IF(AND('📝 Four-tier กรอก'!AZ60='📝 Four-tier กรอก'!AZ51,'📝 Four-tier กรอก'!BA60="Y",'📝 Four-tier กรอก'!BB60='📝 Four-tier กรอก'!BB51,'📝 Four-tier กรอก'!BC60="Y"),"✅ Sound",IF(AND('📝 Four-tier กรอก'!AZ60='📝 Four-tier กรอก'!AZ51,'📝 Four-tier กรอก'!BA60="Y",'📝 Four-tier กรอก'!BB60&lt;&gt;'📝 Four-tier กรอก'!BB51,'📝 Four-tier กรอก'!BC60="Y"),"🎲 Guess",IF(AND('📝 Four-tier กรอก'!AZ60&lt;&gt;'📝 Four-tier กรอก'!AZ51,'📝 Four-tier กรอก'!BA60="Y",'📝 Four-tier กรอก'!BB60&lt;&gt;'📝 Four-tier กรอก'!BB51,'📝 Four-tier กรอก'!BC60="Y"),"❌ Misc.",IF(AND('📝 Four-tier กรอก'!AZ60&lt;&gt;'📝 Four-tier กรอก'!AZ51,'📝 Four-tier กรอก'!BA60="N",'📝 Four-tier กรอก'!BB60&lt;&gt;'📝 Four-tier กรอก'!BB51,'📝 Four-tier กรอก'!BC60="N"),"❓ NoK","🤔 Partial")))))</f>
        <v/>
      </c>
      <c r="Q59" s="67">
        <f>IF(OR('📝 Four-tier กรอก'!BD60="",'📝 Four-tier กรอก'!BF60=""),"—",IF(AND('📝 Four-tier กรอก'!BD60='📝 Four-tier กรอก'!BD51,'📝 Four-tier กรอก'!BE60="Y",'📝 Four-tier กรอก'!BF60='📝 Four-tier กรอก'!BF51,'📝 Four-tier กรอก'!BG60="Y"),"✅ Sound",IF(AND('📝 Four-tier กรอก'!BD60='📝 Four-tier กรอก'!BD51,'📝 Four-tier กรอก'!BE60="Y",'📝 Four-tier กรอก'!BF60&lt;&gt;'📝 Four-tier กรอก'!BF51,'📝 Four-tier กรอก'!BG60="Y"),"🎲 Guess",IF(AND('📝 Four-tier กรอก'!BD60&lt;&gt;'📝 Four-tier กรอก'!BD51,'📝 Four-tier กรอก'!BE60="Y",'📝 Four-tier กรอก'!BF60&lt;&gt;'📝 Four-tier กรอก'!BF51,'📝 Four-tier กรอก'!BG60="Y"),"❌ Misc.",IF(AND('📝 Four-tier กรอก'!BD60&lt;&gt;'📝 Four-tier กรอก'!BD51,'📝 Four-tier กรอก'!BE60="N",'📝 Four-tier กรอก'!BF60&lt;&gt;'📝 Four-tier กรอก'!BF51,'📝 Four-tier กรอก'!BG60="N"),"❓ NoK","🤔 Partial")))))</f>
        <v/>
      </c>
      <c r="R59" s="67">
        <f>IF(OR('📝 Four-tier กรอก'!BH60="",'📝 Four-tier กรอก'!BJ60=""),"—",IF(AND('📝 Four-tier กรอก'!BH60='📝 Four-tier กรอก'!BH51,'📝 Four-tier กรอก'!BI60="Y",'📝 Four-tier กรอก'!BJ60='📝 Four-tier กรอก'!BJ51,'📝 Four-tier กรอก'!BK60="Y"),"✅ Sound",IF(AND('📝 Four-tier กรอก'!BH60='📝 Four-tier กรอก'!BH51,'📝 Four-tier กรอก'!BI60="Y",'📝 Four-tier กรอก'!BJ60&lt;&gt;'📝 Four-tier กรอก'!BJ51,'📝 Four-tier กรอก'!BK60="Y"),"🎲 Guess",IF(AND('📝 Four-tier กรอก'!BH60&lt;&gt;'📝 Four-tier กรอก'!BH51,'📝 Four-tier กรอก'!BI60="Y",'📝 Four-tier กรอก'!BJ60&lt;&gt;'📝 Four-tier กรอก'!BJ51,'📝 Four-tier กรอก'!BK60="Y"),"❌ Misc.",IF(AND('📝 Four-tier กรอก'!BH60&lt;&gt;'📝 Four-tier กรอก'!BH51,'📝 Four-tier กรอก'!BI60="N",'📝 Four-tier กรอก'!BJ60&lt;&gt;'📝 Four-tier กรอก'!BJ51,'📝 Four-tier กรอก'!BK60="N"),"❓ NoK","🤔 Partial")))))</f>
        <v/>
      </c>
      <c r="S59" s="67">
        <f>IF(OR('📝 Four-tier กรอก'!BL60="",'📝 Four-tier กรอก'!BN60=""),"—",IF(AND('📝 Four-tier กรอก'!BL60='📝 Four-tier กรอก'!BL51,'📝 Four-tier กรอก'!BM60="Y",'📝 Four-tier กรอก'!BN60='📝 Four-tier กรอก'!BN51,'📝 Four-tier กรอก'!BO60="Y"),"✅ Sound",IF(AND('📝 Four-tier กรอก'!BL60='📝 Four-tier กรอก'!BL51,'📝 Four-tier กรอก'!BM60="Y",'📝 Four-tier กรอก'!BN60&lt;&gt;'📝 Four-tier กรอก'!BN51,'📝 Four-tier กรอก'!BO60="Y"),"🎲 Guess",IF(AND('📝 Four-tier กรอก'!BL60&lt;&gt;'📝 Four-tier กรอก'!BL51,'📝 Four-tier กรอก'!BM60="Y",'📝 Four-tier กรอก'!BN60&lt;&gt;'📝 Four-tier กรอก'!BN51,'📝 Four-tier กรอก'!BO60="Y"),"❌ Misc.",IF(AND('📝 Four-tier กรอก'!BL60&lt;&gt;'📝 Four-tier กรอก'!BL51,'📝 Four-tier กรอก'!BM60="N",'📝 Four-tier กรอก'!BN60&lt;&gt;'📝 Four-tier กรอก'!BN51,'📝 Four-tier กรอก'!BO60="N"),"❓ NoK","🤔 Partial")))))</f>
        <v/>
      </c>
      <c r="T59" s="67">
        <f>IF(OR('📝 Four-tier กรอก'!BP60="",'📝 Four-tier กรอก'!BR60=""),"—",IF(AND('📝 Four-tier กรอก'!BP60='📝 Four-tier กรอก'!BP51,'📝 Four-tier กรอก'!BQ60="Y",'📝 Four-tier กรอก'!BR60='📝 Four-tier กรอก'!BR51,'📝 Four-tier กรอก'!BS60="Y"),"✅ Sound",IF(AND('📝 Four-tier กรอก'!BP60='📝 Four-tier กรอก'!BP51,'📝 Four-tier กรอก'!BQ60="Y",'📝 Four-tier กรอก'!BR60&lt;&gt;'📝 Four-tier กรอก'!BR51,'📝 Four-tier กรอก'!BS60="Y"),"🎲 Guess",IF(AND('📝 Four-tier กรอก'!BP60&lt;&gt;'📝 Four-tier กรอก'!BP51,'📝 Four-tier กรอก'!BQ60="Y",'📝 Four-tier กรอก'!BR60&lt;&gt;'📝 Four-tier กรอก'!BR51,'📝 Four-tier กรอก'!BS60="Y"),"❌ Misc.",IF(AND('📝 Four-tier กรอก'!BP60&lt;&gt;'📝 Four-tier กรอก'!BP51,'📝 Four-tier กรอก'!BQ60="N",'📝 Four-tier กรอก'!BR60&lt;&gt;'📝 Four-tier กรอก'!BR51,'📝 Four-tier กรอก'!BS60="N"),"❓ NoK","🤔 Partial")))))</f>
        <v/>
      </c>
      <c r="U59" s="67">
        <f>IF(OR('📝 Four-tier กรอก'!BT60="",'📝 Four-tier กรอก'!BV60=""),"—",IF(AND('📝 Four-tier กรอก'!BT60='📝 Four-tier กรอก'!BT51,'📝 Four-tier กรอก'!BU60="Y",'📝 Four-tier กรอก'!BV60='📝 Four-tier กรอก'!BV51,'📝 Four-tier กรอก'!BW60="Y"),"✅ Sound",IF(AND('📝 Four-tier กรอก'!BT60='📝 Four-tier กรอก'!BT51,'📝 Four-tier กรอก'!BU60="Y",'📝 Four-tier กรอก'!BV60&lt;&gt;'📝 Four-tier กรอก'!BV51,'📝 Four-tier กรอก'!BW60="Y"),"🎲 Guess",IF(AND('📝 Four-tier กรอก'!BT60&lt;&gt;'📝 Four-tier กรอก'!BT51,'📝 Four-tier กรอก'!BU60="Y",'📝 Four-tier กรอก'!BV60&lt;&gt;'📝 Four-tier กรอก'!BV51,'📝 Four-tier กรอก'!BW60="Y"),"❌ Misc.",IF(AND('📝 Four-tier กรอก'!BT60&lt;&gt;'📝 Four-tier กรอก'!BT51,'📝 Four-tier กรอก'!BU60="N",'📝 Four-tier กรอก'!BV60&lt;&gt;'📝 Four-tier กรอก'!BV51,'📝 Four-tier กรอก'!BW60="N"),"❓ NoK","🤔 Partial")))))</f>
        <v/>
      </c>
      <c r="V59" s="67">
        <f>IF(OR('📝 Four-tier กรอก'!BX60="",'📝 Four-tier กรอก'!BZ60=""),"—",IF(AND('📝 Four-tier กรอก'!BX60='📝 Four-tier กรอก'!BX51,'📝 Four-tier กรอก'!BY60="Y",'📝 Four-tier กรอก'!BZ60='📝 Four-tier กรอก'!BZ51,'📝 Four-tier กรอก'!CA60="Y"),"✅ Sound",IF(AND('📝 Four-tier กรอก'!BX60='📝 Four-tier กรอก'!BX51,'📝 Four-tier กรอก'!BY60="Y",'📝 Four-tier กรอก'!BZ60&lt;&gt;'📝 Four-tier กรอก'!BZ51,'📝 Four-tier กรอก'!CA60="Y"),"🎲 Guess",IF(AND('📝 Four-tier กรอก'!BX60&lt;&gt;'📝 Four-tier กรอก'!BX51,'📝 Four-tier กรอก'!BY60="Y",'📝 Four-tier กรอก'!BZ60&lt;&gt;'📝 Four-tier กรอก'!BZ51,'📝 Four-tier กรอก'!CA60="Y"),"❌ Misc.",IF(AND('📝 Four-tier กรอก'!BX60&lt;&gt;'📝 Four-tier กรอก'!BX51,'📝 Four-tier กรอก'!BY60="N",'📝 Four-tier กรอก'!BZ60&lt;&gt;'📝 Four-tier กรอก'!BZ51,'📝 Four-tier กรอก'!CA60="N"),"❓ NoK","🤔 Partial")))))</f>
        <v/>
      </c>
      <c r="W59" s="67">
        <f>IF(OR('📝 Four-tier กรอก'!CB60="",'📝 Four-tier กรอก'!CD60=""),"—",IF(AND('📝 Four-tier กรอก'!CB60='📝 Four-tier กรอก'!CB51,'📝 Four-tier กรอก'!CC60="Y",'📝 Four-tier กรอก'!CD60='📝 Four-tier กรอก'!CD51,'📝 Four-tier กรอก'!CE60="Y"),"✅ Sound",IF(AND('📝 Four-tier กรอก'!CB60='📝 Four-tier กรอก'!CB51,'📝 Four-tier กรอก'!CC60="Y",'📝 Four-tier กรอก'!CD60&lt;&gt;'📝 Four-tier กรอก'!CD51,'📝 Four-tier กรอก'!CE60="Y"),"🎲 Guess",IF(AND('📝 Four-tier กรอก'!CB60&lt;&gt;'📝 Four-tier กรอก'!CB51,'📝 Four-tier กรอก'!CC60="Y",'📝 Four-tier กรอก'!CD60&lt;&gt;'📝 Four-tier กรอก'!CD51,'📝 Four-tier กรอก'!CE60="Y"),"❌ Misc.",IF(AND('📝 Four-tier กรอก'!CB60&lt;&gt;'📝 Four-tier กรอก'!CB51,'📝 Four-tier กรอก'!CC60="N",'📝 Four-tier กรอก'!CD60&lt;&gt;'📝 Four-tier กรอก'!CD51,'📝 Four-tier กรอก'!CE60="N"),"❓ NoK","🤔 Partial")))))</f>
        <v/>
      </c>
      <c r="X59" s="37">
        <f>COUNTIF(D59:W59,"✅ Sound")</f>
        <v/>
      </c>
      <c r="Y59" s="37">
        <f>COUNTIF(D59:W59,"❌ Misc.")</f>
        <v/>
      </c>
      <c r="Z59" s="37">
        <f>COUNTIF(D59:W59,"🎲 Guess")</f>
        <v/>
      </c>
      <c r="AA59" s="37">
        <f>COUNTIF(D59:W59,"❓ NoK")</f>
        <v/>
      </c>
    </row>
    <row r="60" ht="18" customHeight="1">
      <c r="B60" s="46">
        <f>'📝 Four-tier กรอก'!B61</f>
        <v/>
      </c>
      <c r="C60" s="51">
        <f>'📝 Four-tier กรอก'!C61</f>
        <v/>
      </c>
      <c r="D60" s="68">
        <f>IF(OR('📝 Four-tier กรอก'!D61="",'📝 Four-tier กรอก'!F61=""),"—",IF(AND('📝 Four-tier กรอก'!D61='📝 Four-tier กรอก'!D51,'📝 Four-tier กรอก'!E61="Y",'📝 Four-tier กรอก'!F61='📝 Four-tier กรอก'!F51,'📝 Four-tier กรอก'!G61="Y"),"✅ Sound",IF(AND('📝 Four-tier กรอก'!D61='📝 Four-tier กรอก'!D51,'📝 Four-tier กรอก'!E61="Y",'📝 Four-tier กรอก'!F61&lt;&gt;'📝 Four-tier กรอก'!F51,'📝 Four-tier กรอก'!G61="Y"),"🎲 Guess",IF(AND('📝 Four-tier กรอก'!D61&lt;&gt;'📝 Four-tier กรอก'!D51,'📝 Four-tier กรอก'!E61="Y",'📝 Four-tier กรอก'!F61&lt;&gt;'📝 Four-tier กรอก'!F51,'📝 Four-tier กรอก'!G61="Y"),"❌ Misc.",IF(AND('📝 Four-tier กรอก'!D61&lt;&gt;'📝 Four-tier กรอก'!D51,'📝 Four-tier กรอก'!E61="N",'📝 Four-tier กรอก'!F61&lt;&gt;'📝 Four-tier กรอก'!F51,'📝 Four-tier กรอก'!G61="N"),"❓ NoK","🤔 Partial")))))</f>
        <v/>
      </c>
      <c r="E60" s="68">
        <f>IF(OR('📝 Four-tier กรอก'!H61="",'📝 Four-tier กรอก'!J61=""),"—",IF(AND('📝 Four-tier กรอก'!H61='📝 Four-tier กรอก'!H51,'📝 Four-tier กรอก'!I61="Y",'📝 Four-tier กรอก'!J61='📝 Four-tier กรอก'!J51,'📝 Four-tier กรอก'!K61="Y"),"✅ Sound",IF(AND('📝 Four-tier กรอก'!H61='📝 Four-tier กรอก'!H51,'📝 Four-tier กรอก'!I61="Y",'📝 Four-tier กรอก'!J61&lt;&gt;'📝 Four-tier กรอก'!J51,'📝 Four-tier กรอก'!K61="Y"),"🎲 Guess",IF(AND('📝 Four-tier กรอก'!H61&lt;&gt;'📝 Four-tier กรอก'!H51,'📝 Four-tier กรอก'!I61="Y",'📝 Four-tier กรอก'!J61&lt;&gt;'📝 Four-tier กรอก'!J51,'📝 Four-tier กรอก'!K61="Y"),"❌ Misc.",IF(AND('📝 Four-tier กรอก'!H61&lt;&gt;'📝 Four-tier กรอก'!H51,'📝 Four-tier กรอก'!I61="N",'📝 Four-tier กรอก'!J61&lt;&gt;'📝 Four-tier กรอก'!J51,'📝 Four-tier กรอก'!K61="N"),"❓ NoK","🤔 Partial")))))</f>
        <v/>
      </c>
      <c r="F60" s="68">
        <f>IF(OR('📝 Four-tier กรอก'!L61="",'📝 Four-tier กรอก'!N61=""),"—",IF(AND('📝 Four-tier กรอก'!L61='📝 Four-tier กรอก'!L51,'📝 Four-tier กรอก'!M61="Y",'📝 Four-tier กรอก'!N61='📝 Four-tier กรอก'!N51,'📝 Four-tier กรอก'!O61="Y"),"✅ Sound",IF(AND('📝 Four-tier กรอก'!L61='📝 Four-tier กรอก'!L51,'📝 Four-tier กรอก'!M61="Y",'📝 Four-tier กรอก'!N61&lt;&gt;'📝 Four-tier กรอก'!N51,'📝 Four-tier กรอก'!O61="Y"),"🎲 Guess",IF(AND('📝 Four-tier กรอก'!L61&lt;&gt;'📝 Four-tier กรอก'!L51,'📝 Four-tier กรอก'!M61="Y",'📝 Four-tier กรอก'!N61&lt;&gt;'📝 Four-tier กรอก'!N51,'📝 Four-tier กรอก'!O61="Y"),"❌ Misc.",IF(AND('📝 Four-tier กรอก'!L61&lt;&gt;'📝 Four-tier กรอก'!L51,'📝 Four-tier กรอก'!M61="N",'📝 Four-tier กรอก'!N61&lt;&gt;'📝 Four-tier กรอก'!N51,'📝 Four-tier กรอก'!O61="N"),"❓ NoK","🤔 Partial")))))</f>
        <v/>
      </c>
      <c r="G60" s="68">
        <f>IF(OR('📝 Four-tier กรอก'!P61="",'📝 Four-tier กรอก'!R61=""),"—",IF(AND('📝 Four-tier กรอก'!P61='📝 Four-tier กรอก'!P51,'📝 Four-tier กรอก'!Q61="Y",'📝 Four-tier กรอก'!R61='📝 Four-tier กรอก'!R51,'📝 Four-tier กรอก'!S61="Y"),"✅ Sound",IF(AND('📝 Four-tier กรอก'!P61='📝 Four-tier กรอก'!P51,'📝 Four-tier กรอก'!Q61="Y",'📝 Four-tier กรอก'!R61&lt;&gt;'📝 Four-tier กรอก'!R51,'📝 Four-tier กรอก'!S61="Y"),"🎲 Guess",IF(AND('📝 Four-tier กรอก'!P61&lt;&gt;'📝 Four-tier กรอก'!P51,'📝 Four-tier กรอก'!Q61="Y",'📝 Four-tier กรอก'!R61&lt;&gt;'📝 Four-tier กรอก'!R51,'📝 Four-tier กรอก'!S61="Y"),"❌ Misc.",IF(AND('📝 Four-tier กรอก'!P61&lt;&gt;'📝 Four-tier กรอก'!P51,'📝 Four-tier กรอก'!Q61="N",'📝 Four-tier กรอก'!R61&lt;&gt;'📝 Four-tier กรอก'!R51,'📝 Four-tier กรอก'!S61="N"),"❓ NoK","🤔 Partial")))))</f>
        <v/>
      </c>
      <c r="H60" s="68">
        <f>IF(OR('📝 Four-tier กรอก'!T61="",'📝 Four-tier กรอก'!V61=""),"—",IF(AND('📝 Four-tier กรอก'!T61='📝 Four-tier กรอก'!T51,'📝 Four-tier กรอก'!U61="Y",'📝 Four-tier กรอก'!V61='📝 Four-tier กรอก'!V51,'📝 Four-tier กรอก'!W61="Y"),"✅ Sound",IF(AND('📝 Four-tier กรอก'!T61='📝 Four-tier กรอก'!T51,'📝 Four-tier กรอก'!U61="Y",'📝 Four-tier กรอก'!V61&lt;&gt;'📝 Four-tier กรอก'!V51,'📝 Four-tier กรอก'!W61="Y"),"🎲 Guess",IF(AND('📝 Four-tier กรอก'!T61&lt;&gt;'📝 Four-tier กรอก'!T51,'📝 Four-tier กรอก'!U61="Y",'📝 Four-tier กรอก'!V61&lt;&gt;'📝 Four-tier กรอก'!V51,'📝 Four-tier กรอก'!W61="Y"),"❌ Misc.",IF(AND('📝 Four-tier กรอก'!T61&lt;&gt;'📝 Four-tier กรอก'!T51,'📝 Four-tier กรอก'!U61="N",'📝 Four-tier กรอก'!V61&lt;&gt;'📝 Four-tier กรอก'!V51,'📝 Four-tier กรอก'!W61="N"),"❓ NoK","🤔 Partial")))))</f>
        <v/>
      </c>
      <c r="I60" s="68">
        <f>IF(OR('📝 Four-tier กรอก'!X61="",'📝 Four-tier กรอก'!Z61=""),"—",IF(AND('📝 Four-tier กรอก'!X61='📝 Four-tier กรอก'!X51,'📝 Four-tier กรอก'!Y61="Y",'📝 Four-tier กรอก'!Z61='📝 Four-tier กรอก'!Z51,'📝 Four-tier กรอก'!AA61="Y"),"✅ Sound",IF(AND('📝 Four-tier กรอก'!X61='📝 Four-tier กรอก'!X51,'📝 Four-tier กรอก'!Y61="Y",'📝 Four-tier กรอก'!Z61&lt;&gt;'📝 Four-tier กรอก'!Z51,'📝 Four-tier กรอก'!AA61="Y"),"🎲 Guess",IF(AND('📝 Four-tier กรอก'!X61&lt;&gt;'📝 Four-tier กรอก'!X51,'📝 Four-tier กรอก'!Y61="Y",'📝 Four-tier กรอก'!Z61&lt;&gt;'📝 Four-tier กรอก'!Z51,'📝 Four-tier กรอก'!AA61="Y"),"❌ Misc.",IF(AND('📝 Four-tier กรอก'!X61&lt;&gt;'📝 Four-tier กรอก'!X51,'📝 Four-tier กรอก'!Y61="N",'📝 Four-tier กรอก'!Z61&lt;&gt;'📝 Four-tier กรอก'!Z51,'📝 Four-tier กรอก'!AA61="N"),"❓ NoK","🤔 Partial")))))</f>
        <v/>
      </c>
      <c r="J60" s="68">
        <f>IF(OR('📝 Four-tier กรอก'!AB61="",'📝 Four-tier กรอก'!AD61=""),"—",IF(AND('📝 Four-tier กรอก'!AB61='📝 Four-tier กรอก'!AB51,'📝 Four-tier กรอก'!AC61="Y",'📝 Four-tier กรอก'!AD61='📝 Four-tier กรอก'!AD51,'📝 Four-tier กรอก'!AE61="Y"),"✅ Sound",IF(AND('📝 Four-tier กรอก'!AB61='📝 Four-tier กรอก'!AB51,'📝 Four-tier กรอก'!AC61="Y",'📝 Four-tier กรอก'!AD61&lt;&gt;'📝 Four-tier กรอก'!AD51,'📝 Four-tier กรอก'!AE61="Y"),"🎲 Guess",IF(AND('📝 Four-tier กรอก'!AB61&lt;&gt;'📝 Four-tier กรอก'!AB51,'📝 Four-tier กรอก'!AC61="Y",'📝 Four-tier กรอก'!AD61&lt;&gt;'📝 Four-tier กรอก'!AD51,'📝 Four-tier กรอก'!AE61="Y"),"❌ Misc.",IF(AND('📝 Four-tier กรอก'!AB61&lt;&gt;'📝 Four-tier กรอก'!AB51,'📝 Four-tier กรอก'!AC61="N",'📝 Four-tier กรอก'!AD61&lt;&gt;'📝 Four-tier กรอก'!AD51,'📝 Four-tier กรอก'!AE61="N"),"❓ NoK","🤔 Partial")))))</f>
        <v/>
      </c>
      <c r="K60" s="68">
        <f>IF(OR('📝 Four-tier กรอก'!AF61="",'📝 Four-tier กรอก'!AH61=""),"—",IF(AND('📝 Four-tier กรอก'!AF61='📝 Four-tier กรอก'!AF51,'📝 Four-tier กรอก'!AG61="Y",'📝 Four-tier กรอก'!AH61='📝 Four-tier กรอก'!AH51,'📝 Four-tier กรอก'!AI61="Y"),"✅ Sound",IF(AND('📝 Four-tier กรอก'!AF61='📝 Four-tier กรอก'!AF51,'📝 Four-tier กรอก'!AG61="Y",'📝 Four-tier กรอก'!AH61&lt;&gt;'📝 Four-tier กรอก'!AH51,'📝 Four-tier กรอก'!AI61="Y"),"🎲 Guess",IF(AND('📝 Four-tier กรอก'!AF61&lt;&gt;'📝 Four-tier กรอก'!AF51,'📝 Four-tier กรอก'!AG61="Y",'📝 Four-tier กรอก'!AH61&lt;&gt;'📝 Four-tier กรอก'!AH51,'📝 Four-tier กรอก'!AI61="Y"),"❌ Misc.",IF(AND('📝 Four-tier กรอก'!AF61&lt;&gt;'📝 Four-tier กรอก'!AF51,'📝 Four-tier กรอก'!AG61="N",'📝 Four-tier กรอก'!AH61&lt;&gt;'📝 Four-tier กรอก'!AH51,'📝 Four-tier กรอก'!AI61="N"),"❓ NoK","🤔 Partial")))))</f>
        <v/>
      </c>
      <c r="L60" s="68">
        <f>IF(OR('📝 Four-tier กรอก'!AJ61="",'📝 Four-tier กรอก'!AL61=""),"—",IF(AND('📝 Four-tier กรอก'!AJ61='📝 Four-tier กรอก'!AJ51,'📝 Four-tier กรอก'!AK61="Y",'📝 Four-tier กรอก'!AL61='📝 Four-tier กรอก'!AL51,'📝 Four-tier กรอก'!AM61="Y"),"✅ Sound",IF(AND('📝 Four-tier กรอก'!AJ61='📝 Four-tier กรอก'!AJ51,'📝 Four-tier กรอก'!AK61="Y",'📝 Four-tier กรอก'!AL61&lt;&gt;'📝 Four-tier กรอก'!AL51,'📝 Four-tier กรอก'!AM61="Y"),"🎲 Guess",IF(AND('📝 Four-tier กรอก'!AJ61&lt;&gt;'📝 Four-tier กรอก'!AJ51,'📝 Four-tier กรอก'!AK61="Y",'📝 Four-tier กรอก'!AL61&lt;&gt;'📝 Four-tier กรอก'!AL51,'📝 Four-tier กรอก'!AM61="Y"),"❌ Misc.",IF(AND('📝 Four-tier กรอก'!AJ61&lt;&gt;'📝 Four-tier กรอก'!AJ51,'📝 Four-tier กรอก'!AK61="N",'📝 Four-tier กรอก'!AL61&lt;&gt;'📝 Four-tier กรอก'!AL51,'📝 Four-tier กรอก'!AM61="N"),"❓ NoK","🤔 Partial")))))</f>
        <v/>
      </c>
      <c r="M60" s="68">
        <f>IF(OR('📝 Four-tier กรอก'!AN61="",'📝 Four-tier กรอก'!AP61=""),"—",IF(AND('📝 Four-tier กรอก'!AN61='📝 Four-tier กรอก'!AN51,'📝 Four-tier กรอก'!AO61="Y",'📝 Four-tier กรอก'!AP61='📝 Four-tier กรอก'!AP51,'📝 Four-tier กรอก'!AQ61="Y"),"✅ Sound",IF(AND('📝 Four-tier กรอก'!AN61='📝 Four-tier กรอก'!AN51,'📝 Four-tier กรอก'!AO61="Y",'📝 Four-tier กรอก'!AP61&lt;&gt;'📝 Four-tier กรอก'!AP51,'📝 Four-tier กรอก'!AQ61="Y"),"🎲 Guess",IF(AND('📝 Four-tier กรอก'!AN61&lt;&gt;'📝 Four-tier กรอก'!AN51,'📝 Four-tier กรอก'!AO61="Y",'📝 Four-tier กรอก'!AP61&lt;&gt;'📝 Four-tier กรอก'!AP51,'📝 Four-tier กรอก'!AQ61="Y"),"❌ Misc.",IF(AND('📝 Four-tier กรอก'!AN61&lt;&gt;'📝 Four-tier กรอก'!AN51,'📝 Four-tier กรอก'!AO61="N",'📝 Four-tier กรอก'!AP61&lt;&gt;'📝 Four-tier กรอก'!AP51,'📝 Four-tier กรอก'!AQ61="N"),"❓ NoK","🤔 Partial")))))</f>
        <v/>
      </c>
      <c r="N60" s="68">
        <f>IF(OR('📝 Four-tier กรอก'!AR61="",'📝 Four-tier กรอก'!AT61=""),"—",IF(AND('📝 Four-tier กรอก'!AR61='📝 Four-tier กรอก'!AR51,'📝 Four-tier กรอก'!AS61="Y",'📝 Four-tier กรอก'!AT61='📝 Four-tier กรอก'!AT51,'📝 Four-tier กรอก'!AU61="Y"),"✅ Sound",IF(AND('📝 Four-tier กรอก'!AR61='📝 Four-tier กรอก'!AR51,'📝 Four-tier กรอก'!AS61="Y",'📝 Four-tier กรอก'!AT61&lt;&gt;'📝 Four-tier กรอก'!AT51,'📝 Four-tier กรอก'!AU61="Y"),"🎲 Guess",IF(AND('📝 Four-tier กรอก'!AR61&lt;&gt;'📝 Four-tier กรอก'!AR51,'📝 Four-tier กรอก'!AS61="Y",'📝 Four-tier กรอก'!AT61&lt;&gt;'📝 Four-tier กรอก'!AT51,'📝 Four-tier กรอก'!AU61="Y"),"❌ Misc.",IF(AND('📝 Four-tier กรอก'!AR61&lt;&gt;'📝 Four-tier กรอก'!AR51,'📝 Four-tier กรอก'!AS61="N",'📝 Four-tier กรอก'!AT61&lt;&gt;'📝 Four-tier กรอก'!AT51,'📝 Four-tier กรอก'!AU61="N"),"❓ NoK","🤔 Partial")))))</f>
        <v/>
      </c>
      <c r="O60" s="68">
        <f>IF(OR('📝 Four-tier กรอก'!AV61="",'📝 Four-tier กรอก'!AX61=""),"—",IF(AND('📝 Four-tier กรอก'!AV61='📝 Four-tier กรอก'!AV51,'📝 Four-tier กรอก'!AW61="Y",'📝 Four-tier กรอก'!AX61='📝 Four-tier กรอก'!AX51,'📝 Four-tier กรอก'!AY61="Y"),"✅ Sound",IF(AND('📝 Four-tier กรอก'!AV61='📝 Four-tier กรอก'!AV51,'📝 Four-tier กรอก'!AW61="Y",'📝 Four-tier กรอก'!AX61&lt;&gt;'📝 Four-tier กรอก'!AX51,'📝 Four-tier กรอก'!AY61="Y"),"🎲 Guess",IF(AND('📝 Four-tier กรอก'!AV61&lt;&gt;'📝 Four-tier กรอก'!AV51,'📝 Four-tier กรอก'!AW61="Y",'📝 Four-tier กรอก'!AX61&lt;&gt;'📝 Four-tier กรอก'!AX51,'📝 Four-tier กรอก'!AY61="Y"),"❌ Misc.",IF(AND('📝 Four-tier กรอก'!AV61&lt;&gt;'📝 Four-tier กรอก'!AV51,'📝 Four-tier กรอก'!AW61="N",'📝 Four-tier กรอก'!AX61&lt;&gt;'📝 Four-tier กรอก'!AX51,'📝 Four-tier กรอก'!AY61="N"),"❓ NoK","🤔 Partial")))))</f>
        <v/>
      </c>
      <c r="P60" s="68">
        <f>IF(OR('📝 Four-tier กรอก'!AZ61="",'📝 Four-tier กรอก'!BB61=""),"—",IF(AND('📝 Four-tier กรอก'!AZ61='📝 Four-tier กรอก'!AZ51,'📝 Four-tier กรอก'!BA61="Y",'📝 Four-tier กรอก'!BB61='📝 Four-tier กรอก'!BB51,'📝 Four-tier กรอก'!BC61="Y"),"✅ Sound",IF(AND('📝 Four-tier กรอก'!AZ61='📝 Four-tier กรอก'!AZ51,'📝 Four-tier กรอก'!BA61="Y",'📝 Four-tier กรอก'!BB61&lt;&gt;'📝 Four-tier กรอก'!BB51,'📝 Four-tier กรอก'!BC61="Y"),"🎲 Guess",IF(AND('📝 Four-tier กรอก'!AZ61&lt;&gt;'📝 Four-tier กรอก'!AZ51,'📝 Four-tier กรอก'!BA61="Y",'📝 Four-tier กรอก'!BB61&lt;&gt;'📝 Four-tier กรอก'!BB51,'📝 Four-tier กรอก'!BC61="Y"),"❌ Misc.",IF(AND('📝 Four-tier กรอก'!AZ61&lt;&gt;'📝 Four-tier กรอก'!AZ51,'📝 Four-tier กรอก'!BA61="N",'📝 Four-tier กรอก'!BB61&lt;&gt;'📝 Four-tier กรอก'!BB51,'📝 Four-tier กรอก'!BC61="N"),"❓ NoK","🤔 Partial")))))</f>
        <v/>
      </c>
      <c r="Q60" s="68">
        <f>IF(OR('📝 Four-tier กรอก'!BD61="",'📝 Four-tier กรอก'!BF61=""),"—",IF(AND('📝 Four-tier กรอก'!BD61='📝 Four-tier กรอก'!BD51,'📝 Four-tier กรอก'!BE61="Y",'📝 Four-tier กรอก'!BF61='📝 Four-tier กรอก'!BF51,'📝 Four-tier กรอก'!BG61="Y"),"✅ Sound",IF(AND('📝 Four-tier กรอก'!BD61='📝 Four-tier กรอก'!BD51,'📝 Four-tier กรอก'!BE61="Y",'📝 Four-tier กรอก'!BF61&lt;&gt;'📝 Four-tier กรอก'!BF51,'📝 Four-tier กรอก'!BG61="Y"),"🎲 Guess",IF(AND('📝 Four-tier กรอก'!BD61&lt;&gt;'📝 Four-tier กรอก'!BD51,'📝 Four-tier กรอก'!BE61="Y",'📝 Four-tier กรอก'!BF61&lt;&gt;'📝 Four-tier กรอก'!BF51,'📝 Four-tier กรอก'!BG61="Y"),"❌ Misc.",IF(AND('📝 Four-tier กรอก'!BD61&lt;&gt;'📝 Four-tier กรอก'!BD51,'📝 Four-tier กรอก'!BE61="N",'📝 Four-tier กรอก'!BF61&lt;&gt;'📝 Four-tier กรอก'!BF51,'📝 Four-tier กรอก'!BG61="N"),"❓ NoK","🤔 Partial")))))</f>
        <v/>
      </c>
      <c r="R60" s="68">
        <f>IF(OR('📝 Four-tier กรอก'!BH61="",'📝 Four-tier กรอก'!BJ61=""),"—",IF(AND('📝 Four-tier กรอก'!BH61='📝 Four-tier กรอก'!BH51,'📝 Four-tier กรอก'!BI61="Y",'📝 Four-tier กรอก'!BJ61='📝 Four-tier กรอก'!BJ51,'📝 Four-tier กรอก'!BK61="Y"),"✅ Sound",IF(AND('📝 Four-tier กรอก'!BH61='📝 Four-tier กรอก'!BH51,'📝 Four-tier กรอก'!BI61="Y",'📝 Four-tier กรอก'!BJ61&lt;&gt;'📝 Four-tier กรอก'!BJ51,'📝 Four-tier กรอก'!BK61="Y"),"🎲 Guess",IF(AND('📝 Four-tier กรอก'!BH61&lt;&gt;'📝 Four-tier กรอก'!BH51,'📝 Four-tier กรอก'!BI61="Y",'📝 Four-tier กรอก'!BJ61&lt;&gt;'📝 Four-tier กรอก'!BJ51,'📝 Four-tier กรอก'!BK61="Y"),"❌ Misc.",IF(AND('📝 Four-tier กรอก'!BH61&lt;&gt;'📝 Four-tier กรอก'!BH51,'📝 Four-tier กรอก'!BI61="N",'📝 Four-tier กรอก'!BJ61&lt;&gt;'📝 Four-tier กรอก'!BJ51,'📝 Four-tier กรอก'!BK61="N"),"❓ NoK","🤔 Partial")))))</f>
        <v/>
      </c>
      <c r="S60" s="68">
        <f>IF(OR('📝 Four-tier กรอก'!BL61="",'📝 Four-tier กรอก'!BN61=""),"—",IF(AND('📝 Four-tier กรอก'!BL61='📝 Four-tier กรอก'!BL51,'📝 Four-tier กรอก'!BM61="Y",'📝 Four-tier กรอก'!BN61='📝 Four-tier กรอก'!BN51,'📝 Four-tier กรอก'!BO61="Y"),"✅ Sound",IF(AND('📝 Four-tier กรอก'!BL61='📝 Four-tier กรอก'!BL51,'📝 Four-tier กรอก'!BM61="Y",'📝 Four-tier กรอก'!BN61&lt;&gt;'📝 Four-tier กรอก'!BN51,'📝 Four-tier กรอก'!BO61="Y"),"🎲 Guess",IF(AND('📝 Four-tier กรอก'!BL61&lt;&gt;'📝 Four-tier กรอก'!BL51,'📝 Four-tier กรอก'!BM61="Y",'📝 Four-tier กรอก'!BN61&lt;&gt;'📝 Four-tier กรอก'!BN51,'📝 Four-tier กรอก'!BO61="Y"),"❌ Misc.",IF(AND('📝 Four-tier กรอก'!BL61&lt;&gt;'📝 Four-tier กรอก'!BL51,'📝 Four-tier กรอก'!BM61="N",'📝 Four-tier กรอก'!BN61&lt;&gt;'📝 Four-tier กรอก'!BN51,'📝 Four-tier กรอก'!BO61="N"),"❓ NoK","🤔 Partial")))))</f>
        <v/>
      </c>
      <c r="T60" s="68">
        <f>IF(OR('📝 Four-tier กรอก'!BP61="",'📝 Four-tier กรอก'!BR61=""),"—",IF(AND('📝 Four-tier กรอก'!BP61='📝 Four-tier กรอก'!BP51,'📝 Four-tier กรอก'!BQ61="Y",'📝 Four-tier กรอก'!BR61='📝 Four-tier กรอก'!BR51,'📝 Four-tier กรอก'!BS61="Y"),"✅ Sound",IF(AND('📝 Four-tier กรอก'!BP61='📝 Four-tier กรอก'!BP51,'📝 Four-tier กรอก'!BQ61="Y",'📝 Four-tier กรอก'!BR61&lt;&gt;'📝 Four-tier กรอก'!BR51,'📝 Four-tier กรอก'!BS61="Y"),"🎲 Guess",IF(AND('📝 Four-tier กรอก'!BP61&lt;&gt;'📝 Four-tier กรอก'!BP51,'📝 Four-tier กรอก'!BQ61="Y",'📝 Four-tier กรอก'!BR61&lt;&gt;'📝 Four-tier กรอก'!BR51,'📝 Four-tier กรอก'!BS61="Y"),"❌ Misc.",IF(AND('📝 Four-tier กรอก'!BP61&lt;&gt;'📝 Four-tier กรอก'!BP51,'📝 Four-tier กรอก'!BQ61="N",'📝 Four-tier กรอก'!BR61&lt;&gt;'📝 Four-tier กรอก'!BR51,'📝 Four-tier กรอก'!BS61="N"),"❓ NoK","🤔 Partial")))))</f>
        <v/>
      </c>
      <c r="U60" s="68">
        <f>IF(OR('📝 Four-tier กรอก'!BT61="",'📝 Four-tier กรอก'!BV61=""),"—",IF(AND('📝 Four-tier กรอก'!BT61='📝 Four-tier กรอก'!BT51,'📝 Four-tier กรอก'!BU61="Y",'📝 Four-tier กรอก'!BV61='📝 Four-tier กรอก'!BV51,'📝 Four-tier กรอก'!BW61="Y"),"✅ Sound",IF(AND('📝 Four-tier กรอก'!BT61='📝 Four-tier กรอก'!BT51,'📝 Four-tier กรอก'!BU61="Y",'📝 Four-tier กรอก'!BV61&lt;&gt;'📝 Four-tier กรอก'!BV51,'📝 Four-tier กรอก'!BW61="Y"),"🎲 Guess",IF(AND('📝 Four-tier กรอก'!BT61&lt;&gt;'📝 Four-tier กรอก'!BT51,'📝 Four-tier กรอก'!BU61="Y",'📝 Four-tier กรอก'!BV61&lt;&gt;'📝 Four-tier กรอก'!BV51,'📝 Four-tier กรอก'!BW61="Y"),"❌ Misc.",IF(AND('📝 Four-tier กรอก'!BT61&lt;&gt;'📝 Four-tier กรอก'!BT51,'📝 Four-tier กรอก'!BU61="N",'📝 Four-tier กรอก'!BV61&lt;&gt;'📝 Four-tier กรอก'!BV51,'📝 Four-tier กรอก'!BW61="N"),"❓ NoK","🤔 Partial")))))</f>
        <v/>
      </c>
      <c r="V60" s="68">
        <f>IF(OR('📝 Four-tier กรอก'!BX61="",'📝 Four-tier กรอก'!BZ61=""),"—",IF(AND('📝 Four-tier กรอก'!BX61='📝 Four-tier กรอก'!BX51,'📝 Four-tier กรอก'!BY61="Y",'📝 Four-tier กรอก'!BZ61='📝 Four-tier กรอก'!BZ51,'📝 Four-tier กรอก'!CA61="Y"),"✅ Sound",IF(AND('📝 Four-tier กรอก'!BX61='📝 Four-tier กรอก'!BX51,'📝 Four-tier กรอก'!BY61="Y",'📝 Four-tier กรอก'!BZ61&lt;&gt;'📝 Four-tier กรอก'!BZ51,'📝 Four-tier กรอก'!CA61="Y"),"🎲 Guess",IF(AND('📝 Four-tier กรอก'!BX61&lt;&gt;'📝 Four-tier กรอก'!BX51,'📝 Four-tier กรอก'!BY61="Y",'📝 Four-tier กรอก'!BZ61&lt;&gt;'📝 Four-tier กรอก'!BZ51,'📝 Four-tier กรอก'!CA61="Y"),"❌ Misc.",IF(AND('📝 Four-tier กรอก'!BX61&lt;&gt;'📝 Four-tier กรอก'!BX51,'📝 Four-tier กรอก'!BY61="N",'📝 Four-tier กรอก'!BZ61&lt;&gt;'📝 Four-tier กรอก'!BZ51,'📝 Four-tier กรอก'!CA61="N"),"❓ NoK","🤔 Partial")))))</f>
        <v/>
      </c>
      <c r="W60" s="68">
        <f>IF(OR('📝 Four-tier กรอก'!CB61="",'📝 Four-tier กรอก'!CD61=""),"—",IF(AND('📝 Four-tier กรอก'!CB61='📝 Four-tier กรอก'!CB51,'📝 Four-tier กรอก'!CC61="Y",'📝 Four-tier กรอก'!CD61='📝 Four-tier กรอก'!CD51,'📝 Four-tier กรอก'!CE61="Y"),"✅ Sound",IF(AND('📝 Four-tier กรอก'!CB61='📝 Four-tier กรอก'!CB51,'📝 Four-tier กรอก'!CC61="Y",'📝 Four-tier กรอก'!CD61&lt;&gt;'📝 Four-tier กรอก'!CD51,'📝 Four-tier กรอก'!CE61="Y"),"🎲 Guess",IF(AND('📝 Four-tier กรอก'!CB61&lt;&gt;'📝 Four-tier กรอก'!CB51,'📝 Four-tier กรอก'!CC61="Y",'📝 Four-tier กรอก'!CD61&lt;&gt;'📝 Four-tier กรอก'!CD51,'📝 Four-tier กรอก'!CE61="Y"),"❌ Misc.",IF(AND('📝 Four-tier กรอก'!CB61&lt;&gt;'📝 Four-tier กรอก'!CB51,'📝 Four-tier กรอก'!CC61="N",'📝 Four-tier กรอก'!CD61&lt;&gt;'📝 Four-tier กรอก'!CD51,'📝 Four-tier กรอก'!CE61="N"),"❓ NoK","🤔 Partial")))))</f>
        <v/>
      </c>
      <c r="X60" s="37">
        <f>COUNTIF(D60:W60,"✅ Sound")</f>
        <v/>
      </c>
      <c r="Y60" s="37">
        <f>COUNTIF(D60:W60,"❌ Misc.")</f>
        <v/>
      </c>
      <c r="Z60" s="37">
        <f>COUNTIF(D60:W60,"🎲 Guess")</f>
        <v/>
      </c>
      <c r="AA60" s="37">
        <f>COUNTIF(D60:W60,"❓ NoK")</f>
        <v/>
      </c>
    </row>
    <row r="61" ht="18" customHeight="1">
      <c r="B61" s="46">
        <f>'📝 Four-tier กรอก'!B62</f>
        <v/>
      </c>
      <c r="C61" s="47">
        <f>'📝 Four-tier กรอก'!C62</f>
        <v/>
      </c>
      <c r="D61" s="67">
        <f>IF(OR('📝 Four-tier กรอก'!D62="",'📝 Four-tier กรอก'!F62=""),"—",IF(AND('📝 Four-tier กรอก'!D62='📝 Four-tier กรอก'!D51,'📝 Four-tier กรอก'!E62="Y",'📝 Four-tier กรอก'!F62='📝 Four-tier กรอก'!F51,'📝 Four-tier กรอก'!G62="Y"),"✅ Sound",IF(AND('📝 Four-tier กรอก'!D62='📝 Four-tier กรอก'!D51,'📝 Four-tier กรอก'!E62="Y",'📝 Four-tier กรอก'!F62&lt;&gt;'📝 Four-tier กรอก'!F51,'📝 Four-tier กรอก'!G62="Y"),"🎲 Guess",IF(AND('📝 Four-tier กรอก'!D62&lt;&gt;'📝 Four-tier กรอก'!D51,'📝 Four-tier กรอก'!E62="Y",'📝 Four-tier กรอก'!F62&lt;&gt;'📝 Four-tier กรอก'!F51,'📝 Four-tier กรอก'!G62="Y"),"❌ Misc.",IF(AND('📝 Four-tier กรอก'!D62&lt;&gt;'📝 Four-tier กรอก'!D51,'📝 Four-tier กรอก'!E62="N",'📝 Four-tier กรอก'!F62&lt;&gt;'📝 Four-tier กรอก'!F51,'📝 Four-tier กรอก'!G62="N"),"❓ NoK","🤔 Partial")))))</f>
        <v/>
      </c>
      <c r="E61" s="67">
        <f>IF(OR('📝 Four-tier กรอก'!H62="",'📝 Four-tier กรอก'!J62=""),"—",IF(AND('📝 Four-tier กรอก'!H62='📝 Four-tier กรอก'!H51,'📝 Four-tier กรอก'!I62="Y",'📝 Four-tier กรอก'!J62='📝 Four-tier กรอก'!J51,'📝 Four-tier กรอก'!K62="Y"),"✅ Sound",IF(AND('📝 Four-tier กรอก'!H62='📝 Four-tier กรอก'!H51,'📝 Four-tier กรอก'!I62="Y",'📝 Four-tier กรอก'!J62&lt;&gt;'📝 Four-tier กรอก'!J51,'📝 Four-tier กรอก'!K62="Y"),"🎲 Guess",IF(AND('📝 Four-tier กรอก'!H62&lt;&gt;'📝 Four-tier กรอก'!H51,'📝 Four-tier กรอก'!I62="Y",'📝 Four-tier กรอก'!J62&lt;&gt;'📝 Four-tier กรอก'!J51,'📝 Four-tier กรอก'!K62="Y"),"❌ Misc.",IF(AND('📝 Four-tier กรอก'!H62&lt;&gt;'📝 Four-tier กรอก'!H51,'📝 Four-tier กรอก'!I62="N",'📝 Four-tier กรอก'!J62&lt;&gt;'📝 Four-tier กรอก'!J51,'📝 Four-tier กรอก'!K62="N"),"❓ NoK","🤔 Partial")))))</f>
        <v/>
      </c>
      <c r="F61" s="67">
        <f>IF(OR('📝 Four-tier กรอก'!L62="",'📝 Four-tier กรอก'!N62=""),"—",IF(AND('📝 Four-tier กรอก'!L62='📝 Four-tier กรอก'!L51,'📝 Four-tier กรอก'!M62="Y",'📝 Four-tier กรอก'!N62='📝 Four-tier กรอก'!N51,'📝 Four-tier กรอก'!O62="Y"),"✅ Sound",IF(AND('📝 Four-tier กรอก'!L62='📝 Four-tier กรอก'!L51,'📝 Four-tier กรอก'!M62="Y",'📝 Four-tier กรอก'!N62&lt;&gt;'📝 Four-tier กรอก'!N51,'📝 Four-tier กรอก'!O62="Y"),"🎲 Guess",IF(AND('📝 Four-tier กรอก'!L62&lt;&gt;'📝 Four-tier กรอก'!L51,'📝 Four-tier กรอก'!M62="Y",'📝 Four-tier กรอก'!N62&lt;&gt;'📝 Four-tier กรอก'!N51,'📝 Four-tier กรอก'!O62="Y"),"❌ Misc.",IF(AND('📝 Four-tier กรอก'!L62&lt;&gt;'📝 Four-tier กรอก'!L51,'📝 Four-tier กรอก'!M62="N",'📝 Four-tier กรอก'!N62&lt;&gt;'📝 Four-tier กรอก'!N51,'📝 Four-tier กรอก'!O62="N"),"❓ NoK","🤔 Partial")))))</f>
        <v/>
      </c>
      <c r="G61" s="67">
        <f>IF(OR('📝 Four-tier กรอก'!P62="",'📝 Four-tier กรอก'!R62=""),"—",IF(AND('📝 Four-tier กรอก'!P62='📝 Four-tier กรอก'!P51,'📝 Four-tier กรอก'!Q62="Y",'📝 Four-tier กรอก'!R62='📝 Four-tier กรอก'!R51,'📝 Four-tier กรอก'!S62="Y"),"✅ Sound",IF(AND('📝 Four-tier กรอก'!P62='📝 Four-tier กรอก'!P51,'📝 Four-tier กรอก'!Q62="Y",'📝 Four-tier กรอก'!R62&lt;&gt;'📝 Four-tier กรอก'!R51,'📝 Four-tier กรอก'!S62="Y"),"🎲 Guess",IF(AND('📝 Four-tier กรอก'!P62&lt;&gt;'📝 Four-tier กรอก'!P51,'📝 Four-tier กรอก'!Q62="Y",'📝 Four-tier กรอก'!R62&lt;&gt;'📝 Four-tier กรอก'!R51,'📝 Four-tier กรอก'!S62="Y"),"❌ Misc.",IF(AND('📝 Four-tier กรอก'!P62&lt;&gt;'📝 Four-tier กรอก'!P51,'📝 Four-tier กรอก'!Q62="N",'📝 Four-tier กรอก'!R62&lt;&gt;'📝 Four-tier กรอก'!R51,'📝 Four-tier กรอก'!S62="N"),"❓ NoK","🤔 Partial")))))</f>
        <v/>
      </c>
      <c r="H61" s="67">
        <f>IF(OR('📝 Four-tier กรอก'!T62="",'📝 Four-tier กรอก'!V62=""),"—",IF(AND('📝 Four-tier กรอก'!T62='📝 Four-tier กรอก'!T51,'📝 Four-tier กรอก'!U62="Y",'📝 Four-tier กรอก'!V62='📝 Four-tier กรอก'!V51,'📝 Four-tier กรอก'!W62="Y"),"✅ Sound",IF(AND('📝 Four-tier กรอก'!T62='📝 Four-tier กรอก'!T51,'📝 Four-tier กรอก'!U62="Y",'📝 Four-tier กรอก'!V62&lt;&gt;'📝 Four-tier กรอก'!V51,'📝 Four-tier กรอก'!W62="Y"),"🎲 Guess",IF(AND('📝 Four-tier กรอก'!T62&lt;&gt;'📝 Four-tier กรอก'!T51,'📝 Four-tier กรอก'!U62="Y",'📝 Four-tier กรอก'!V62&lt;&gt;'📝 Four-tier กรอก'!V51,'📝 Four-tier กรอก'!W62="Y"),"❌ Misc.",IF(AND('📝 Four-tier กรอก'!T62&lt;&gt;'📝 Four-tier กรอก'!T51,'📝 Four-tier กรอก'!U62="N",'📝 Four-tier กรอก'!V62&lt;&gt;'📝 Four-tier กรอก'!V51,'📝 Four-tier กรอก'!W62="N"),"❓ NoK","🤔 Partial")))))</f>
        <v/>
      </c>
      <c r="I61" s="67">
        <f>IF(OR('📝 Four-tier กรอก'!X62="",'📝 Four-tier กรอก'!Z62=""),"—",IF(AND('📝 Four-tier กรอก'!X62='📝 Four-tier กรอก'!X51,'📝 Four-tier กรอก'!Y62="Y",'📝 Four-tier กรอก'!Z62='📝 Four-tier กรอก'!Z51,'📝 Four-tier กรอก'!AA62="Y"),"✅ Sound",IF(AND('📝 Four-tier กรอก'!X62='📝 Four-tier กรอก'!X51,'📝 Four-tier กรอก'!Y62="Y",'📝 Four-tier กรอก'!Z62&lt;&gt;'📝 Four-tier กรอก'!Z51,'📝 Four-tier กรอก'!AA62="Y"),"🎲 Guess",IF(AND('📝 Four-tier กรอก'!X62&lt;&gt;'📝 Four-tier กรอก'!X51,'📝 Four-tier กรอก'!Y62="Y",'📝 Four-tier กรอก'!Z62&lt;&gt;'📝 Four-tier กรอก'!Z51,'📝 Four-tier กรอก'!AA62="Y"),"❌ Misc.",IF(AND('📝 Four-tier กรอก'!X62&lt;&gt;'📝 Four-tier กรอก'!X51,'📝 Four-tier กรอก'!Y62="N",'📝 Four-tier กรอก'!Z62&lt;&gt;'📝 Four-tier กรอก'!Z51,'📝 Four-tier กรอก'!AA62="N"),"❓ NoK","🤔 Partial")))))</f>
        <v/>
      </c>
      <c r="J61" s="67">
        <f>IF(OR('📝 Four-tier กรอก'!AB62="",'📝 Four-tier กรอก'!AD62=""),"—",IF(AND('📝 Four-tier กรอก'!AB62='📝 Four-tier กรอก'!AB51,'📝 Four-tier กรอก'!AC62="Y",'📝 Four-tier กรอก'!AD62='📝 Four-tier กรอก'!AD51,'📝 Four-tier กรอก'!AE62="Y"),"✅ Sound",IF(AND('📝 Four-tier กรอก'!AB62='📝 Four-tier กรอก'!AB51,'📝 Four-tier กรอก'!AC62="Y",'📝 Four-tier กรอก'!AD62&lt;&gt;'📝 Four-tier กรอก'!AD51,'📝 Four-tier กรอก'!AE62="Y"),"🎲 Guess",IF(AND('📝 Four-tier กรอก'!AB62&lt;&gt;'📝 Four-tier กรอก'!AB51,'📝 Four-tier กรอก'!AC62="Y",'📝 Four-tier กรอก'!AD62&lt;&gt;'📝 Four-tier กรอก'!AD51,'📝 Four-tier กรอก'!AE62="Y"),"❌ Misc.",IF(AND('📝 Four-tier กรอก'!AB62&lt;&gt;'📝 Four-tier กรอก'!AB51,'📝 Four-tier กรอก'!AC62="N",'📝 Four-tier กรอก'!AD62&lt;&gt;'📝 Four-tier กรอก'!AD51,'📝 Four-tier กรอก'!AE62="N"),"❓ NoK","🤔 Partial")))))</f>
        <v/>
      </c>
      <c r="K61" s="67">
        <f>IF(OR('📝 Four-tier กรอก'!AF62="",'📝 Four-tier กรอก'!AH62=""),"—",IF(AND('📝 Four-tier กรอก'!AF62='📝 Four-tier กรอก'!AF51,'📝 Four-tier กรอก'!AG62="Y",'📝 Four-tier กรอก'!AH62='📝 Four-tier กรอก'!AH51,'📝 Four-tier กรอก'!AI62="Y"),"✅ Sound",IF(AND('📝 Four-tier กรอก'!AF62='📝 Four-tier กรอก'!AF51,'📝 Four-tier กรอก'!AG62="Y",'📝 Four-tier กรอก'!AH62&lt;&gt;'📝 Four-tier กรอก'!AH51,'📝 Four-tier กรอก'!AI62="Y"),"🎲 Guess",IF(AND('📝 Four-tier กรอก'!AF62&lt;&gt;'📝 Four-tier กรอก'!AF51,'📝 Four-tier กรอก'!AG62="Y",'📝 Four-tier กรอก'!AH62&lt;&gt;'📝 Four-tier กรอก'!AH51,'📝 Four-tier กรอก'!AI62="Y"),"❌ Misc.",IF(AND('📝 Four-tier กรอก'!AF62&lt;&gt;'📝 Four-tier กรอก'!AF51,'📝 Four-tier กรอก'!AG62="N",'📝 Four-tier กรอก'!AH62&lt;&gt;'📝 Four-tier กรอก'!AH51,'📝 Four-tier กรอก'!AI62="N"),"❓ NoK","🤔 Partial")))))</f>
        <v/>
      </c>
      <c r="L61" s="67">
        <f>IF(OR('📝 Four-tier กรอก'!AJ62="",'📝 Four-tier กรอก'!AL62=""),"—",IF(AND('📝 Four-tier กรอก'!AJ62='📝 Four-tier กรอก'!AJ51,'📝 Four-tier กรอก'!AK62="Y",'📝 Four-tier กรอก'!AL62='📝 Four-tier กรอก'!AL51,'📝 Four-tier กรอก'!AM62="Y"),"✅ Sound",IF(AND('📝 Four-tier กรอก'!AJ62='📝 Four-tier กรอก'!AJ51,'📝 Four-tier กรอก'!AK62="Y",'📝 Four-tier กรอก'!AL62&lt;&gt;'📝 Four-tier กรอก'!AL51,'📝 Four-tier กรอก'!AM62="Y"),"🎲 Guess",IF(AND('📝 Four-tier กรอก'!AJ62&lt;&gt;'📝 Four-tier กรอก'!AJ51,'📝 Four-tier กรอก'!AK62="Y",'📝 Four-tier กรอก'!AL62&lt;&gt;'📝 Four-tier กรอก'!AL51,'📝 Four-tier กรอก'!AM62="Y"),"❌ Misc.",IF(AND('📝 Four-tier กรอก'!AJ62&lt;&gt;'📝 Four-tier กรอก'!AJ51,'📝 Four-tier กรอก'!AK62="N",'📝 Four-tier กรอก'!AL62&lt;&gt;'📝 Four-tier กรอก'!AL51,'📝 Four-tier กรอก'!AM62="N"),"❓ NoK","🤔 Partial")))))</f>
        <v/>
      </c>
      <c r="M61" s="67">
        <f>IF(OR('📝 Four-tier กรอก'!AN62="",'📝 Four-tier กรอก'!AP62=""),"—",IF(AND('📝 Four-tier กรอก'!AN62='📝 Four-tier กรอก'!AN51,'📝 Four-tier กรอก'!AO62="Y",'📝 Four-tier กรอก'!AP62='📝 Four-tier กรอก'!AP51,'📝 Four-tier กรอก'!AQ62="Y"),"✅ Sound",IF(AND('📝 Four-tier กรอก'!AN62='📝 Four-tier กรอก'!AN51,'📝 Four-tier กรอก'!AO62="Y",'📝 Four-tier กรอก'!AP62&lt;&gt;'📝 Four-tier กรอก'!AP51,'📝 Four-tier กรอก'!AQ62="Y"),"🎲 Guess",IF(AND('📝 Four-tier กรอก'!AN62&lt;&gt;'📝 Four-tier กรอก'!AN51,'📝 Four-tier กรอก'!AO62="Y",'📝 Four-tier กรอก'!AP62&lt;&gt;'📝 Four-tier กรอก'!AP51,'📝 Four-tier กรอก'!AQ62="Y"),"❌ Misc.",IF(AND('📝 Four-tier กรอก'!AN62&lt;&gt;'📝 Four-tier กรอก'!AN51,'📝 Four-tier กรอก'!AO62="N",'📝 Four-tier กรอก'!AP62&lt;&gt;'📝 Four-tier กรอก'!AP51,'📝 Four-tier กรอก'!AQ62="N"),"❓ NoK","🤔 Partial")))))</f>
        <v/>
      </c>
      <c r="N61" s="67">
        <f>IF(OR('📝 Four-tier กรอก'!AR62="",'📝 Four-tier กรอก'!AT62=""),"—",IF(AND('📝 Four-tier กรอก'!AR62='📝 Four-tier กรอก'!AR51,'📝 Four-tier กรอก'!AS62="Y",'📝 Four-tier กรอก'!AT62='📝 Four-tier กรอก'!AT51,'📝 Four-tier กรอก'!AU62="Y"),"✅ Sound",IF(AND('📝 Four-tier กรอก'!AR62='📝 Four-tier กรอก'!AR51,'📝 Four-tier กรอก'!AS62="Y",'📝 Four-tier กรอก'!AT62&lt;&gt;'📝 Four-tier กรอก'!AT51,'📝 Four-tier กรอก'!AU62="Y"),"🎲 Guess",IF(AND('📝 Four-tier กรอก'!AR62&lt;&gt;'📝 Four-tier กรอก'!AR51,'📝 Four-tier กรอก'!AS62="Y",'📝 Four-tier กรอก'!AT62&lt;&gt;'📝 Four-tier กรอก'!AT51,'📝 Four-tier กรอก'!AU62="Y"),"❌ Misc.",IF(AND('📝 Four-tier กรอก'!AR62&lt;&gt;'📝 Four-tier กรอก'!AR51,'📝 Four-tier กรอก'!AS62="N",'📝 Four-tier กรอก'!AT62&lt;&gt;'📝 Four-tier กรอก'!AT51,'📝 Four-tier กรอก'!AU62="N"),"❓ NoK","🤔 Partial")))))</f>
        <v/>
      </c>
      <c r="O61" s="67">
        <f>IF(OR('📝 Four-tier กรอก'!AV62="",'📝 Four-tier กรอก'!AX62=""),"—",IF(AND('📝 Four-tier กรอก'!AV62='📝 Four-tier กรอก'!AV51,'📝 Four-tier กรอก'!AW62="Y",'📝 Four-tier กรอก'!AX62='📝 Four-tier กรอก'!AX51,'📝 Four-tier กรอก'!AY62="Y"),"✅ Sound",IF(AND('📝 Four-tier กรอก'!AV62='📝 Four-tier กรอก'!AV51,'📝 Four-tier กรอก'!AW62="Y",'📝 Four-tier กรอก'!AX62&lt;&gt;'📝 Four-tier กรอก'!AX51,'📝 Four-tier กรอก'!AY62="Y"),"🎲 Guess",IF(AND('📝 Four-tier กรอก'!AV62&lt;&gt;'📝 Four-tier กรอก'!AV51,'📝 Four-tier กรอก'!AW62="Y",'📝 Four-tier กรอก'!AX62&lt;&gt;'📝 Four-tier กรอก'!AX51,'📝 Four-tier กรอก'!AY62="Y"),"❌ Misc.",IF(AND('📝 Four-tier กรอก'!AV62&lt;&gt;'📝 Four-tier กรอก'!AV51,'📝 Four-tier กรอก'!AW62="N",'📝 Four-tier กรอก'!AX62&lt;&gt;'📝 Four-tier กรอก'!AX51,'📝 Four-tier กรอก'!AY62="N"),"❓ NoK","🤔 Partial")))))</f>
        <v/>
      </c>
      <c r="P61" s="67">
        <f>IF(OR('📝 Four-tier กรอก'!AZ62="",'📝 Four-tier กรอก'!BB62=""),"—",IF(AND('📝 Four-tier กรอก'!AZ62='📝 Four-tier กรอก'!AZ51,'📝 Four-tier กรอก'!BA62="Y",'📝 Four-tier กรอก'!BB62='📝 Four-tier กรอก'!BB51,'📝 Four-tier กรอก'!BC62="Y"),"✅ Sound",IF(AND('📝 Four-tier กรอก'!AZ62='📝 Four-tier กรอก'!AZ51,'📝 Four-tier กรอก'!BA62="Y",'📝 Four-tier กรอก'!BB62&lt;&gt;'📝 Four-tier กรอก'!BB51,'📝 Four-tier กรอก'!BC62="Y"),"🎲 Guess",IF(AND('📝 Four-tier กรอก'!AZ62&lt;&gt;'📝 Four-tier กรอก'!AZ51,'📝 Four-tier กรอก'!BA62="Y",'📝 Four-tier กรอก'!BB62&lt;&gt;'📝 Four-tier กรอก'!BB51,'📝 Four-tier กรอก'!BC62="Y"),"❌ Misc.",IF(AND('📝 Four-tier กรอก'!AZ62&lt;&gt;'📝 Four-tier กรอก'!AZ51,'📝 Four-tier กรอก'!BA62="N",'📝 Four-tier กรอก'!BB62&lt;&gt;'📝 Four-tier กรอก'!BB51,'📝 Four-tier กรอก'!BC62="N"),"❓ NoK","🤔 Partial")))))</f>
        <v/>
      </c>
      <c r="Q61" s="67">
        <f>IF(OR('📝 Four-tier กรอก'!BD62="",'📝 Four-tier กรอก'!BF62=""),"—",IF(AND('📝 Four-tier กรอก'!BD62='📝 Four-tier กรอก'!BD51,'📝 Four-tier กรอก'!BE62="Y",'📝 Four-tier กรอก'!BF62='📝 Four-tier กรอก'!BF51,'📝 Four-tier กรอก'!BG62="Y"),"✅ Sound",IF(AND('📝 Four-tier กรอก'!BD62='📝 Four-tier กรอก'!BD51,'📝 Four-tier กรอก'!BE62="Y",'📝 Four-tier กรอก'!BF62&lt;&gt;'📝 Four-tier กรอก'!BF51,'📝 Four-tier กรอก'!BG62="Y"),"🎲 Guess",IF(AND('📝 Four-tier กรอก'!BD62&lt;&gt;'📝 Four-tier กรอก'!BD51,'📝 Four-tier กรอก'!BE62="Y",'📝 Four-tier กรอก'!BF62&lt;&gt;'📝 Four-tier กรอก'!BF51,'📝 Four-tier กรอก'!BG62="Y"),"❌ Misc.",IF(AND('📝 Four-tier กรอก'!BD62&lt;&gt;'📝 Four-tier กรอก'!BD51,'📝 Four-tier กรอก'!BE62="N",'📝 Four-tier กรอก'!BF62&lt;&gt;'📝 Four-tier กรอก'!BF51,'📝 Four-tier กรอก'!BG62="N"),"❓ NoK","🤔 Partial")))))</f>
        <v/>
      </c>
      <c r="R61" s="67">
        <f>IF(OR('📝 Four-tier กรอก'!BH62="",'📝 Four-tier กรอก'!BJ62=""),"—",IF(AND('📝 Four-tier กรอก'!BH62='📝 Four-tier กรอก'!BH51,'📝 Four-tier กรอก'!BI62="Y",'📝 Four-tier กรอก'!BJ62='📝 Four-tier กรอก'!BJ51,'📝 Four-tier กรอก'!BK62="Y"),"✅ Sound",IF(AND('📝 Four-tier กรอก'!BH62='📝 Four-tier กรอก'!BH51,'📝 Four-tier กรอก'!BI62="Y",'📝 Four-tier กรอก'!BJ62&lt;&gt;'📝 Four-tier กรอก'!BJ51,'📝 Four-tier กรอก'!BK62="Y"),"🎲 Guess",IF(AND('📝 Four-tier กรอก'!BH62&lt;&gt;'📝 Four-tier กรอก'!BH51,'📝 Four-tier กรอก'!BI62="Y",'📝 Four-tier กรอก'!BJ62&lt;&gt;'📝 Four-tier กรอก'!BJ51,'📝 Four-tier กรอก'!BK62="Y"),"❌ Misc.",IF(AND('📝 Four-tier กรอก'!BH62&lt;&gt;'📝 Four-tier กรอก'!BH51,'📝 Four-tier กรอก'!BI62="N",'📝 Four-tier กรอก'!BJ62&lt;&gt;'📝 Four-tier กรอก'!BJ51,'📝 Four-tier กรอก'!BK62="N"),"❓ NoK","🤔 Partial")))))</f>
        <v/>
      </c>
      <c r="S61" s="67">
        <f>IF(OR('📝 Four-tier กรอก'!BL62="",'📝 Four-tier กรอก'!BN62=""),"—",IF(AND('📝 Four-tier กรอก'!BL62='📝 Four-tier กรอก'!BL51,'📝 Four-tier กรอก'!BM62="Y",'📝 Four-tier กรอก'!BN62='📝 Four-tier กรอก'!BN51,'📝 Four-tier กรอก'!BO62="Y"),"✅ Sound",IF(AND('📝 Four-tier กรอก'!BL62='📝 Four-tier กรอก'!BL51,'📝 Four-tier กรอก'!BM62="Y",'📝 Four-tier กรอก'!BN62&lt;&gt;'📝 Four-tier กรอก'!BN51,'📝 Four-tier กรอก'!BO62="Y"),"🎲 Guess",IF(AND('📝 Four-tier กรอก'!BL62&lt;&gt;'📝 Four-tier กรอก'!BL51,'📝 Four-tier กรอก'!BM62="Y",'📝 Four-tier กรอก'!BN62&lt;&gt;'📝 Four-tier กรอก'!BN51,'📝 Four-tier กรอก'!BO62="Y"),"❌ Misc.",IF(AND('📝 Four-tier กรอก'!BL62&lt;&gt;'📝 Four-tier กรอก'!BL51,'📝 Four-tier กรอก'!BM62="N",'📝 Four-tier กรอก'!BN62&lt;&gt;'📝 Four-tier กรอก'!BN51,'📝 Four-tier กรอก'!BO62="N"),"❓ NoK","🤔 Partial")))))</f>
        <v/>
      </c>
      <c r="T61" s="67">
        <f>IF(OR('📝 Four-tier กรอก'!BP62="",'📝 Four-tier กรอก'!BR62=""),"—",IF(AND('📝 Four-tier กรอก'!BP62='📝 Four-tier กรอก'!BP51,'📝 Four-tier กรอก'!BQ62="Y",'📝 Four-tier กรอก'!BR62='📝 Four-tier กรอก'!BR51,'📝 Four-tier กรอก'!BS62="Y"),"✅ Sound",IF(AND('📝 Four-tier กรอก'!BP62='📝 Four-tier กรอก'!BP51,'📝 Four-tier กรอก'!BQ62="Y",'📝 Four-tier กรอก'!BR62&lt;&gt;'📝 Four-tier กรอก'!BR51,'📝 Four-tier กรอก'!BS62="Y"),"🎲 Guess",IF(AND('📝 Four-tier กรอก'!BP62&lt;&gt;'📝 Four-tier กรอก'!BP51,'📝 Four-tier กรอก'!BQ62="Y",'📝 Four-tier กรอก'!BR62&lt;&gt;'📝 Four-tier กรอก'!BR51,'📝 Four-tier กรอก'!BS62="Y"),"❌ Misc.",IF(AND('📝 Four-tier กรอก'!BP62&lt;&gt;'📝 Four-tier กรอก'!BP51,'📝 Four-tier กรอก'!BQ62="N",'📝 Four-tier กรอก'!BR62&lt;&gt;'📝 Four-tier กรอก'!BR51,'📝 Four-tier กรอก'!BS62="N"),"❓ NoK","🤔 Partial")))))</f>
        <v/>
      </c>
      <c r="U61" s="67">
        <f>IF(OR('📝 Four-tier กรอก'!BT62="",'📝 Four-tier กรอก'!BV62=""),"—",IF(AND('📝 Four-tier กรอก'!BT62='📝 Four-tier กรอก'!BT51,'📝 Four-tier กรอก'!BU62="Y",'📝 Four-tier กรอก'!BV62='📝 Four-tier กรอก'!BV51,'📝 Four-tier กรอก'!BW62="Y"),"✅ Sound",IF(AND('📝 Four-tier กรอก'!BT62='📝 Four-tier กรอก'!BT51,'📝 Four-tier กรอก'!BU62="Y",'📝 Four-tier กรอก'!BV62&lt;&gt;'📝 Four-tier กรอก'!BV51,'📝 Four-tier กรอก'!BW62="Y"),"🎲 Guess",IF(AND('📝 Four-tier กรอก'!BT62&lt;&gt;'📝 Four-tier กรอก'!BT51,'📝 Four-tier กรอก'!BU62="Y",'📝 Four-tier กรอก'!BV62&lt;&gt;'📝 Four-tier กรอก'!BV51,'📝 Four-tier กรอก'!BW62="Y"),"❌ Misc.",IF(AND('📝 Four-tier กรอก'!BT62&lt;&gt;'📝 Four-tier กรอก'!BT51,'📝 Four-tier กรอก'!BU62="N",'📝 Four-tier กรอก'!BV62&lt;&gt;'📝 Four-tier กรอก'!BV51,'📝 Four-tier กรอก'!BW62="N"),"❓ NoK","🤔 Partial")))))</f>
        <v/>
      </c>
      <c r="V61" s="67">
        <f>IF(OR('📝 Four-tier กรอก'!BX62="",'📝 Four-tier กรอก'!BZ62=""),"—",IF(AND('📝 Four-tier กรอก'!BX62='📝 Four-tier กรอก'!BX51,'📝 Four-tier กรอก'!BY62="Y",'📝 Four-tier กรอก'!BZ62='📝 Four-tier กรอก'!BZ51,'📝 Four-tier กรอก'!CA62="Y"),"✅ Sound",IF(AND('📝 Four-tier กรอก'!BX62='📝 Four-tier กรอก'!BX51,'📝 Four-tier กรอก'!BY62="Y",'📝 Four-tier กรอก'!BZ62&lt;&gt;'📝 Four-tier กรอก'!BZ51,'📝 Four-tier กรอก'!CA62="Y"),"🎲 Guess",IF(AND('📝 Four-tier กรอก'!BX62&lt;&gt;'📝 Four-tier กรอก'!BX51,'📝 Four-tier กรอก'!BY62="Y",'📝 Four-tier กรอก'!BZ62&lt;&gt;'📝 Four-tier กรอก'!BZ51,'📝 Four-tier กรอก'!CA62="Y"),"❌ Misc.",IF(AND('📝 Four-tier กรอก'!BX62&lt;&gt;'📝 Four-tier กรอก'!BX51,'📝 Four-tier กรอก'!BY62="N",'📝 Four-tier กรอก'!BZ62&lt;&gt;'📝 Four-tier กรอก'!BZ51,'📝 Four-tier กรอก'!CA62="N"),"❓ NoK","🤔 Partial")))))</f>
        <v/>
      </c>
      <c r="W61" s="67">
        <f>IF(OR('📝 Four-tier กรอก'!CB62="",'📝 Four-tier กรอก'!CD62=""),"—",IF(AND('📝 Four-tier กรอก'!CB62='📝 Four-tier กรอก'!CB51,'📝 Four-tier กรอก'!CC62="Y",'📝 Four-tier กรอก'!CD62='📝 Four-tier กรอก'!CD51,'📝 Four-tier กรอก'!CE62="Y"),"✅ Sound",IF(AND('📝 Four-tier กรอก'!CB62='📝 Four-tier กรอก'!CB51,'📝 Four-tier กรอก'!CC62="Y",'📝 Four-tier กรอก'!CD62&lt;&gt;'📝 Four-tier กรอก'!CD51,'📝 Four-tier กรอก'!CE62="Y"),"🎲 Guess",IF(AND('📝 Four-tier กรอก'!CB62&lt;&gt;'📝 Four-tier กรอก'!CB51,'📝 Four-tier กรอก'!CC62="Y",'📝 Four-tier กรอก'!CD62&lt;&gt;'📝 Four-tier กรอก'!CD51,'📝 Four-tier กรอก'!CE62="Y"),"❌ Misc.",IF(AND('📝 Four-tier กรอก'!CB62&lt;&gt;'📝 Four-tier กรอก'!CB51,'📝 Four-tier กรอก'!CC62="N",'📝 Four-tier กรอก'!CD62&lt;&gt;'📝 Four-tier กรอก'!CD51,'📝 Four-tier กรอก'!CE62="N"),"❓ NoK","🤔 Partial")))))</f>
        <v/>
      </c>
      <c r="X61" s="37">
        <f>COUNTIF(D61:W61,"✅ Sound")</f>
        <v/>
      </c>
      <c r="Y61" s="37">
        <f>COUNTIF(D61:W61,"❌ Misc.")</f>
        <v/>
      </c>
      <c r="Z61" s="37">
        <f>COUNTIF(D61:W61,"🎲 Guess")</f>
        <v/>
      </c>
      <c r="AA61" s="37">
        <f>COUNTIF(D61:W61,"❓ NoK")</f>
        <v/>
      </c>
    </row>
    <row r="62" ht="18" customHeight="1">
      <c r="B62" s="46">
        <f>'📝 Four-tier กรอก'!B63</f>
        <v/>
      </c>
      <c r="C62" s="51">
        <f>'📝 Four-tier กรอก'!C63</f>
        <v/>
      </c>
      <c r="D62" s="68">
        <f>IF(OR('📝 Four-tier กรอก'!D63="",'📝 Four-tier กรอก'!F63=""),"—",IF(AND('📝 Four-tier กรอก'!D63='📝 Four-tier กรอก'!D51,'📝 Four-tier กรอก'!E63="Y",'📝 Four-tier กรอก'!F63='📝 Four-tier กรอก'!F51,'📝 Four-tier กรอก'!G63="Y"),"✅ Sound",IF(AND('📝 Four-tier กรอก'!D63='📝 Four-tier กรอก'!D51,'📝 Four-tier กรอก'!E63="Y",'📝 Four-tier กรอก'!F63&lt;&gt;'📝 Four-tier กรอก'!F51,'📝 Four-tier กรอก'!G63="Y"),"🎲 Guess",IF(AND('📝 Four-tier กรอก'!D63&lt;&gt;'📝 Four-tier กรอก'!D51,'📝 Four-tier กรอก'!E63="Y",'📝 Four-tier กรอก'!F63&lt;&gt;'📝 Four-tier กรอก'!F51,'📝 Four-tier กรอก'!G63="Y"),"❌ Misc.",IF(AND('📝 Four-tier กรอก'!D63&lt;&gt;'📝 Four-tier กรอก'!D51,'📝 Four-tier กรอก'!E63="N",'📝 Four-tier กรอก'!F63&lt;&gt;'📝 Four-tier กรอก'!F51,'📝 Four-tier กรอก'!G63="N"),"❓ NoK","🤔 Partial")))))</f>
        <v/>
      </c>
      <c r="E62" s="68">
        <f>IF(OR('📝 Four-tier กรอก'!H63="",'📝 Four-tier กรอก'!J63=""),"—",IF(AND('📝 Four-tier กรอก'!H63='📝 Four-tier กรอก'!H51,'📝 Four-tier กรอก'!I63="Y",'📝 Four-tier กรอก'!J63='📝 Four-tier กรอก'!J51,'📝 Four-tier กรอก'!K63="Y"),"✅ Sound",IF(AND('📝 Four-tier กรอก'!H63='📝 Four-tier กรอก'!H51,'📝 Four-tier กรอก'!I63="Y",'📝 Four-tier กรอก'!J63&lt;&gt;'📝 Four-tier กรอก'!J51,'📝 Four-tier กรอก'!K63="Y"),"🎲 Guess",IF(AND('📝 Four-tier กรอก'!H63&lt;&gt;'📝 Four-tier กรอก'!H51,'📝 Four-tier กรอก'!I63="Y",'📝 Four-tier กรอก'!J63&lt;&gt;'📝 Four-tier กรอก'!J51,'📝 Four-tier กรอก'!K63="Y"),"❌ Misc.",IF(AND('📝 Four-tier กรอก'!H63&lt;&gt;'📝 Four-tier กรอก'!H51,'📝 Four-tier กรอก'!I63="N",'📝 Four-tier กรอก'!J63&lt;&gt;'📝 Four-tier กรอก'!J51,'📝 Four-tier กรอก'!K63="N"),"❓ NoK","🤔 Partial")))))</f>
        <v/>
      </c>
      <c r="F62" s="68">
        <f>IF(OR('📝 Four-tier กรอก'!L63="",'📝 Four-tier กรอก'!N63=""),"—",IF(AND('📝 Four-tier กรอก'!L63='📝 Four-tier กรอก'!L51,'📝 Four-tier กรอก'!M63="Y",'📝 Four-tier กรอก'!N63='📝 Four-tier กรอก'!N51,'📝 Four-tier กรอก'!O63="Y"),"✅ Sound",IF(AND('📝 Four-tier กรอก'!L63='📝 Four-tier กรอก'!L51,'📝 Four-tier กรอก'!M63="Y",'📝 Four-tier กรอก'!N63&lt;&gt;'📝 Four-tier กรอก'!N51,'📝 Four-tier กรอก'!O63="Y"),"🎲 Guess",IF(AND('📝 Four-tier กรอก'!L63&lt;&gt;'📝 Four-tier กรอก'!L51,'📝 Four-tier กรอก'!M63="Y",'📝 Four-tier กรอก'!N63&lt;&gt;'📝 Four-tier กรอก'!N51,'📝 Four-tier กรอก'!O63="Y"),"❌ Misc.",IF(AND('📝 Four-tier กรอก'!L63&lt;&gt;'📝 Four-tier กรอก'!L51,'📝 Four-tier กรอก'!M63="N",'📝 Four-tier กรอก'!N63&lt;&gt;'📝 Four-tier กรอก'!N51,'📝 Four-tier กรอก'!O63="N"),"❓ NoK","🤔 Partial")))))</f>
        <v/>
      </c>
      <c r="G62" s="68">
        <f>IF(OR('📝 Four-tier กรอก'!P63="",'📝 Four-tier กรอก'!R63=""),"—",IF(AND('📝 Four-tier กรอก'!P63='📝 Four-tier กรอก'!P51,'📝 Four-tier กรอก'!Q63="Y",'📝 Four-tier กรอก'!R63='📝 Four-tier กรอก'!R51,'📝 Four-tier กรอก'!S63="Y"),"✅ Sound",IF(AND('📝 Four-tier กรอก'!P63='📝 Four-tier กรอก'!P51,'📝 Four-tier กรอก'!Q63="Y",'📝 Four-tier กรอก'!R63&lt;&gt;'📝 Four-tier กรอก'!R51,'📝 Four-tier กรอก'!S63="Y"),"🎲 Guess",IF(AND('📝 Four-tier กรอก'!P63&lt;&gt;'📝 Four-tier กรอก'!P51,'📝 Four-tier กรอก'!Q63="Y",'📝 Four-tier กรอก'!R63&lt;&gt;'📝 Four-tier กรอก'!R51,'📝 Four-tier กรอก'!S63="Y"),"❌ Misc.",IF(AND('📝 Four-tier กรอก'!P63&lt;&gt;'📝 Four-tier กรอก'!P51,'📝 Four-tier กรอก'!Q63="N",'📝 Four-tier กรอก'!R63&lt;&gt;'📝 Four-tier กรอก'!R51,'📝 Four-tier กรอก'!S63="N"),"❓ NoK","🤔 Partial")))))</f>
        <v/>
      </c>
      <c r="H62" s="68">
        <f>IF(OR('📝 Four-tier กรอก'!T63="",'📝 Four-tier กรอก'!V63=""),"—",IF(AND('📝 Four-tier กรอก'!T63='📝 Four-tier กรอก'!T51,'📝 Four-tier กรอก'!U63="Y",'📝 Four-tier กรอก'!V63='📝 Four-tier กรอก'!V51,'📝 Four-tier กรอก'!W63="Y"),"✅ Sound",IF(AND('📝 Four-tier กรอก'!T63='📝 Four-tier กรอก'!T51,'📝 Four-tier กรอก'!U63="Y",'📝 Four-tier กรอก'!V63&lt;&gt;'📝 Four-tier กรอก'!V51,'📝 Four-tier กรอก'!W63="Y"),"🎲 Guess",IF(AND('📝 Four-tier กรอก'!T63&lt;&gt;'📝 Four-tier กรอก'!T51,'📝 Four-tier กรอก'!U63="Y",'📝 Four-tier กรอก'!V63&lt;&gt;'📝 Four-tier กรอก'!V51,'📝 Four-tier กรอก'!W63="Y"),"❌ Misc.",IF(AND('📝 Four-tier กรอก'!T63&lt;&gt;'📝 Four-tier กรอก'!T51,'📝 Four-tier กรอก'!U63="N",'📝 Four-tier กรอก'!V63&lt;&gt;'📝 Four-tier กรอก'!V51,'📝 Four-tier กรอก'!W63="N"),"❓ NoK","🤔 Partial")))))</f>
        <v/>
      </c>
      <c r="I62" s="68">
        <f>IF(OR('📝 Four-tier กรอก'!X63="",'📝 Four-tier กรอก'!Z63=""),"—",IF(AND('📝 Four-tier กรอก'!X63='📝 Four-tier กรอก'!X51,'📝 Four-tier กรอก'!Y63="Y",'📝 Four-tier กรอก'!Z63='📝 Four-tier กรอก'!Z51,'📝 Four-tier กรอก'!AA63="Y"),"✅ Sound",IF(AND('📝 Four-tier กรอก'!X63='📝 Four-tier กรอก'!X51,'📝 Four-tier กรอก'!Y63="Y",'📝 Four-tier กรอก'!Z63&lt;&gt;'📝 Four-tier กรอก'!Z51,'📝 Four-tier กรอก'!AA63="Y"),"🎲 Guess",IF(AND('📝 Four-tier กรอก'!X63&lt;&gt;'📝 Four-tier กรอก'!X51,'📝 Four-tier กรอก'!Y63="Y",'📝 Four-tier กรอก'!Z63&lt;&gt;'📝 Four-tier กรอก'!Z51,'📝 Four-tier กรอก'!AA63="Y"),"❌ Misc.",IF(AND('📝 Four-tier กรอก'!X63&lt;&gt;'📝 Four-tier กรอก'!X51,'📝 Four-tier กรอก'!Y63="N",'📝 Four-tier กรอก'!Z63&lt;&gt;'📝 Four-tier กรอก'!Z51,'📝 Four-tier กรอก'!AA63="N"),"❓ NoK","🤔 Partial")))))</f>
        <v/>
      </c>
      <c r="J62" s="68">
        <f>IF(OR('📝 Four-tier กรอก'!AB63="",'📝 Four-tier กรอก'!AD63=""),"—",IF(AND('📝 Four-tier กรอก'!AB63='📝 Four-tier กรอก'!AB51,'📝 Four-tier กรอก'!AC63="Y",'📝 Four-tier กรอก'!AD63='📝 Four-tier กรอก'!AD51,'📝 Four-tier กรอก'!AE63="Y"),"✅ Sound",IF(AND('📝 Four-tier กรอก'!AB63='📝 Four-tier กรอก'!AB51,'📝 Four-tier กรอก'!AC63="Y",'📝 Four-tier กรอก'!AD63&lt;&gt;'📝 Four-tier กรอก'!AD51,'📝 Four-tier กรอก'!AE63="Y"),"🎲 Guess",IF(AND('📝 Four-tier กรอก'!AB63&lt;&gt;'📝 Four-tier กรอก'!AB51,'📝 Four-tier กรอก'!AC63="Y",'📝 Four-tier กรอก'!AD63&lt;&gt;'📝 Four-tier กรอก'!AD51,'📝 Four-tier กรอก'!AE63="Y"),"❌ Misc.",IF(AND('📝 Four-tier กรอก'!AB63&lt;&gt;'📝 Four-tier กรอก'!AB51,'📝 Four-tier กรอก'!AC63="N",'📝 Four-tier กรอก'!AD63&lt;&gt;'📝 Four-tier กรอก'!AD51,'📝 Four-tier กรอก'!AE63="N"),"❓ NoK","🤔 Partial")))))</f>
        <v/>
      </c>
      <c r="K62" s="68">
        <f>IF(OR('📝 Four-tier กรอก'!AF63="",'📝 Four-tier กรอก'!AH63=""),"—",IF(AND('📝 Four-tier กรอก'!AF63='📝 Four-tier กรอก'!AF51,'📝 Four-tier กรอก'!AG63="Y",'📝 Four-tier กรอก'!AH63='📝 Four-tier กรอก'!AH51,'📝 Four-tier กรอก'!AI63="Y"),"✅ Sound",IF(AND('📝 Four-tier กรอก'!AF63='📝 Four-tier กรอก'!AF51,'📝 Four-tier กรอก'!AG63="Y",'📝 Four-tier กรอก'!AH63&lt;&gt;'📝 Four-tier กรอก'!AH51,'📝 Four-tier กรอก'!AI63="Y"),"🎲 Guess",IF(AND('📝 Four-tier กรอก'!AF63&lt;&gt;'📝 Four-tier กรอก'!AF51,'📝 Four-tier กรอก'!AG63="Y",'📝 Four-tier กรอก'!AH63&lt;&gt;'📝 Four-tier กรอก'!AH51,'📝 Four-tier กรอก'!AI63="Y"),"❌ Misc.",IF(AND('📝 Four-tier กรอก'!AF63&lt;&gt;'📝 Four-tier กรอก'!AF51,'📝 Four-tier กรอก'!AG63="N",'📝 Four-tier กรอก'!AH63&lt;&gt;'📝 Four-tier กรอก'!AH51,'📝 Four-tier กรอก'!AI63="N"),"❓ NoK","🤔 Partial")))))</f>
        <v/>
      </c>
      <c r="L62" s="68">
        <f>IF(OR('📝 Four-tier กรอก'!AJ63="",'📝 Four-tier กรอก'!AL63=""),"—",IF(AND('📝 Four-tier กรอก'!AJ63='📝 Four-tier กรอก'!AJ51,'📝 Four-tier กรอก'!AK63="Y",'📝 Four-tier กรอก'!AL63='📝 Four-tier กรอก'!AL51,'📝 Four-tier กรอก'!AM63="Y"),"✅ Sound",IF(AND('📝 Four-tier กรอก'!AJ63='📝 Four-tier กรอก'!AJ51,'📝 Four-tier กรอก'!AK63="Y",'📝 Four-tier กรอก'!AL63&lt;&gt;'📝 Four-tier กรอก'!AL51,'📝 Four-tier กรอก'!AM63="Y"),"🎲 Guess",IF(AND('📝 Four-tier กรอก'!AJ63&lt;&gt;'📝 Four-tier กรอก'!AJ51,'📝 Four-tier กรอก'!AK63="Y",'📝 Four-tier กรอก'!AL63&lt;&gt;'📝 Four-tier กรอก'!AL51,'📝 Four-tier กรอก'!AM63="Y"),"❌ Misc.",IF(AND('📝 Four-tier กรอก'!AJ63&lt;&gt;'📝 Four-tier กรอก'!AJ51,'📝 Four-tier กรอก'!AK63="N",'📝 Four-tier กรอก'!AL63&lt;&gt;'📝 Four-tier กรอก'!AL51,'📝 Four-tier กรอก'!AM63="N"),"❓ NoK","🤔 Partial")))))</f>
        <v/>
      </c>
      <c r="M62" s="68">
        <f>IF(OR('📝 Four-tier กรอก'!AN63="",'📝 Four-tier กรอก'!AP63=""),"—",IF(AND('📝 Four-tier กรอก'!AN63='📝 Four-tier กรอก'!AN51,'📝 Four-tier กรอก'!AO63="Y",'📝 Four-tier กรอก'!AP63='📝 Four-tier กรอก'!AP51,'📝 Four-tier กรอก'!AQ63="Y"),"✅ Sound",IF(AND('📝 Four-tier กรอก'!AN63='📝 Four-tier กรอก'!AN51,'📝 Four-tier กรอก'!AO63="Y",'📝 Four-tier กรอก'!AP63&lt;&gt;'📝 Four-tier กรอก'!AP51,'📝 Four-tier กรอก'!AQ63="Y"),"🎲 Guess",IF(AND('📝 Four-tier กรอก'!AN63&lt;&gt;'📝 Four-tier กรอก'!AN51,'📝 Four-tier กรอก'!AO63="Y",'📝 Four-tier กรอก'!AP63&lt;&gt;'📝 Four-tier กรอก'!AP51,'📝 Four-tier กรอก'!AQ63="Y"),"❌ Misc.",IF(AND('📝 Four-tier กรอก'!AN63&lt;&gt;'📝 Four-tier กรอก'!AN51,'📝 Four-tier กรอก'!AO63="N",'📝 Four-tier กรอก'!AP63&lt;&gt;'📝 Four-tier กรอก'!AP51,'📝 Four-tier กรอก'!AQ63="N"),"❓ NoK","🤔 Partial")))))</f>
        <v/>
      </c>
      <c r="N62" s="68">
        <f>IF(OR('📝 Four-tier กรอก'!AR63="",'📝 Four-tier กรอก'!AT63=""),"—",IF(AND('📝 Four-tier กรอก'!AR63='📝 Four-tier กรอก'!AR51,'📝 Four-tier กรอก'!AS63="Y",'📝 Four-tier กรอก'!AT63='📝 Four-tier กรอก'!AT51,'📝 Four-tier กรอก'!AU63="Y"),"✅ Sound",IF(AND('📝 Four-tier กรอก'!AR63='📝 Four-tier กรอก'!AR51,'📝 Four-tier กรอก'!AS63="Y",'📝 Four-tier กรอก'!AT63&lt;&gt;'📝 Four-tier กรอก'!AT51,'📝 Four-tier กรอก'!AU63="Y"),"🎲 Guess",IF(AND('📝 Four-tier กรอก'!AR63&lt;&gt;'📝 Four-tier กรอก'!AR51,'📝 Four-tier กรอก'!AS63="Y",'📝 Four-tier กรอก'!AT63&lt;&gt;'📝 Four-tier กรอก'!AT51,'📝 Four-tier กรอก'!AU63="Y"),"❌ Misc.",IF(AND('📝 Four-tier กรอก'!AR63&lt;&gt;'📝 Four-tier กรอก'!AR51,'📝 Four-tier กรอก'!AS63="N",'📝 Four-tier กรอก'!AT63&lt;&gt;'📝 Four-tier กรอก'!AT51,'📝 Four-tier กรอก'!AU63="N"),"❓ NoK","🤔 Partial")))))</f>
        <v/>
      </c>
      <c r="O62" s="68">
        <f>IF(OR('📝 Four-tier กรอก'!AV63="",'📝 Four-tier กรอก'!AX63=""),"—",IF(AND('📝 Four-tier กรอก'!AV63='📝 Four-tier กรอก'!AV51,'📝 Four-tier กรอก'!AW63="Y",'📝 Four-tier กรอก'!AX63='📝 Four-tier กรอก'!AX51,'📝 Four-tier กรอก'!AY63="Y"),"✅ Sound",IF(AND('📝 Four-tier กรอก'!AV63='📝 Four-tier กรอก'!AV51,'📝 Four-tier กรอก'!AW63="Y",'📝 Four-tier กรอก'!AX63&lt;&gt;'📝 Four-tier กรอก'!AX51,'📝 Four-tier กรอก'!AY63="Y"),"🎲 Guess",IF(AND('📝 Four-tier กรอก'!AV63&lt;&gt;'📝 Four-tier กรอก'!AV51,'📝 Four-tier กรอก'!AW63="Y",'📝 Four-tier กรอก'!AX63&lt;&gt;'📝 Four-tier กรอก'!AX51,'📝 Four-tier กรอก'!AY63="Y"),"❌ Misc.",IF(AND('📝 Four-tier กรอก'!AV63&lt;&gt;'📝 Four-tier กรอก'!AV51,'📝 Four-tier กรอก'!AW63="N",'📝 Four-tier กรอก'!AX63&lt;&gt;'📝 Four-tier กรอก'!AX51,'📝 Four-tier กรอก'!AY63="N"),"❓ NoK","🤔 Partial")))))</f>
        <v/>
      </c>
      <c r="P62" s="68">
        <f>IF(OR('📝 Four-tier กรอก'!AZ63="",'📝 Four-tier กรอก'!BB63=""),"—",IF(AND('📝 Four-tier กรอก'!AZ63='📝 Four-tier กรอก'!AZ51,'📝 Four-tier กรอก'!BA63="Y",'📝 Four-tier กรอก'!BB63='📝 Four-tier กรอก'!BB51,'📝 Four-tier กรอก'!BC63="Y"),"✅ Sound",IF(AND('📝 Four-tier กรอก'!AZ63='📝 Four-tier กรอก'!AZ51,'📝 Four-tier กรอก'!BA63="Y",'📝 Four-tier กรอก'!BB63&lt;&gt;'📝 Four-tier กรอก'!BB51,'📝 Four-tier กรอก'!BC63="Y"),"🎲 Guess",IF(AND('📝 Four-tier กรอก'!AZ63&lt;&gt;'📝 Four-tier กรอก'!AZ51,'📝 Four-tier กรอก'!BA63="Y",'📝 Four-tier กรอก'!BB63&lt;&gt;'📝 Four-tier กรอก'!BB51,'📝 Four-tier กรอก'!BC63="Y"),"❌ Misc.",IF(AND('📝 Four-tier กรอก'!AZ63&lt;&gt;'📝 Four-tier กรอก'!AZ51,'📝 Four-tier กรอก'!BA63="N",'📝 Four-tier กรอก'!BB63&lt;&gt;'📝 Four-tier กรอก'!BB51,'📝 Four-tier กรอก'!BC63="N"),"❓ NoK","🤔 Partial")))))</f>
        <v/>
      </c>
      <c r="Q62" s="68">
        <f>IF(OR('📝 Four-tier กรอก'!BD63="",'📝 Four-tier กรอก'!BF63=""),"—",IF(AND('📝 Four-tier กรอก'!BD63='📝 Four-tier กรอก'!BD51,'📝 Four-tier กรอก'!BE63="Y",'📝 Four-tier กรอก'!BF63='📝 Four-tier กรอก'!BF51,'📝 Four-tier กรอก'!BG63="Y"),"✅ Sound",IF(AND('📝 Four-tier กรอก'!BD63='📝 Four-tier กรอก'!BD51,'📝 Four-tier กรอก'!BE63="Y",'📝 Four-tier กรอก'!BF63&lt;&gt;'📝 Four-tier กรอก'!BF51,'📝 Four-tier กรอก'!BG63="Y"),"🎲 Guess",IF(AND('📝 Four-tier กรอก'!BD63&lt;&gt;'📝 Four-tier กรอก'!BD51,'📝 Four-tier กรอก'!BE63="Y",'📝 Four-tier กรอก'!BF63&lt;&gt;'📝 Four-tier กรอก'!BF51,'📝 Four-tier กรอก'!BG63="Y"),"❌ Misc.",IF(AND('📝 Four-tier กรอก'!BD63&lt;&gt;'📝 Four-tier กรอก'!BD51,'📝 Four-tier กรอก'!BE63="N",'📝 Four-tier กรอก'!BF63&lt;&gt;'📝 Four-tier กรอก'!BF51,'📝 Four-tier กรอก'!BG63="N"),"❓ NoK","🤔 Partial")))))</f>
        <v/>
      </c>
      <c r="R62" s="68">
        <f>IF(OR('📝 Four-tier กรอก'!BH63="",'📝 Four-tier กรอก'!BJ63=""),"—",IF(AND('📝 Four-tier กรอก'!BH63='📝 Four-tier กรอก'!BH51,'📝 Four-tier กรอก'!BI63="Y",'📝 Four-tier กรอก'!BJ63='📝 Four-tier กรอก'!BJ51,'📝 Four-tier กรอก'!BK63="Y"),"✅ Sound",IF(AND('📝 Four-tier กรอก'!BH63='📝 Four-tier กรอก'!BH51,'📝 Four-tier กรอก'!BI63="Y",'📝 Four-tier กรอก'!BJ63&lt;&gt;'📝 Four-tier กรอก'!BJ51,'📝 Four-tier กรอก'!BK63="Y"),"🎲 Guess",IF(AND('📝 Four-tier กรอก'!BH63&lt;&gt;'📝 Four-tier กรอก'!BH51,'📝 Four-tier กรอก'!BI63="Y",'📝 Four-tier กรอก'!BJ63&lt;&gt;'📝 Four-tier กรอก'!BJ51,'📝 Four-tier กรอก'!BK63="Y"),"❌ Misc.",IF(AND('📝 Four-tier กรอก'!BH63&lt;&gt;'📝 Four-tier กรอก'!BH51,'📝 Four-tier กรอก'!BI63="N",'📝 Four-tier กรอก'!BJ63&lt;&gt;'📝 Four-tier กรอก'!BJ51,'📝 Four-tier กรอก'!BK63="N"),"❓ NoK","🤔 Partial")))))</f>
        <v/>
      </c>
      <c r="S62" s="68">
        <f>IF(OR('📝 Four-tier กรอก'!BL63="",'📝 Four-tier กรอก'!BN63=""),"—",IF(AND('📝 Four-tier กรอก'!BL63='📝 Four-tier กรอก'!BL51,'📝 Four-tier กรอก'!BM63="Y",'📝 Four-tier กรอก'!BN63='📝 Four-tier กรอก'!BN51,'📝 Four-tier กรอก'!BO63="Y"),"✅ Sound",IF(AND('📝 Four-tier กรอก'!BL63='📝 Four-tier กรอก'!BL51,'📝 Four-tier กรอก'!BM63="Y",'📝 Four-tier กรอก'!BN63&lt;&gt;'📝 Four-tier กรอก'!BN51,'📝 Four-tier กรอก'!BO63="Y"),"🎲 Guess",IF(AND('📝 Four-tier กรอก'!BL63&lt;&gt;'📝 Four-tier กรอก'!BL51,'📝 Four-tier กรอก'!BM63="Y",'📝 Four-tier กรอก'!BN63&lt;&gt;'📝 Four-tier กรอก'!BN51,'📝 Four-tier กรอก'!BO63="Y"),"❌ Misc.",IF(AND('📝 Four-tier กรอก'!BL63&lt;&gt;'📝 Four-tier กรอก'!BL51,'📝 Four-tier กรอก'!BM63="N",'📝 Four-tier กรอก'!BN63&lt;&gt;'📝 Four-tier กรอก'!BN51,'📝 Four-tier กรอก'!BO63="N"),"❓ NoK","🤔 Partial")))))</f>
        <v/>
      </c>
      <c r="T62" s="68">
        <f>IF(OR('📝 Four-tier กรอก'!BP63="",'📝 Four-tier กรอก'!BR63=""),"—",IF(AND('📝 Four-tier กรอก'!BP63='📝 Four-tier กรอก'!BP51,'📝 Four-tier กรอก'!BQ63="Y",'📝 Four-tier กรอก'!BR63='📝 Four-tier กรอก'!BR51,'📝 Four-tier กรอก'!BS63="Y"),"✅ Sound",IF(AND('📝 Four-tier กรอก'!BP63='📝 Four-tier กรอก'!BP51,'📝 Four-tier กรอก'!BQ63="Y",'📝 Four-tier กรอก'!BR63&lt;&gt;'📝 Four-tier กรอก'!BR51,'📝 Four-tier กรอก'!BS63="Y"),"🎲 Guess",IF(AND('📝 Four-tier กรอก'!BP63&lt;&gt;'📝 Four-tier กรอก'!BP51,'📝 Four-tier กรอก'!BQ63="Y",'📝 Four-tier กรอก'!BR63&lt;&gt;'📝 Four-tier กรอก'!BR51,'📝 Four-tier กรอก'!BS63="Y"),"❌ Misc.",IF(AND('📝 Four-tier กรอก'!BP63&lt;&gt;'📝 Four-tier กรอก'!BP51,'📝 Four-tier กรอก'!BQ63="N",'📝 Four-tier กรอก'!BR63&lt;&gt;'📝 Four-tier กรอก'!BR51,'📝 Four-tier กรอก'!BS63="N"),"❓ NoK","🤔 Partial")))))</f>
        <v/>
      </c>
      <c r="U62" s="68">
        <f>IF(OR('📝 Four-tier กรอก'!BT63="",'📝 Four-tier กรอก'!BV63=""),"—",IF(AND('📝 Four-tier กรอก'!BT63='📝 Four-tier กรอก'!BT51,'📝 Four-tier กรอก'!BU63="Y",'📝 Four-tier กรอก'!BV63='📝 Four-tier กรอก'!BV51,'📝 Four-tier กรอก'!BW63="Y"),"✅ Sound",IF(AND('📝 Four-tier กรอก'!BT63='📝 Four-tier กรอก'!BT51,'📝 Four-tier กรอก'!BU63="Y",'📝 Four-tier กรอก'!BV63&lt;&gt;'📝 Four-tier กรอก'!BV51,'📝 Four-tier กรอก'!BW63="Y"),"🎲 Guess",IF(AND('📝 Four-tier กรอก'!BT63&lt;&gt;'📝 Four-tier กรอก'!BT51,'📝 Four-tier กรอก'!BU63="Y",'📝 Four-tier กรอก'!BV63&lt;&gt;'📝 Four-tier กรอก'!BV51,'📝 Four-tier กรอก'!BW63="Y"),"❌ Misc.",IF(AND('📝 Four-tier กรอก'!BT63&lt;&gt;'📝 Four-tier กรอก'!BT51,'📝 Four-tier กรอก'!BU63="N",'📝 Four-tier กรอก'!BV63&lt;&gt;'📝 Four-tier กรอก'!BV51,'📝 Four-tier กรอก'!BW63="N"),"❓ NoK","🤔 Partial")))))</f>
        <v/>
      </c>
      <c r="V62" s="68">
        <f>IF(OR('📝 Four-tier กรอก'!BX63="",'📝 Four-tier กรอก'!BZ63=""),"—",IF(AND('📝 Four-tier กรอก'!BX63='📝 Four-tier กรอก'!BX51,'📝 Four-tier กรอก'!BY63="Y",'📝 Four-tier กรอก'!BZ63='📝 Four-tier กรอก'!BZ51,'📝 Four-tier กรอก'!CA63="Y"),"✅ Sound",IF(AND('📝 Four-tier กรอก'!BX63='📝 Four-tier กรอก'!BX51,'📝 Four-tier กรอก'!BY63="Y",'📝 Four-tier กรอก'!BZ63&lt;&gt;'📝 Four-tier กรอก'!BZ51,'📝 Four-tier กรอก'!CA63="Y"),"🎲 Guess",IF(AND('📝 Four-tier กรอก'!BX63&lt;&gt;'📝 Four-tier กรอก'!BX51,'📝 Four-tier กรอก'!BY63="Y",'📝 Four-tier กรอก'!BZ63&lt;&gt;'📝 Four-tier กรอก'!BZ51,'📝 Four-tier กรอก'!CA63="Y"),"❌ Misc.",IF(AND('📝 Four-tier กรอก'!BX63&lt;&gt;'📝 Four-tier กรอก'!BX51,'📝 Four-tier กรอก'!BY63="N",'📝 Four-tier กรอก'!BZ63&lt;&gt;'📝 Four-tier กรอก'!BZ51,'📝 Four-tier กรอก'!CA63="N"),"❓ NoK","🤔 Partial")))))</f>
        <v/>
      </c>
      <c r="W62" s="68">
        <f>IF(OR('📝 Four-tier กรอก'!CB63="",'📝 Four-tier กรอก'!CD63=""),"—",IF(AND('📝 Four-tier กรอก'!CB63='📝 Four-tier กรอก'!CB51,'📝 Four-tier กรอก'!CC63="Y",'📝 Four-tier กรอก'!CD63='📝 Four-tier กรอก'!CD51,'📝 Four-tier กรอก'!CE63="Y"),"✅ Sound",IF(AND('📝 Four-tier กรอก'!CB63='📝 Four-tier กรอก'!CB51,'📝 Four-tier กรอก'!CC63="Y",'📝 Four-tier กรอก'!CD63&lt;&gt;'📝 Four-tier กรอก'!CD51,'📝 Four-tier กรอก'!CE63="Y"),"🎲 Guess",IF(AND('📝 Four-tier กรอก'!CB63&lt;&gt;'📝 Four-tier กรอก'!CB51,'📝 Four-tier กรอก'!CC63="Y",'📝 Four-tier กรอก'!CD63&lt;&gt;'📝 Four-tier กรอก'!CD51,'📝 Four-tier กรอก'!CE63="Y"),"❌ Misc.",IF(AND('📝 Four-tier กรอก'!CB63&lt;&gt;'📝 Four-tier กรอก'!CB51,'📝 Four-tier กรอก'!CC63="N",'📝 Four-tier กรอก'!CD63&lt;&gt;'📝 Four-tier กรอก'!CD51,'📝 Four-tier กรอก'!CE63="N"),"❓ NoK","🤔 Partial")))))</f>
        <v/>
      </c>
      <c r="X62" s="37">
        <f>COUNTIF(D62:W62,"✅ Sound")</f>
        <v/>
      </c>
      <c r="Y62" s="37">
        <f>COUNTIF(D62:W62,"❌ Misc.")</f>
        <v/>
      </c>
      <c r="Z62" s="37">
        <f>COUNTIF(D62:W62,"🎲 Guess")</f>
        <v/>
      </c>
      <c r="AA62" s="37">
        <f>COUNTIF(D62:W62,"❓ NoK")</f>
        <v/>
      </c>
    </row>
    <row r="63" ht="18" customHeight="1">
      <c r="B63" s="46">
        <f>'📝 Four-tier กรอก'!B64</f>
        <v/>
      </c>
      <c r="C63" s="47">
        <f>'📝 Four-tier กรอก'!C64</f>
        <v/>
      </c>
      <c r="D63" s="67">
        <f>IF(OR('📝 Four-tier กรอก'!D64="",'📝 Four-tier กรอก'!F64=""),"—",IF(AND('📝 Four-tier กรอก'!D64='📝 Four-tier กรอก'!D51,'📝 Four-tier กรอก'!E64="Y",'📝 Four-tier กรอก'!F64='📝 Four-tier กรอก'!F51,'📝 Four-tier กรอก'!G64="Y"),"✅ Sound",IF(AND('📝 Four-tier กรอก'!D64='📝 Four-tier กรอก'!D51,'📝 Four-tier กรอก'!E64="Y",'📝 Four-tier กรอก'!F64&lt;&gt;'📝 Four-tier กรอก'!F51,'📝 Four-tier กรอก'!G64="Y"),"🎲 Guess",IF(AND('📝 Four-tier กรอก'!D64&lt;&gt;'📝 Four-tier กรอก'!D51,'📝 Four-tier กรอก'!E64="Y",'📝 Four-tier กรอก'!F64&lt;&gt;'📝 Four-tier กรอก'!F51,'📝 Four-tier กรอก'!G64="Y"),"❌ Misc.",IF(AND('📝 Four-tier กรอก'!D64&lt;&gt;'📝 Four-tier กรอก'!D51,'📝 Four-tier กรอก'!E64="N",'📝 Four-tier กรอก'!F64&lt;&gt;'📝 Four-tier กรอก'!F51,'📝 Four-tier กรอก'!G64="N"),"❓ NoK","🤔 Partial")))))</f>
        <v/>
      </c>
      <c r="E63" s="67">
        <f>IF(OR('📝 Four-tier กรอก'!H64="",'📝 Four-tier กรอก'!J64=""),"—",IF(AND('📝 Four-tier กรอก'!H64='📝 Four-tier กรอก'!H51,'📝 Four-tier กรอก'!I64="Y",'📝 Four-tier กรอก'!J64='📝 Four-tier กรอก'!J51,'📝 Four-tier กรอก'!K64="Y"),"✅ Sound",IF(AND('📝 Four-tier กรอก'!H64='📝 Four-tier กรอก'!H51,'📝 Four-tier กรอก'!I64="Y",'📝 Four-tier กรอก'!J64&lt;&gt;'📝 Four-tier กรอก'!J51,'📝 Four-tier กรอก'!K64="Y"),"🎲 Guess",IF(AND('📝 Four-tier กรอก'!H64&lt;&gt;'📝 Four-tier กรอก'!H51,'📝 Four-tier กรอก'!I64="Y",'📝 Four-tier กรอก'!J64&lt;&gt;'📝 Four-tier กรอก'!J51,'📝 Four-tier กรอก'!K64="Y"),"❌ Misc.",IF(AND('📝 Four-tier กรอก'!H64&lt;&gt;'📝 Four-tier กรอก'!H51,'📝 Four-tier กรอก'!I64="N",'📝 Four-tier กรอก'!J64&lt;&gt;'📝 Four-tier กรอก'!J51,'📝 Four-tier กรอก'!K64="N"),"❓ NoK","🤔 Partial")))))</f>
        <v/>
      </c>
      <c r="F63" s="67">
        <f>IF(OR('📝 Four-tier กรอก'!L64="",'📝 Four-tier กรอก'!N64=""),"—",IF(AND('📝 Four-tier กรอก'!L64='📝 Four-tier กรอก'!L51,'📝 Four-tier กรอก'!M64="Y",'📝 Four-tier กรอก'!N64='📝 Four-tier กรอก'!N51,'📝 Four-tier กรอก'!O64="Y"),"✅ Sound",IF(AND('📝 Four-tier กรอก'!L64='📝 Four-tier กรอก'!L51,'📝 Four-tier กรอก'!M64="Y",'📝 Four-tier กรอก'!N64&lt;&gt;'📝 Four-tier กรอก'!N51,'📝 Four-tier กรอก'!O64="Y"),"🎲 Guess",IF(AND('📝 Four-tier กรอก'!L64&lt;&gt;'📝 Four-tier กรอก'!L51,'📝 Four-tier กรอก'!M64="Y",'📝 Four-tier กรอก'!N64&lt;&gt;'📝 Four-tier กรอก'!N51,'📝 Four-tier กรอก'!O64="Y"),"❌ Misc.",IF(AND('📝 Four-tier กรอก'!L64&lt;&gt;'📝 Four-tier กรอก'!L51,'📝 Four-tier กรอก'!M64="N",'📝 Four-tier กรอก'!N64&lt;&gt;'📝 Four-tier กรอก'!N51,'📝 Four-tier กรอก'!O64="N"),"❓ NoK","🤔 Partial")))))</f>
        <v/>
      </c>
      <c r="G63" s="67">
        <f>IF(OR('📝 Four-tier กรอก'!P64="",'📝 Four-tier กรอก'!R64=""),"—",IF(AND('📝 Four-tier กรอก'!P64='📝 Four-tier กรอก'!P51,'📝 Four-tier กรอก'!Q64="Y",'📝 Four-tier กรอก'!R64='📝 Four-tier กรอก'!R51,'📝 Four-tier กรอก'!S64="Y"),"✅ Sound",IF(AND('📝 Four-tier กรอก'!P64='📝 Four-tier กรอก'!P51,'📝 Four-tier กรอก'!Q64="Y",'📝 Four-tier กรอก'!R64&lt;&gt;'📝 Four-tier กรอก'!R51,'📝 Four-tier กรอก'!S64="Y"),"🎲 Guess",IF(AND('📝 Four-tier กรอก'!P64&lt;&gt;'📝 Four-tier กรอก'!P51,'📝 Four-tier กรอก'!Q64="Y",'📝 Four-tier กรอก'!R64&lt;&gt;'📝 Four-tier กรอก'!R51,'📝 Four-tier กรอก'!S64="Y"),"❌ Misc.",IF(AND('📝 Four-tier กรอก'!P64&lt;&gt;'📝 Four-tier กรอก'!P51,'📝 Four-tier กรอก'!Q64="N",'📝 Four-tier กรอก'!R64&lt;&gt;'📝 Four-tier กรอก'!R51,'📝 Four-tier กรอก'!S64="N"),"❓ NoK","🤔 Partial")))))</f>
        <v/>
      </c>
      <c r="H63" s="67">
        <f>IF(OR('📝 Four-tier กรอก'!T64="",'📝 Four-tier กรอก'!V64=""),"—",IF(AND('📝 Four-tier กรอก'!T64='📝 Four-tier กรอก'!T51,'📝 Four-tier กรอก'!U64="Y",'📝 Four-tier กรอก'!V64='📝 Four-tier กรอก'!V51,'📝 Four-tier กรอก'!W64="Y"),"✅ Sound",IF(AND('📝 Four-tier กรอก'!T64='📝 Four-tier กรอก'!T51,'📝 Four-tier กรอก'!U64="Y",'📝 Four-tier กรอก'!V64&lt;&gt;'📝 Four-tier กรอก'!V51,'📝 Four-tier กรอก'!W64="Y"),"🎲 Guess",IF(AND('📝 Four-tier กรอก'!T64&lt;&gt;'📝 Four-tier กรอก'!T51,'📝 Four-tier กรอก'!U64="Y",'📝 Four-tier กรอก'!V64&lt;&gt;'📝 Four-tier กรอก'!V51,'📝 Four-tier กรอก'!W64="Y"),"❌ Misc.",IF(AND('📝 Four-tier กรอก'!T64&lt;&gt;'📝 Four-tier กรอก'!T51,'📝 Four-tier กรอก'!U64="N",'📝 Four-tier กรอก'!V64&lt;&gt;'📝 Four-tier กรอก'!V51,'📝 Four-tier กรอก'!W64="N"),"❓ NoK","🤔 Partial")))))</f>
        <v/>
      </c>
      <c r="I63" s="67">
        <f>IF(OR('📝 Four-tier กรอก'!X64="",'📝 Four-tier กรอก'!Z64=""),"—",IF(AND('📝 Four-tier กรอก'!X64='📝 Four-tier กรอก'!X51,'📝 Four-tier กรอก'!Y64="Y",'📝 Four-tier กรอก'!Z64='📝 Four-tier กรอก'!Z51,'📝 Four-tier กรอก'!AA64="Y"),"✅ Sound",IF(AND('📝 Four-tier กรอก'!X64='📝 Four-tier กรอก'!X51,'📝 Four-tier กรอก'!Y64="Y",'📝 Four-tier กรอก'!Z64&lt;&gt;'📝 Four-tier กรอก'!Z51,'📝 Four-tier กรอก'!AA64="Y"),"🎲 Guess",IF(AND('📝 Four-tier กรอก'!X64&lt;&gt;'📝 Four-tier กรอก'!X51,'📝 Four-tier กรอก'!Y64="Y",'📝 Four-tier กรอก'!Z64&lt;&gt;'📝 Four-tier กรอก'!Z51,'📝 Four-tier กรอก'!AA64="Y"),"❌ Misc.",IF(AND('📝 Four-tier กรอก'!X64&lt;&gt;'📝 Four-tier กรอก'!X51,'📝 Four-tier กรอก'!Y64="N",'📝 Four-tier กรอก'!Z64&lt;&gt;'📝 Four-tier กรอก'!Z51,'📝 Four-tier กรอก'!AA64="N"),"❓ NoK","🤔 Partial")))))</f>
        <v/>
      </c>
      <c r="J63" s="67">
        <f>IF(OR('📝 Four-tier กรอก'!AB64="",'📝 Four-tier กรอก'!AD64=""),"—",IF(AND('📝 Four-tier กรอก'!AB64='📝 Four-tier กรอก'!AB51,'📝 Four-tier กรอก'!AC64="Y",'📝 Four-tier กรอก'!AD64='📝 Four-tier กรอก'!AD51,'📝 Four-tier กรอก'!AE64="Y"),"✅ Sound",IF(AND('📝 Four-tier กรอก'!AB64='📝 Four-tier กรอก'!AB51,'📝 Four-tier กรอก'!AC64="Y",'📝 Four-tier กรอก'!AD64&lt;&gt;'📝 Four-tier กรอก'!AD51,'📝 Four-tier กรอก'!AE64="Y"),"🎲 Guess",IF(AND('📝 Four-tier กรอก'!AB64&lt;&gt;'📝 Four-tier กรอก'!AB51,'📝 Four-tier กรอก'!AC64="Y",'📝 Four-tier กรอก'!AD64&lt;&gt;'📝 Four-tier กรอก'!AD51,'📝 Four-tier กรอก'!AE64="Y"),"❌ Misc.",IF(AND('📝 Four-tier กรอก'!AB64&lt;&gt;'📝 Four-tier กรอก'!AB51,'📝 Four-tier กรอก'!AC64="N",'📝 Four-tier กรอก'!AD64&lt;&gt;'📝 Four-tier กรอก'!AD51,'📝 Four-tier กรอก'!AE64="N"),"❓ NoK","🤔 Partial")))))</f>
        <v/>
      </c>
      <c r="K63" s="67">
        <f>IF(OR('📝 Four-tier กรอก'!AF64="",'📝 Four-tier กรอก'!AH64=""),"—",IF(AND('📝 Four-tier กรอก'!AF64='📝 Four-tier กรอก'!AF51,'📝 Four-tier กรอก'!AG64="Y",'📝 Four-tier กรอก'!AH64='📝 Four-tier กรอก'!AH51,'📝 Four-tier กรอก'!AI64="Y"),"✅ Sound",IF(AND('📝 Four-tier กรอก'!AF64='📝 Four-tier กรอก'!AF51,'📝 Four-tier กรอก'!AG64="Y",'📝 Four-tier กรอก'!AH64&lt;&gt;'📝 Four-tier กรอก'!AH51,'📝 Four-tier กรอก'!AI64="Y"),"🎲 Guess",IF(AND('📝 Four-tier กรอก'!AF64&lt;&gt;'📝 Four-tier กรอก'!AF51,'📝 Four-tier กรอก'!AG64="Y",'📝 Four-tier กรอก'!AH64&lt;&gt;'📝 Four-tier กรอก'!AH51,'📝 Four-tier กรอก'!AI64="Y"),"❌ Misc.",IF(AND('📝 Four-tier กรอก'!AF64&lt;&gt;'📝 Four-tier กรอก'!AF51,'📝 Four-tier กรอก'!AG64="N",'📝 Four-tier กรอก'!AH64&lt;&gt;'📝 Four-tier กรอก'!AH51,'📝 Four-tier กรอก'!AI64="N"),"❓ NoK","🤔 Partial")))))</f>
        <v/>
      </c>
      <c r="L63" s="67">
        <f>IF(OR('📝 Four-tier กรอก'!AJ64="",'📝 Four-tier กรอก'!AL64=""),"—",IF(AND('📝 Four-tier กรอก'!AJ64='📝 Four-tier กรอก'!AJ51,'📝 Four-tier กรอก'!AK64="Y",'📝 Four-tier กรอก'!AL64='📝 Four-tier กรอก'!AL51,'📝 Four-tier กรอก'!AM64="Y"),"✅ Sound",IF(AND('📝 Four-tier กรอก'!AJ64='📝 Four-tier กรอก'!AJ51,'📝 Four-tier กรอก'!AK64="Y",'📝 Four-tier กรอก'!AL64&lt;&gt;'📝 Four-tier กรอก'!AL51,'📝 Four-tier กรอก'!AM64="Y"),"🎲 Guess",IF(AND('📝 Four-tier กรอก'!AJ64&lt;&gt;'📝 Four-tier กรอก'!AJ51,'📝 Four-tier กรอก'!AK64="Y",'📝 Four-tier กรอก'!AL64&lt;&gt;'📝 Four-tier กรอก'!AL51,'📝 Four-tier กรอก'!AM64="Y"),"❌ Misc.",IF(AND('📝 Four-tier กรอก'!AJ64&lt;&gt;'📝 Four-tier กรอก'!AJ51,'📝 Four-tier กรอก'!AK64="N",'📝 Four-tier กรอก'!AL64&lt;&gt;'📝 Four-tier กรอก'!AL51,'📝 Four-tier กรอก'!AM64="N"),"❓ NoK","🤔 Partial")))))</f>
        <v/>
      </c>
      <c r="M63" s="67">
        <f>IF(OR('📝 Four-tier กรอก'!AN64="",'📝 Four-tier กรอก'!AP64=""),"—",IF(AND('📝 Four-tier กรอก'!AN64='📝 Four-tier กรอก'!AN51,'📝 Four-tier กรอก'!AO64="Y",'📝 Four-tier กรอก'!AP64='📝 Four-tier กรอก'!AP51,'📝 Four-tier กรอก'!AQ64="Y"),"✅ Sound",IF(AND('📝 Four-tier กรอก'!AN64='📝 Four-tier กรอก'!AN51,'📝 Four-tier กรอก'!AO64="Y",'📝 Four-tier กรอก'!AP64&lt;&gt;'📝 Four-tier กรอก'!AP51,'📝 Four-tier กรอก'!AQ64="Y"),"🎲 Guess",IF(AND('📝 Four-tier กรอก'!AN64&lt;&gt;'📝 Four-tier กรอก'!AN51,'📝 Four-tier กรอก'!AO64="Y",'📝 Four-tier กรอก'!AP64&lt;&gt;'📝 Four-tier กรอก'!AP51,'📝 Four-tier กรอก'!AQ64="Y"),"❌ Misc.",IF(AND('📝 Four-tier กรอก'!AN64&lt;&gt;'📝 Four-tier กรอก'!AN51,'📝 Four-tier กรอก'!AO64="N",'📝 Four-tier กรอก'!AP64&lt;&gt;'📝 Four-tier กรอก'!AP51,'📝 Four-tier กรอก'!AQ64="N"),"❓ NoK","🤔 Partial")))))</f>
        <v/>
      </c>
      <c r="N63" s="67">
        <f>IF(OR('📝 Four-tier กรอก'!AR64="",'📝 Four-tier กรอก'!AT64=""),"—",IF(AND('📝 Four-tier กรอก'!AR64='📝 Four-tier กรอก'!AR51,'📝 Four-tier กรอก'!AS64="Y",'📝 Four-tier กรอก'!AT64='📝 Four-tier กรอก'!AT51,'📝 Four-tier กรอก'!AU64="Y"),"✅ Sound",IF(AND('📝 Four-tier กรอก'!AR64='📝 Four-tier กรอก'!AR51,'📝 Four-tier กรอก'!AS64="Y",'📝 Four-tier กรอก'!AT64&lt;&gt;'📝 Four-tier กรอก'!AT51,'📝 Four-tier กรอก'!AU64="Y"),"🎲 Guess",IF(AND('📝 Four-tier กรอก'!AR64&lt;&gt;'📝 Four-tier กรอก'!AR51,'📝 Four-tier กรอก'!AS64="Y",'📝 Four-tier กรอก'!AT64&lt;&gt;'📝 Four-tier กรอก'!AT51,'📝 Four-tier กรอก'!AU64="Y"),"❌ Misc.",IF(AND('📝 Four-tier กรอก'!AR64&lt;&gt;'📝 Four-tier กรอก'!AR51,'📝 Four-tier กรอก'!AS64="N",'📝 Four-tier กรอก'!AT64&lt;&gt;'📝 Four-tier กรอก'!AT51,'📝 Four-tier กรอก'!AU64="N"),"❓ NoK","🤔 Partial")))))</f>
        <v/>
      </c>
      <c r="O63" s="67">
        <f>IF(OR('📝 Four-tier กรอก'!AV64="",'📝 Four-tier กรอก'!AX64=""),"—",IF(AND('📝 Four-tier กรอก'!AV64='📝 Four-tier กรอก'!AV51,'📝 Four-tier กรอก'!AW64="Y",'📝 Four-tier กรอก'!AX64='📝 Four-tier กรอก'!AX51,'📝 Four-tier กรอก'!AY64="Y"),"✅ Sound",IF(AND('📝 Four-tier กรอก'!AV64='📝 Four-tier กรอก'!AV51,'📝 Four-tier กรอก'!AW64="Y",'📝 Four-tier กรอก'!AX64&lt;&gt;'📝 Four-tier กรอก'!AX51,'📝 Four-tier กรอก'!AY64="Y"),"🎲 Guess",IF(AND('📝 Four-tier กรอก'!AV64&lt;&gt;'📝 Four-tier กรอก'!AV51,'📝 Four-tier กรอก'!AW64="Y",'📝 Four-tier กรอก'!AX64&lt;&gt;'📝 Four-tier กรอก'!AX51,'📝 Four-tier กรอก'!AY64="Y"),"❌ Misc.",IF(AND('📝 Four-tier กรอก'!AV64&lt;&gt;'📝 Four-tier กรอก'!AV51,'📝 Four-tier กรอก'!AW64="N",'📝 Four-tier กรอก'!AX64&lt;&gt;'📝 Four-tier กรอก'!AX51,'📝 Four-tier กรอก'!AY64="N"),"❓ NoK","🤔 Partial")))))</f>
        <v/>
      </c>
      <c r="P63" s="67">
        <f>IF(OR('📝 Four-tier กรอก'!AZ64="",'📝 Four-tier กรอก'!BB64=""),"—",IF(AND('📝 Four-tier กรอก'!AZ64='📝 Four-tier กรอก'!AZ51,'📝 Four-tier กรอก'!BA64="Y",'📝 Four-tier กรอก'!BB64='📝 Four-tier กรอก'!BB51,'📝 Four-tier กรอก'!BC64="Y"),"✅ Sound",IF(AND('📝 Four-tier กรอก'!AZ64='📝 Four-tier กรอก'!AZ51,'📝 Four-tier กรอก'!BA64="Y",'📝 Four-tier กรอก'!BB64&lt;&gt;'📝 Four-tier กรอก'!BB51,'📝 Four-tier กรอก'!BC64="Y"),"🎲 Guess",IF(AND('📝 Four-tier กรอก'!AZ64&lt;&gt;'📝 Four-tier กรอก'!AZ51,'📝 Four-tier กรอก'!BA64="Y",'📝 Four-tier กรอก'!BB64&lt;&gt;'📝 Four-tier กรอก'!BB51,'📝 Four-tier กรอก'!BC64="Y"),"❌ Misc.",IF(AND('📝 Four-tier กรอก'!AZ64&lt;&gt;'📝 Four-tier กรอก'!AZ51,'📝 Four-tier กรอก'!BA64="N",'📝 Four-tier กรอก'!BB64&lt;&gt;'📝 Four-tier กรอก'!BB51,'📝 Four-tier กรอก'!BC64="N"),"❓ NoK","🤔 Partial")))))</f>
        <v/>
      </c>
      <c r="Q63" s="67">
        <f>IF(OR('📝 Four-tier กรอก'!BD64="",'📝 Four-tier กรอก'!BF64=""),"—",IF(AND('📝 Four-tier กรอก'!BD64='📝 Four-tier กรอก'!BD51,'📝 Four-tier กรอก'!BE64="Y",'📝 Four-tier กรอก'!BF64='📝 Four-tier กรอก'!BF51,'📝 Four-tier กรอก'!BG64="Y"),"✅ Sound",IF(AND('📝 Four-tier กรอก'!BD64='📝 Four-tier กรอก'!BD51,'📝 Four-tier กรอก'!BE64="Y",'📝 Four-tier กรอก'!BF64&lt;&gt;'📝 Four-tier กรอก'!BF51,'📝 Four-tier กรอก'!BG64="Y"),"🎲 Guess",IF(AND('📝 Four-tier กรอก'!BD64&lt;&gt;'📝 Four-tier กรอก'!BD51,'📝 Four-tier กรอก'!BE64="Y",'📝 Four-tier กรอก'!BF64&lt;&gt;'📝 Four-tier กรอก'!BF51,'📝 Four-tier กรอก'!BG64="Y"),"❌ Misc.",IF(AND('📝 Four-tier กรอก'!BD64&lt;&gt;'📝 Four-tier กรอก'!BD51,'📝 Four-tier กรอก'!BE64="N",'📝 Four-tier กรอก'!BF64&lt;&gt;'📝 Four-tier กรอก'!BF51,'📝 Four-tier กรอก'!BG64="N"),"❓ NoK","🤔 Partial")))))</f>
        <v/>
      </c>
      <c r="R63" s="67">
        <f>IF(OR('📝 Four-tier กรอก'!BH64="",'📝 Four-tier กรอก'!BJ64=""),"—",IF(AND('📝 Four-tier กรอก'!BH64='📝 Four-tier กรอก'!BH51,'📝 Four-tier กรอก'!BI64="Y",'📝 Four-tier กรอก'!BJ64='📝 Four-tier กรอก'!BJ51,'📝 Four-tier กรอก'!BK64="Y"),"✅ Sound",IF(AND('📝 Four-tier กรอก'!BH64='📝 Four-tier กรอก'!BH51,'📝 Four-tier กรอก'!BI64="Y",'📝 Four-tier กรอก'!BJ64&lt;&gt;'📝 Four-tier กรอก'!BJ51,'📝 Four-tier กรอก'!BK64="Y"),"🎲 Guess",IF(AND('📝 Four-tier กรอก'!BH64&lt;&gt;'📝 Four-tier กรอก'!BH51,'📝 Four-tier กรอก'!BI64="Y",'📝 Four-tier กรอก'!BJ64&lt;&gt;'📝 Four-tier กรอก'!BJ51,'📝 Four-tier กรอก'!BK64="Y"),"❌ Misc.",IF(AND('📝 Four-tier กรอก'!BH64&lt;&gt;'📝 Four-tier กรอก'!BH51,'📝 Four-tier กรอก'!BI64="N",'📝 Four-tier กรอก'!BJ64&lt;&gt;'📝 Four-tier กรอก'!BJ51,'📝 Four-tier กรอก'!BK64="N"),"❓ NoK","🤔 Partial")))))</f>
        <v/>
      </c>
      <c r="S63" s="67">
        <f>IF(OR('📝 Four-tier กรอก'!BL64="",'📝 Four-tier กรอก'!BN64=""),"—",IF(AND('📝 Four-tier กรอก'!BL64='📝 Four-tier กรอก'!BL51,'📝 Four-tier กรอก'!BM64="Y",'📝 Four-tier กรอก'!BN64='📝 Four-tier กรอก'!BN51,'📝 Four-tier กรอก'!BO64="Y"),"✅ Sound",IF(AND('📝 Four-tier กรอก'!BL64='📝 Four-tier กรอก'!BL51,'📝 Four-tier กรอก'!BM64="Y",'📝 Four-tier กรอก'!BN64&lt;&gt;'📝 Four-tier กรอก'!BN51,'📝 Four-tier กรอก'!BO64="Y"),"🎲 Guess",IF(AND('📝 Four-tier กรอก'!BL64&lt;&gt;'📝 Four-tier กรอก'!BL51,'📝 Four-tier กรอก'!BM64="Y",'📝 Four-tier กรอก'!BN64&lt;&gt;'📝 Four-tier กรอก'!BN51,'📝 Four-tier กรอก'!BO64="Y"),"❌ Misc.",IF(AND('📝 Four-tier กรอก'!BL64&lt;&gt;'📝 Four-tier กรอก'!BL51,'📝 Four-tier กรอก'!BM64="N",'📝 Four-tier กรอก'!BN64&lt;&gt;'📝 Four-tier กรอก'!BN51,'📝 Four-tier กรอก'!BO64="N"),"❓ NoK","🤔 Partial")))))</f>
        <v/>
      </c>
      <c r="T63" s="67">
        <f>IF(OR('📝 Four-tier กรอก'!BP64="",'📝 Four-tier กรอก'!BR64=""),"—",IF(AND('📝 Four-tier กรอก'!BP64='📝 Four-tier กรอก'!BP51,'📝 Four-tier กรอก'!BQ64="Y",'📝 Four-tier กรอก'!BR64='📝 Four-tier กรอก'!BR51,'📝 Four-tier กรอก'!BS64="Y"),"✅ Sound",IF(AND('📝 Four-tier กรอก'!BP64='📝 Four-tier กรอก'!BP51,'📝 Four-tier กรอก'!BQ64="Y",'📝 Four-tier กรอก'!BR64&lt;&gt;'📝 Four-tier กรอก'!BR51,'📝 Four-tier กรอก'!BS64="Y"),"🎲 Guess",IF(AND('📝 Four-tier กรอก'!BP64&lt;&gt;'📝 Four-tier กรอก'!BP51,'📝 Four-tier กรอก'!BQ64="Y",'📝 Four-tier กรอก'!BR64&lt;&gt;'📝 Four-tier กรอก'!BR51,'📝 Four-tier กรอก'!BS64="Y"),"❌ Misc.",IF(AND('📝 Four-tier กรอก'!BP64&lt;&gt;'📝 Four-tier กรอก'!BP51,'📝 Four-tier กรอก'!BQ64="N",'📝 Four-tier กรอก'!BR64&lt;&gt;'📝 Four-tier กรอก'!BR51,'📝 Four-tier กรอก'!BS64="N"),"❓ NoK","🤔 Partial")))))</f>
        <v/>
      </c>
      <c r="U63" s="67">
        <f>IF(OR('📝 Four-tier กรอก'!BT64="",'📝 Four-tier กรอก'!BV64=""),"—",IF(AND('📝 Four-tier กรอก'!BT64='📝 Four-tier กรอก'!BT51,'📝 Four-tier กรอก'!BU64="Y",'📝 Four-tier กรอก'!BV64='📝 Four-tier กรอก'!BV51,'📝 Four-tier กรอก'!BW64="Y"),"✅ Sound",IF(AND('📝 Four-tier กรอก'!BT64='📝 Four-tier กรอก'!BT51,'📝 Four-tier กรอก'!BU64="Y",'📝 Four-tier กรอก'!BV64&lt;&gt;'📝 Four-tier กรอก'!BV51,'📝 Four-tier กรอก'!BW64="Y"),"🎲 Guess",IF(AND('📝 Four-tier กรอก'!BT64&lt;&gt;'📝 Four-tier กรอก'!BT51,'📝 Four-tier กรอก'!BU64="Y",'📝 Four-tier กรอก'!BV64&lt;&gt;'📝 Four-tier กรอก'!BV51,'📝 Four-tier กรอก'!BW64="Y"),"❌ Misc.",IF(AND('📝 Four-tier กรอก'!BT64&lt;&gt;'📝 Four-tier กรอก'!BT51,'📝 Four-tier กรอก'!BU64="N",'📝 Four-tier กรอก'!BV64&lt;&gt;'📝 Four-tier กรอก'!BV51,'📝 Four-tier กรอก'!BW64="N"),"❓ NoK","🤔 Partial")))))</f>
        <v/>
      </c>
      <c r="V63" s="67">
        <f>IF(OR('📝 Four-tier กรอก'!BX64="",'📝 Four-tier กรอก'!BZ64=""),"—",IF(AND('📝 Four-tier กรอก'!BX64='📝 Four-tier กรอก'!BX51,'📝 Four-tier กรอก'!BY64="Y",'📝 Four-tier กรอก'!BZ64='📝 Four-tier กรอก'!BZ51,'📝 Four-tier กรอก'!CA64="Y"),"✅ Sound",IF(AND('📝 Four-tier กรอก'!BX64='📝 Four-tier กรอก'!BX51,'📝 Four-tier กรอก'!BY64="Y",'📝 Four-tier กรอก'!BZ64&lt;&gt;'📝 Four-tier กรอก'!BZ51,'📝 Four-tier กรอก'!CA64="Y"),"🎲 Guess",IF(AND('📝 Four-tier กรอก'!BX64&lt;&gt;'📝 Four-tier กรอก'!BX51,'📝 Four-tier กรอก'!BY64="Y",'📝 Four-tier กรอก'!BZ64&lt;&gt;'📝 Four-tier กรอก'!BZ51,'📝 Four-tier กรอก'!CA64="Y"),"❌ Misc.",IF(AND('📝 Four-tier กรอก'!BX64&lt;&gt;'📝 Four-tier กรอก'!BX51,'📝 Four-tier กรอก'!BY64="N",'📝 Four-tier กรอก'!BZ64&lt;&gt;'📝 Four-tier กรอก'!BZ51,'📝 Four-tier กรอก'!CA64="N"),"❓ NoK","🤔 Partial")))))</f>
        <v/>
      </c>
      <c r="W63" s="67">
        <f>IF(OR('📝 Four-tier กรอก'!CB64="",'📝 Four-tier กรอก'!CD64=""),"—",IF(AND('📝 Four-tier กรอก'!CB64='📝 Four-tier กรอก'!CB51,'📝 Four-tier กรอก'!CC64="Y",'📝 Four-tier กรอก'!CD64='📝 Four-tier กรอก'!CD51,'📝 Four-tier กรอก'!CE64="Y"),"✅ Sound",IF(AND('📝 Four-tier กรอก'!CB64='📝 Four-tier กรอก'!CB51,'📝 Four-tier กรอก'!CC64="Y",'📝 Four-tier กรอก'!CD64&lt;&gt;'📝 Four-tier กรอก'!CD51,'📝 Four-tier กรอก'!CE64="Y"),"🎲 Guess",IF(AND('📝 Four-tier กรอก'!CB64&lt;&gt;'📝 Four-tier กรอก'!CB51,'📝 Four-tier กรอก'!CC64="Y",'📝 Four-tier กรอก'!CD64&lt;&gt;'📝 Four-tier กรอก'!CD51,'📝 Four-tier กรอก'!CE64="Y"),"❌ Misc.",IF(AND('📝 Four-tier กรอก'!CB64&lt;&gt;'📝 Four-tier กรอก'!CB51,'📝 Four-tier กรอก'!CC64="N",'📝 Four-tier กรอก'!CD64&lt;&gt;'📝 Four-tier กรอก'!CD51,'📝 Four-tier กรอก'!CE64="N"),"❓ NoK","🤔 Partial")))))</f>
        <v/>
      </c>
      <c r="X63" s="37">
        <f>COUNTIF(D63:W63,"✅ Sound")</f>
        <v/>
      </c>
      <c r="Y63" s="37">
        <f>COUNTIF(D63:W63,"❌ Misc.")</f>
        <v/>
      </c>
      <c r="Z63" s="37">
        <f>COUNTIF(D63:W63,"🎲 Guess")</f>
        <v/>
      </c>
      <c r="AA63" s="37">
        <f>COUNTIF(D63:W63,"❓ NoK")</f>
        <v/>
      </c>
    </row>
    <row r="64" ht="18" customHeight="1">
      <c r="B64" s="46">
        <f>'📝 Four-tier กรอก'!B65</f>
        <v/>
      </c>
      <c r="C64" s="51">
        <f>'📝 Four-tier กรอก'!C65</f>
        <v/>
      </c>
      <c r="D64" s="68">
        <f>IF(OR('📝 Four-tier กรอก'!D65="",'📝 Four-tier กรอก'!F65=""),"—",IF(AND('📝 Four-tier กรอก'!D65='📝 Four-tier กรอก'!D51,'📝 Four-tier กรอก'!E65="Y",'📝 Four-tier กรอก'!F65='📝 Four-tier กรอก'!F51,'📝 Four-tier กรอก'!G65="Y"),"✅ Sound",IF(AND('📝 Four-tier กรอก'!D65='📝 Four-tier กรอก'!D51,'📝 Four-tier กรอก'!E65="Y",'📝 Four-tier กรอก'!F65&lt;&gt;'📝 Four-tier กรอก'!F51,'📝 Four-tier กรอก'!G65="Y"),"🎲 Guess",IF(AND('📝 Four-tier กรอก'!D65&lt;&gt;'📝 Four-tier กรอก'!D51,'📝 Four-tier กรอก'!E65="Y",'📝 Four-tier กรอก'!F65&lt;&gt;'📝 Four-tier กรอก'!F51,'📝 Four-tier กรอก'!G65="Y"),"❌ Misc.",IF(AND('📝 Four-tier กรอก'!D65&lt;&gt;'📝 Four-tier กรอก'!D51,'📝 Four-tier กรอก'!E65="N",'📝 Four-tier กรอก'!F65&lt;&gt;'📝 Four-tier กรอก'!F51,'📝 Four-tier กรอก'!G65="N"),"❓ NoK","🤔 Partial")))))</f>
        <v/>
      </c>
      <c r="E64" s="68">
        <f>IF(OR('📝 Four-tier กรอก'!H65="",'📝 Four-tier กรอก'!J65=""),"—",IF(AND('📝 Four-tier กรอก'!H65='📝 Four-tier กรอก'!H51,'📝 Four-tier กรอก'!I65="Y",'📝 Four-tier กรอก'!J65='📝 Four-tier กรอก'!J51,'📝 Four-tier กรอก'!K65="Y"),"✅ Sound",IF(AND('📝 Four-tier กรอก'!H65='📝 Four-tier กรอก'!H51,'📝 Four-tier กรอก'!I65="Y",'📝 Four-tier กรอก'!J65&lt;&gt;'📝 Four-tier กรอก'!J51,'📝 Four-tier กรอก'!K65="Y"),"🎲 Guess",IF(AND('📝 Four-tier กรอก'!H65&lt;&gt;'📝 Four-tier กรอก'!H51,'📝 Four-tier กรอก'!I65="Y",'📝 Four-tier กรอก'!J65&lt;&gt;'📝 Four-tier กรอก'!J51,'📝 Four-tier กรอก'!K65="Y"),"❌ Misc.",IF(AND('📝 Four-tier กรอก'!H65&lt;&gt;'📝 Four-tier กรอก'!H51,'📝 Four-tier กรอก'!I65="N",'📝 Four-tier กรอก'!J65&lt;&gt;'📝 Four-tier กรอก'!J51,'📝 Four-tier กรอก'!K65="N"),"❓ NoK","🤔 Partial")))))</f>
        <v/>
      </c>
      <c r="F64" s="68">
        <f>IF(OR('📝 Four-tier กรอก'!L65="",'📝 Four-tier กรอก'!N65=""),"—",IF(AND('📝 Four-tier กรอก'!L65='📝 Four-tier กรอก'!L51,'📝 Four-tier กรอก'!M65="Y",'📝 Four-tier กรอก'!N65='📝 Four-tier กรอก'!N51,'📝 Four-tier กรอก'!O65="Y"),"✅ Sound",IF(AND('📝 Four-tier กรอก'!L65='📝 Four-tier กรอก'!L51,'📝 Four-tier กรอก'!M65="Y",'📝 Four-tier กรอก'!N65&lt;&gt;'📝 Four-tier กรอก'!N51,'📝 Four-tier กรอก'!O65="Y"),"🎲 Guess",IF(AND('📝 Four-tier กรอก'!L65&lt;&gt;'📝 Four-tier กรอก'!L51,'📝 Four-tier กรอก'!M65="Y",'📝 Four-tier กรอก'!N65&lt;&gt;'📝 Four-tier กรอก'!N51,'📝 Four-tier กรอก'!O65="Y"),"❌ Misc.",IF(AND('📝 Four-tier กรอก'!L65&lt;&gt;'📝 Four-tier กรอก'!L51,'📝 Four-tier กรอก'!M65="N",'📝 Four-tier กรอก'!N65&lt;&gt;'📝 Four-tier กรอก'!N51,'📝 Four-tier กรอก'!O65="N"),"❓ NoK","🤔 Partial")))))</f>
        <v/>
      </c>
      <c r="G64" s="68">
        <f>IF(OR('📝 Four-tier กรอก'!P65="",'📝 Four-tier กรอก'!R65=""),"—",IF(AND('📝 Four-tier กรอก'!P65='📝 Four-tier กรอก'!P51,'📝 Four-tier กรอก'!Q65="Y",'📝 Four-tier กรอก'!R65='📝 Four-tier กรอก'!R51,'📝 Four-tier กรอก'!S65="Y"),"✅ Sound",IF(AND('📝 Four-tier กรอก'!P65='📝 Four-tier กรอก'!P51,'📝 Four-tier กรอก'!Q65="Y",'📝 Four-tier กรอก'!R65&lt;&gt;'📝 Four-tier กรอก'!R51,'📝 Four-tier กรอก'!S65="Y"),"🎲 Guess",IF(AND('📝 Four-tier กรอก'!P65&lt;&gt;'📝 Four-tier กรอก'!P51,'📝 Four-tier กรอก'!Q65="Y",'📝 Four-tier กรอก'!R65&lt;&gt;'📝 Four-tier กรอก'!R51,'📝 Four-tier กรอก'!S65="Y"),"❌ Misc.",IF(AND('📝 Four-tier กรอก'!P65&lt;&gt;'📝 Four-tier กรอก'!P51,'📝 Four-tier กรอก'!Q65="N",'📝 Four-tier กรอก'!R65&lt;&gt;'📝 Four-tier กรอก'!R51,'📝 Four-tier กรอก'!S65="N"),"❓ NoK","🤔 Partial")))))</f>
        <v/>
      </c>
      <c r="H64" s="68">
        <f>IF(OR('📝 Four-tier กรอก'!T65="",'📝 Four-tier กรอก'!V65=""),"—",IF(AND('📝 Four-tier กรอก'!T65='📝 Four-tier กรอก'!T51,'📝 Four-tier กรอก'!U65="Y",'📝 Four-tier กรอก'!V65='📝 Four-tier กรอก'!V51,'📝 Four-tier กรอก'!W65="Y"),"✅ Sound",IF(AND('📝 Four-tier กรอก'!T65='📝 Four-tier กรอก'!T51,'📝 Four-tier กรอก'!U65="Y",'📝 Four-tier กรอก'!V65&lt;&gt;'📝 Four-tier กรอก'!V51,'📝 Four-tier กรอก'!W65="Y"),"🎲 Guess",IF(AND('📝 Four-tier กรอก'!T65&lt;&gt;'📝 Four-tier กรอก'!T51,'📝 Four-tier กรอก'!U65="Y",'📝 Four-tier กรอก'!V65&lt;&gt;'📝 Four-tier กรอก'!V51,'📝 Four-tier กรอก'!W65="Y"),"❌ Misc.",IF(AND('📝 Four-tier กรอก'!T65&lt;&gt;'📝 Four-tier กรอก'!T51,'📝 Four-tier กรอก'!U65="N",'📝 Four-tier กรอก'!V65&lt;&gt;'📝 Four-tier กรอก'!V51,'📝 Four-tier กรอก'!W65="N"),"❓ NoK","🤔 Partial")))))</f>
        <v/>
      </c>
      <c r="I64" s="68">
        <f>IF(OR('📝 Four-tier กรอก'!X65="",'📝 Four-tier กรอก'!Z65=""),"—",IF(AND('📝 Four-tier กรอก'!X65='📝 Four-tier กรอก'!X51,'📝 Four-tier กรอก'!Y65="Y",'📝 Four-tier กรอก'!Z65='📝 Four-tier กรอก'!Z51,'📝 Four-tier กรอก'!AA65="Y"),"✅ Sound",IF(AND('📝 Four-tier กรอก'!X65='📝 Four-tier กรอก'!X51,'📝 Four-tier กรอก'!Y65="Y",'📝 Four-tier กรอก'!Z65&lt;&gt;'📝 Four-tier กรอก'!Z51,'📝 Four-tier กรอก'!AA65="Y"),"🎲 Guess",IF(AND('📝 Four-tier กรอก'!X65&lt;&gt;'📝 Four-tier กรอก'!X51,'📝 Four-tier กรอก'!Y65="Y",'📝 Four-tier กรอก'!Z65&lt;&gt;'📝 Four-tier กรอก'!Z51,'📝 Four-tier กรอก'!AA65="Y"),"❌ Misc.",IF(AND('📝 Four-tier กรอก'!X65&lt;&gt;'📝 Four-tier กรอก'!X51,'📝 Four-tier กรอก'!Y65="N",'📝 Four-tier กรอก'!Z65&lt;&gt;'📝 Four-tier กรอก'!Z51,'📝 Four-tier กรอก'!AA65="N"),"❓ NoK","🤔 Partial")))))</f>
        <v/>
      </c>
      <c r="J64" s="68">
        <f>IF(OR('📝 Four-tier กรอก'!AB65="",'📝 Four-tier กรอก'!AD65=""),"—",IF(AND('📝 Four-tier กรอก'!AB65='📝 Four-tier กรอก'!AB51,'📝 Four-tier กรอก'!AC65="Y",'📝 Four-tier กรอก'!AD65='📝 Four-tier กรอก'!AD51,'📝 Four-tier กรอก'!AE65="Y"),"✅ Sound",IF(AND('📝 Four-tier กรอก'!AB65='📝 Four-tier กรอก'!AB51,'📝 Four-tier กรอก'!AC65="Y",'📝 Four-tier กรอก'!AD65&lt;&gt;'📝 Four-tier กรอก'!AD51,'📝 Four-tier กรอก'!AE65="Y"),"🎲 Guess",IF(AND('📝 Four-tier กรอก'!AB65&lt;&gt;'📝 Four-tier กรอก'!AB51,'📝 Four-tier กรอก'!AC65="Y",'📝 Four-tier กรอก'!AD65&lt;&gt;'📝 Four-tier กรอก'!AD51,'📝 Four-tier กรอก'!AE65="Y"),"❌ Misc.",IF(AND('📝 Four-tier กรอก'!AB65&lt;&gt;'📝 Four-tier กรอก'!AB51,'📝 Four-tier กรอก'!AC65="N",'📝 Four-tier กรอก'!AD65&lt;&gt;'📝 Four-tier กรอก'!AD51,'📝 Four-tier กรอก'!AE65="N"),"❓ NoK","🤔 Partial")))))</f>
        <v/>
      </c>
      <c r="K64" s="68">
        <f>IF(OR('📝 Four-tier กรอก'!AF65="",'📝 Four-tier กรอก'!AH65=""),"—",IF(AND('📝 Four-tier กรอก'!AF65='📝 Four-tier กรอก'!AF51,'📝 Four-tier กรอก'!AG65="Y",'📝 Four-tier กรอก'!AH65='📝 Four-tier กรอก'!AH51,'📝 Four-tier กรอก'!AI65="Y"),"✅ Sound",IF(AND('📝 Four-tier กรอก'!AF65='📝 Four-tier กรอก'!AF51,'📝 Four-tier กรอก'!AG65="Y",'📝 Four-tier กรอก'!AH65&lt;&gt;'📝 Four-tier กรอก'!AH51,'📝 Four-tier กรอก'!AI65="Y"),"🎲 Guess",IF(AND('📝 Four-tier กรอก'!AF65&lt;&gt;'📝 Four-tier กรอก'!AF51,'📝 Four-tier กรอก'!AG65="Y",'📝 Four-tier กรอก'!AH65&lt;&gt;'📝 Four-tier กรอก'!AH51,'📝 Four-tier กรอก'!AI65="Y"),"❌ Misc.",IF(AND('📝 Four-tier กรอก'!AF65&lt;&gt;'📝 Four-tier กรอก'!AF51,'📝 Four-tier กรอก'!AG65="N",'📝 Four-tier กรอก'!AH65&lt;&gt;'📝 Four-tier กรอก'!AH51,'📝 Four-tier กรอก'!AI65="N"),"❓ NoK","🤔 Partial")))))</f>
        <v/>
      </c>
      <c r="L64" s="68">
        <f>IF(OR('📝 Four-tier กรอก'!AJ65="",'📝 Four-tier กรอก'!AL65=""),"—",IF(AND('📝 Four-tier กรอก'!AJ65='📝 Four-tier กรอก'!AJ51,'📝 Four-tier กรอก'!AK65="Y",'📝 Four-tier กรอก'!AL65='📝 Four-tier กรอก'!AL51,'📝 Four-tier กรอก'!AM65="Y"),"✅ Sound",IF(AND('📝 Four-tier กรอก'!AJ65='📝 Four-tier กรอก'!AJ51,'📝 Four-tier กรอก'!AK65="Y",'📝 Four-tier กรอก'!AL65&lt;&gt;'📝 Four-tier กรอก'!AL51,'📝 Four-tier กรอก'!AM65="Y"),"🎲 Guess",IF(AND('📝 Four-tier กรอก'!AJ65&lt;&gt;'📝 Four-tier กรอก'!AJ51,'📝 Four-tier กรอก'!AK65="Y",'📝 Four-tier กรอก'!AL65&lt;&gt;'📝 Four-tier กรอก'!AL51,'📝 Four-tier กรอก'!AM65="Y"),"❌ Misc.",IF(AND('📝 Four-tier กรอก'!AJ65&lt;&gt;'📝 Four-tier กรอก'!AJ51,'📝 Four-tier กรอก'!AK65="N",'📝 Four-tier กรอก'!AL65&lt;&gt;'📝 Four-tier กรอก'!AL51,'📝 Four-tier กรอก'!AM65="N"),"❓ NoK","🤔 Partial")))))</f>
        <v/>
      </c>
      <c r="M64" s="68">
        <f>IF(OR('📝 Four-tier กรอก'!AN65="",'📝 Four-tier กรอก'!AP65=""),"—",IF(AND('📝 Four-tier กรอก'!AN65='📝 Four-tier กรอก'!AN51,'📝 Four-tier กรอก'!AO65="Y",'📝 Four-tier กรอก'!AP65='📝 Four-tier กรอก'!AP51,'📝 Four-tier กรอก'!AQ65="Y"),"✅ Sound",IF(AND('📝 Four-tier กรอก'!AN65='📝 Four-tier กรอก'!AN51,'📝 Four-tier กรอก'!AO65="Y",'📝 Four-tier กรอก'!AP65&lt;&gt;'📝 Four-tier กรอก'!AP51,'📝 Four-tier กรอก'!AQ65="Y"),"🎲 Guess",IF(AND('📝 Four-tier กรอก'!AN65&lt;&gt;'📝 Four-tier กรอก'!AN51,'📝 Four-tier กรอก'!AO65="Y",'📝 Four-tier กรอก'!AP65&lt;&gt;'📝 Four-tier กรอก'!AP51,'📝 Four-tier กรอก'!AQ65="Y"),"❌ Misc.",IF(AND('📝 Four-tier กรอก'!AN65&lt;&gt;'📝 Four-tier กรอก'!AN51,'📝 Four-tier กรอก'!AO65="N",'📝 Four-tier กรอก'!AP65&lt;&gt;'📝 Four-tier กรอก'!AP51,'📝 Four-tier กรอก'!AQ65="N"),"❓ NoK","🤔 Partial")))))</f>
        <v/>
      </c>
      <c r="N64" s="68">
        <f>IF(OR('📝 Four-tier กรอก'!AR65="",'📝 Four-tier กรอก'!AT65=""),"—",IF(AND('📝 Four-tier กรอก'!AR65='📝 Four-tier กรอก'!AR51,'📝 Four-tier กรอก'!AS65="Y",'📝 Four-tier กรอก'!AT65='📝 Four-tier กรอก'!AT51,'📝 Four-tier กรอก'!AU65="Y"),"✅ Sound",IF(AND('📝 Four-tier กรอก'!AR65='📝 Four-tier กรอก'!AR51,'📝 Four-tier กรอก'!AS65="Y",'📝 Four-tier กรอก'!AT65&lt;&gt;'📝 Four-tier กรอก'!AT51,'📝 Four-tier กรอก'!AU65="Y"),"🎲 Guess",IF(AND('📝 Four-tier กรอก'!AR65&lt;&gt;'📝 Four-tier กรอก'!AR51,'📝 Four-tier กรอก'!AS65="Y",'📝 Four-tier กรอก'!AT65&lt;&gt;'📝 Four-tier กรอก'!AT51,'📝 Four-tier กรอก'!AU65="Y"),"❌ Misc.",IF(AND('📝 Four-tier กรอก'!AR65&lt;&gt;'📝 Four-tier กรอก'!AR51,'📝 Four-tier กรอก'!AS65="N",'📝 Four-tier กรอก'!AT65&lt;&gt;'📝 Four-tier กรอก'!AT51,'📝 Four-tier กรอก'!AU65="N"),"❓ NoK","🤔 Partial")))))</f>
        <v/>
      </c>
      <c r="O64" s="68">
        <f>IF(OR('📝 Four-tier กรอก'!AV65="",'📝 Four-tier กรอก'!AX65=""),"—",IF(AND('📝 Four-tier กรอก'!AV65='📝 Four-tier กรอก'!AV51,'📝 Four-tier กรอก'!AW65="Y",'📝 Four-tier กรอก'!AX65='📝 Four-tier กรอก'!AX51,'📝 Four-tier กรอก'!AY65="Y"),"✅ Sound",IF(AND('📝 Four-tier กรอก'!AV65='📝 Four-tier กรอก'!AV51,'📝 Four-tier กรอก'!AW65="Y",'📝 Four-tier กรอก'!AX65&lt;&gt;'📝 Four-tier กรอก'!AX51,'📝 Four-tier กรอก'!AY65="Y"),"🎲 Guess",IF(AND('📝 Four-tier กรอก'!AV65&lt;&gt;'📝 Four-tier กรอก'!AV51,'📝 Four-tier กรอก'!AW65="Y",'📝 Four-tier กรอก'!AX65&lt;&gt;'📝 Four-tier กรอก'!AX51,'📝 Four-tier กรอก'!AY65="Y"),"❌ Misc.",IF(AND('📝 Four-tier กรอก'!AV65&lt;&gt;'📝 Four-tier กรอก'!AV51,'📝 Four-tier กรอก'!AW65="N",'📝 Four-tier กรอก'!AX65&lt;&gt;'📝 Four-tier กรอก'!AX51,'📝 Four-tier กรอก'!AY65="N"),"❓ NoK","🤔 Partial")))))</f>
        <v/>
      </c>
      <c r="P64" s="68">
        <f>IF(OR('📝 Four-tier กรอก'!AZ65="",'📝 Four-tier กรอก'!BB65=""),"—",IF(AND('📝 Four-tier กรอก'!AZ65='📝 Four-tier กรอก'!AZ51,'📝 Four-tier กรอก'!BA65="Y",'📝 Four-tier กรอก'!BB65='📝 Four-tier กรอก'!BB51,'📝 Four-tier กรอก'!BC65="Y"),"✅ Sound",IF(AND('📝 Four-tier กรอก'!AZ65='📝 Four-tier กรอก'!AZ51,'📝 Four-tier กรอก'!BA65="Y",'📝 Four-tier กรอก'!BB65&lt;&gt;'📝 Four-tier กรอก'!BB51,'📝 Four-tier กรอก'!BC65="Y"),"🎲 Guess",IF(AND('📝 Four-tier กรอก'!AZ65&lt;&gt;'📝 Four-tier กรอก'!AZ51,'📝 Four-tier กรอก'!BA65="Y",'📝 Four-tier กรอก'!BB65&lt;&gt;'📝 Four-tier กรอก'!BB51,'📝 Four-tier กรอก'!BC65="Y"),"❌ Misc.",IF(AND('📝 Four-tier กรอก'!AZ65&lt;&gt;'📝 Four-tier กรอก'!AZ51,'📝 Four-tier กรอก'!BA65="N",'📝 Four-tier กรอก'!BB65&lt;&gt;'📝 Four-tier กรอก'!BB51,'📝 Four-tier กรอก'!BC65="N"),"❓ NoK","🤔 Partial")))))</f>
        <v/>
      </c>
      <c r="Q64" s="68">
        <f>IF(OR('📝 Four-tier กรอก'!BD65="",'📝 Four-tier กรอก'!BF65=""),"—",IF(AND('📝 Four-tier กรอก'!BD65='📝 Four-tier กรอก'!BD51,'📝 Four-tier กรอก'!BE65="Y",'📝 Four-tier กรอก'!BF65='📝 Four-tier กรอก'!BF51,'📝 Four-tier กรอก'!BG65="Y"),"✅ Sound",IF(AND('📝 Four-tier กรอก'!BD65='📝 Four-tier กรอก'!BD51,'📝 Four-tier กรอก'!BE65="Y",'📝 Four-tier กรอก'!BF65&lt;&gt;'📝 Four-tier กรอก'!BF51,'📝 Four-tier กรอก'!BG65="Y"),"🎲 Guess",IF(AND('📝 Four-tier กรอก'!BD65&lt;&gt;'📝 Four-tier กรอก'!BD51,'📝 Four-tier กรอก'!BE65="Y",'📝 Four-tier กรอก'!BF65&lt;&gt;'📝 Four-tier กรอก'!BF51,'📝 Four-tier กรอก'!BG65="Y"),"❌ Misc.",IF(AND('📝 Four-tier กรอก'!BD65&lt;&gt;'📝 Four-tier กรอก'!BD51,'📝 Four-tier กรอก'!BE65="N",'📝 Four-tier กรอก'!BF65&lt;&gt;'📝 Four-tier กรอก'!BF51,'📝 Four-tier กรอก'!BG65="N"),"❓ NoK","🤔 Partial")))))</f>
        <v/>
      </c>
      <c r="R64" s="68">
        <f>IF(OR('📝 Four-tier กรอก'!BH65="",'📝 Four-tier กรอก'!BJ65=""),"—",IF(AND('📝 Four-tier กรอก'!BH65='📝 Four-tier กรอก'!BH51,'📝 Four-tier กรอก'!BI65="Y",'📝 Four-tier กรอก'!BJ65='📝 Four-tier กรอก'!BJ51,'📝 Four-tier กรอก'!BK65="Y"),"✅ Sound",IF(AND('📝 Four-tier กรอก'!BH65='📝 Four-tier กรอก'!BH51,'📝 Four-tier กรอก'!BI65="Y",'📝 Four-tier กรอก'!BJ65&lt;&gt;'📝 Four-tier กรอก'!BJ51,'📝 Four-tier กรอก'!BK65="Y"),"🎲 Guess",IF(AND('📝 Four-tier กรอก'!BH65&lt;&gt;'📝 Four-tier กรอก'!BH51,'📝 Four-tier กรอก'!BI65="Y",'📝 Four-tier กรอก'!BJ65&lt;&gt;'📝 Four-tier กรอก'!BJ51,'📝 Four-tier กรอก'!BK65="Y"),"❌ Misc.",IF(AND('📝 Four-tier กรอก'!BH65&lt;&gt;'📝 Four-tier กรอก'!BH51,'📝 Four-tier กรอก'!BI65="N",'📝 Four-tier กรอก'!BJ65&lt;&gt;'📝 Four-tier กรอก'!BJ51,'📝 Four-tier กรอก'!BK65="N"),"❓ NoK","🤔 Partial")))))</f>
        <v/>
      </c>
      <c r="S64" s="68">
        <f>IF(OR('📝 Four-tier กรอก'!BL65="",'📝 Four-tier กรอก'!BN65=""),"—",IF(AND('📝 Four-tier กรอก'!BL65='📝 Four-tier กรอก'!BL51,'📝 Four-tier กรอก'!BM65="Y",'📝 Four-tier กรอก'!BN65='📝 Four-tier กรอก'!BN51,'📝 Four-tier กรอก'!BO65="Y"),"✅ Sound",IF(AND('📝 Four-tier กรอก'!BL65='📝 Four-tier กรอก'!BL51,'📝 Four-tier กรอก'!BM65="Y",'📝 Four-tier กรอก'!BN65&lt;&gt;'📝 Four-tier กรอก'!BN51,'📝 Four-tier กรอก'!BO65="Y"),"🎲 Guess",IF(AND('📝 Four-tier กรอก'!BL65&lt;&gt;'📝 Four-tier กรอก'!BL51,'📝 Four-tier กรอก'!BM65="Y",'📝 Four-tier กรอก'!BN65&lt;&gt;'📝 Four-tier กรอก'!BN51,'📝 Four-tier กรอก'!BO65="Y"),"❌ Misc.",IF(AND('📝 Four-tier กรอก'!BL65&lt;&gt;'📝 Four-tier กรอก'!BL51,'📝 Four-tier กรอก'!BM65="N",'📝 Four-tier กรอก'!BN65&lt;&gt;'📝 Four-tier กรอก'!BN51,'📝 Four-tier กรอก'!BO65="N"),"❓ NoK","🤔 Partial")))))</f>
        <v/>
      </c>
      <c r="T64" s="68">
        <f>IF(OR('📝 Four-tier กรอก'!BP65="",'📝 Four-tier กรอก'!BR65=""),"—",IF(AND('📝 Four-tier กรอก'!BP65='📝 Four-tier กรอก'!BP51,'📝 Four-tier กรอก'!BQ65="Y",'📝 Four-tier กรอก'!BR65='📝 Four-tier กรอก'!BR51,'📝 Four-tier กรอก'!BS65="Y"),"✅ Sound",IF(AND('📝 Four-tier กรอก'!BP65='📝 Four-tier กรอก'!BP51,'📝 Four-tier กรอก'!BQ65="Y",'📝 Four-tier กรอก'!BR65&lt;&gt;'📝 Four-tier กรอก'!BR51,'📝 Four-tier กรอก'!BS65="Y"),"🎲 Guess",IF(AND('📝 Four-tier กรอก'!BP65&lt;&gt;'📝 Four-tier กรอก'!BP51,'📝 Four-tier กรอก'!BQ65="Y",'📝 Four-tier กรอก'!BR65&lt;&gt;'📝 Four-tier กรอก'!BR51,'📝 Four-tier กรอก'!BS65="Y"),"❌ Misc.",IF(AND('📝 Four-tier กรอก'!BP65&lt;&gt;'📝 Four-tier กรอก'!BP51,'📝 Four-tier กรอก'!BQ65="N",'📝 Four-tier กรอก'!BR65&lt;&gt;'📝 Four-tier กรอก'!BR51,'📝 Four-tier กรอก'!BS65="N"),"❓ NoK","🤔 Partial")))))</f>
        <v/>
      </c>
      <c r="U64" s="68">
        <f>IF(OR('📝 Four-tier กรอก'!BT65="",'📝 Four-tier กรอก'!BV65=""),"—",IF(AND('📝 Four-tier กรอก'!BT65='📝 Four-tier กรอก'!BT51,'📝 Four-tier กรอก'!BU65="Y",'📝 Four-tier กรอก'!BV65='📝 Four-tier กรอก'!BV51,'📝 Four-tier กรอก'!BW65="Y"),"✅ Sound",IF(AND('📝 Four-tier กรอก'!BT65='📝 Four-tier กรอก'!BT51,'📝 Four-tier กรอก'!BU65="Y",'📝 Four-tier กรอก'!BV65&lt;&gt;'📝 Four-tier กรอก'!BV51,'📝 Four-tier กรอก'!BW65="Y"),"🎲 Guess",IF(AND('📝 Four-tier กรอก'!BT65&lt;&gt;'📝 Four-tier กรอก'!BT51,'📝 Four-tier กรอก'!BU65="Y",'📝 Four-tier กรอก'!BV65&lt;&gt;'📝 Four-tier กรอก'!BV51,'📝 Four-tier กรอก'!BW65="Y"),"❌ Misc.",IF(AND('📝 Four-tier กรอก'!BT65&lt;&gt;'📝 Four-tier กรอก'!BT51,'📝 Four-tier กรอก'!BU65="N",'📝 Four-tier กรอก'!BV65&lt;&gt;'📝 Four-tier กรอก'!BV51,'📝 Four-tier กรอก'!BW65="N"),"❓ NoK","🤔 Partial")))))</f>
        <v/>
      </c>
      <c r="V64" s="68">
        <f>IF(OR('📝 Four-tier กรอก'!BX65="",'📝 Four-tier กรอก'!BZ65=""),"—",IF(AND('📝 Four-tier กรอก'!BX65='📝 Four-tier กรอก'!BX51,'📝 Four-tier กรอก'!BY65="Y",'📝 Four-tier กรอก'!BZ65='📝 Four-tier กรอก'!BZ51,'📝 Four-tier กรอก'!CA65="Y"),"✅ Sound",IF(AND('📝 Four-tier กรอก'!BX65='📝 Four-tier กรอก'!BX51,'📝 Four-tier กรอก'!BY65="Y",'📝 Four-tier กรอก'!BZ65&lt;&gt;'📝 Four-tier กรอก'!BZ51,'📝 Four-tier กรอก'!CA65="Y"),"🎲 Guess",IF(AND('📝 Four-tier กรอก'!BX65&lt;&gt;'📝 Four-tier กรอก'!BX51,'📝 Four-tier กรอก'!BY65="Y",'📝 Four-tier กรอก'!BZ65&lt;&gt;'📝 Four-tier กรอก'!BZ51,'📝 Four-tier กรอก'!CA65="Y"),"❌ Misc.",IF(AND('📝 Four-tier กรอก'!BX65&lt;&gt;'📝 Four-tier กรอก'!BX51,'📝 Four-tier กรอก'!BY65="N",'📝 Four-tier กรอก'!BZ65&lt;&gt;'📝 Four-tier กรอก'!BZ51,'📝 Four-tier กรอก'!CA65="N"),"❓ NoK","🤔 Partial")))))</f>
        <v/>
      </c>
      <c r="W64" s="68">
        <f>IF(OR('📝 Four-tier กรอก'!CB65="",'📝 Four-tier กรอก'!CD65=""),"—",IF(AND('📝 Four-tier กรอก'!CB65='📝 Four-tier กรอก'!CB51,'📝 Four-tier กรอก'!CC65="Y",'📝 Four-tier กรอก'!CD65='📝 Four-tier กรอก'!CD51,'📝 Four-tier กรอก'!CE65="Y"),"✅ Sound",IF(AND('📝 Four-tier กรอก'!CB65='📝 Four-tier กรอก'!CB51,'📝 Four-tier กรอก'!CC65="Y",'📝 Four-tier กรอก'!CD65&lt;&gt;'📝 Four-tier กรอก'!CD51,'📝 Four-tier กรอก'!CE65="Y"),"🎲 Guess",IF(AND('📝 Four-tier กรอก'!CB65&lt;&gt;'📝 Four-tier กรอก'!CB51,'📝 Four-tier กรอก'!CC65="Y",'📝 Four-tier กรอก'!CD65&lt;&gt;'📝 Four-tier กรอก'!CD51,'📝 Four-tier กรอก'!CE65="Y"),"❌ Misc.",IF(AND('📝 Four-tier กรอก'!CB65&lt;&gt;'📝 Four-tier กรอก'!CB51,'📝 Four-tier กรอก'!CC65="N",'📝 Four-tier กรอก'!CD65&lt;&gt;'📝 Four-tier กรอก'!CD51,'📝 Four-tier กรอก'!CE65="N"),"❓ NoK","🤔 Partial")))))</f>
        <v/>
      </c>
      <c r="X64" s="37">
        <f>COUNTIF(D64:W64,"✅ Sound")</f>
        <v/>
      </c>
      <c r="Y64" s="37">
        <f>COUNTIF(D64:W64,"❌ Misc.")</f>
        <v/>
      </c>
      <c r="Z64" s="37">
        <f>COUNTIF(D64:W64,"🎲 Guess")</f>
        <v/>
      </c>
      <c r="AA64" s="37">
        <f>COUNTIF(D64:W64,"❓ NoK")</f>
        <v/>
      </c>
    </row>
    <row r="65" ht="18" customHeight="1">
      <c r="B65" s="46">
        <f>'📝 Four-tier กรอก'!B66</f>
        <v/>
      </c>
      <c r="C65" s="47">
        <f>'📝 Four-tier กรอก'!C66</f>
        <v/>
      </c>
      <c r="D65" s="67">
        <f>IF(OR('📝 Four-tier กรอก'!D66="",'📝 Four-tier กรอก'!F66=""),"—",IF(AND('📝 Four-tier กรอก'!D66='📝 Four-tier กรอก'!D51,'📝 Four-tier กรอก'!E66="Y",'📝 Four-tier กรอก'!F66='📝 Four-tier กรอก'!F51,'📝 Four-tier กรอก'!G66="Y"),"✅ Sound",IF(AND('📝 Four-tier กรอก'!D66='📝 Four-tier กรอก'!D51,'📝 Four-tier กรอก'!E66="Y",'📝 Four-tier กรอก'!F66&lt;&gt;'📝 Four-tier กรอก'!F51,'📝 Four-tier กรอก'!G66="Y"),"🎲 Guess",IF(AND('📝 Four-tier กรอก'!D66&lt;&gt;'📝 Four-tier กรอก'!D51,'📝 Four-tier กรอก'!E66="Y",'📝 Four-tier กรอก'!F66&lt;&gt;'📝 Four-tier กรอก'!F51,'📝 Four-tier กรอก'!G66="Y"),"❌ Misc.",IF(AND('📝 Four-tier กรอก'!D66&lt;&gt;'📝 Four-tier กรอก'!D51,'📝 Four-tier กรอก'!E66="N",'📝 Four-tier กรอก'!F66&lt;&gt;'📝 Four-tier กรอก'!F51,'📝 Four-tier กรอก'!G66="N"),"❓ NoK","🤔 Partial")))))</f>
        <v/>
      </c>
      <c r="E65" s="67">
        <f>IF(OR('📝 Four-tier กรอก'!H66="",'📝 Four-tier กรอก'!J66=""),"—",IF(AND('📝 Four-tier กรอก'!H66='📝 Four-tier กรอก'!H51,'📝 Four-tier กรอก'!I66="Y",'📝 Four-tier กรอก'!J66='📝 Four-tier กรอก'!J51,'📝 Four-tier กรอก'!K66="Y"),"✅ Sound",IF(AND('📝 Four-tier กรอก'!H66='📝 Four-tier กรอก'!H51,'📝 Four-tier กรอก'!I66="Y",'📝 Four-tier กรอก'!J66&lt;&gt;'📝 Four-tier กรอก'!J51,'📝 Four-tier กรอก'!K66="Y"),"🎲 Guess",IF(AND('📝 Four-tier กรอก'!H66&lt;&gt;'📝 Four-tier กรอก'!H51,'📝 Four-tier กรอก'!I66="Y",'📝 Four-tier กรอก'!J66&lt;&gt;'📝 Four-tier กรอก'!J51,'📝 Four-tier กรอก'!K66="Y"),"❌ Misc.",IF(AND('📝 Four-tier กรอก'!H66&lt;&gt;'📝 Four-tier กรอก'!H51,'📝 Four-tier กรอก'!I66="N",'📝 Four-tier กรอก'!J66&lt;&gt;'📝 Four-tier กรอก'!J51,'📝 Four-tier กรอก'!K66="N"),"❓ NoK","🤔 Partial")))))</f>
        <v/>
      </c>
      <c r="F65" s="67">
        <f>IF(OR('📝 Four-tier กรอก'!L66="",'📝 Four-tier กรอก'!N66=""),"—",IF(AND('📝 Four-tier กรอก'!L66='📝 Four-tier กรอก'!L51,'📝 Four-tier กรอก'!M66="Y",'📝 Four-tier กรอก'!N66='📝 Four-tier กรอก'!N51,'📝 Four-tier กรอก'!O66="Y"),"✅ Sound",IF(AND('📝 Four-tier กรอก'!L66='📝 Four-tier กรอก'!L51,'📝 Four-tier กรอก'!M66="Y",'📝 Four-tier กรอก'!N66&lt;&gt;'📝 Four-tier กรอก'!N51,'📝 Four-tier กรอก'!O66="Y"),"🎲 Guess",IF(AND('📝 Four-tier กรอก'!L66&lt;&gt;'📝 Four-tier กรอก'!L51,'📝 Four-tier กรอก'!M66="Y",'📝 Four-tier กรอก'!N66&lt;&gt;'📝 Four-tier กรอก'!N51,'📝 Four-tier กรอก'!O66="Y"),"❌ Misc.",IF(AND('📝 Four-tier กรอก'!L66&lt;&gt;'📝 Four-tier กรอก'!L51,'📝 Four-tier กรอก'!M66="N",'📝 Four-tier กรอก'!N66&lt;&gt;'📝 Four-tier กรอก'!N51,'📝 Four-tier กรอก'!O66="N"),"❓ NoK","🤔 Partial")))))</f>
        <v/>
      </c>
      <c r="G65" s="67">
        <f>IF(OR('📝 Four-tier กรอก'!P66="",'📝 Four-tier กรอก'!R66=""),"—",IF(AND('📝 Four-tier กรอก'!P66='📝 Four-tier กรอก'!P51,'📝 Four-tier กรอก'!Q66="Y",'📝 Four-tier กรอก'!R66='📝 Four-tier กรอก'!R51,'📝 Four-tier กรอก'!S66="Y"),"✅ Sound",IF(AND('📝 Four-tier กรอก'!P66='📝 Four-tier กรอก'!P51,'📝 Four-tier กรอก'!Q66="Y",'📝 Four-tier กรอก'!R66&lt;&gt;'📝 Four-tier กรอก'!R51,'📝 Four-tier กรอก'!S66="Y"),"🎲 Guess",IF(AND('📝 Four-tier กรอก'!P66&lt;&gt;'📝 Four-tier กรอก'!P51,'📝 Four-tier กรอก'!Q66="Y",'📝 Four-tier กรอก'!R66&lt;&gt;'📝 Four-tier กรอก'!R51,'📝 Four-tier กรอก'!S66="Y"),"❌ Misc.",IF(AND('📝 Four-tier กรอก'!P66&lt;&gt;'📝 Four-tier กรอก'!P51,'📝 Four-tier กรอก'!Q66="N",'📝 Four-tier กรอก'!R66&lt;&gt;'📝 Four-tier กรอก'!R51,'📝 Four-tier กรอก'!S66="N"),"❓ NoK","🤔 Partial")))))</f>
        <v/>
      </c>
      <c r="H65" s="67">
        <f>IF(OR('📝 Four-tier กรอก'!T66="",'📝 Four-tier กรอก'!V66=""),"—",IF(AND('📝 Four-tier กรอก'!T66='📝 Four-tier กรอก'!T51,'📝 Four-tier กรอก'!U66="Y",'📝 Four-tier กรอก'!V66='📝 Four-tier กรอก'!V51,'📝 Four-tier กรอก'!W66="Y"),"✅ Sound",IF(AND('📝 Four-tier กรอก'!T66='📝 Four-tier กรอก'!T51,'📝 Four-tier กรอก'!U66="Y",'📝 Four-tier กรอก'!V66&lt;&gt;'📝 Four-tier กรอก'!V51,'📝 Four-tier กรอก'!W66="Y"),"🎲 Guess",IF(AND('📝 Four-tier กรอก'!T66&lt;&gt;'📝 Four-tier กรอก'!T51,'📝 Four-tier กรอก'!U66="Y",'📝 Four-tier กรอก'!V66&lt;&gt;'📝 Four-tier กรอก'!V51,'📝 Four-tier กรอก'!W66="Y"),"❌ Misc.",IF(AND('📝 Four-tier กรอก'!T66&lt;&gt;'📝 Four-tier กรอก'!T51,'📝 Four-tier กรอก'!U66="N",'📝 Four-tier กรอก'!V66&lt;&gt;'📝 Four-tier กรอก'!V51,'📝 Four-tier กรอก'!W66="N"),"❓ NoK","🤔 Partial")))))</f>
        <v/>
      </c>
      <c r="I65" s="67">
        <f>IF(OR('📝 Four-tier กรอก'!X66="",'📝 Four-tier กรอก'!Z66=""),"—",IF(AND('📝 Four-tier กรอก'!X66='📝 Four-tier กรอก'!X51,'📝 Four-tier กรอก'!Y66="Y",'📝 Four-tier กรอก'!Z66='📝 Four-tier กรอก'!Z51,'📝 Four-tier กรอก'!AA66="Y"),"✅ Sound",IF(AND('📝 Four-tier กรอก'!X66='📝 Four-tier กรอก'!X51,'📝 Four-tier กรอก'!Y66="Y",'📝 Four-tier กรอก'!Z66&lt;&gt;'📝 Four-tier กรอก'!Z51,'📝 Four-tier กรอก'!AA66="Y"),"🎲 Guess",IF(AND('📝 Four-tier กรอก'!X66&lt;&gt;'📝 Four-tier กรอก'!X51,'📝 Four-tier กรอก'!Y66="Y",'📝 Four-tier กรอก'!Z66&lt;&gt;'📝 Four-tier กรอก'!Z51,'📝 Four-tier กรอก'!AA66="Y"),"❌ Misc.",IF(AND('📝 Four-tier กรอก'!X66&lt;&gt;'📝 Four-tier กรอก'!X51,'📝 Four-tier กรอก'!Y66="N",'📝 Four-tier กรอก'!Z66&lt;&gt;'📝 Four-tier กรอก'!Z51,'📝 Four-tier กรอก'!AA66="N"),"❓ NoK","🤔 Partial")))))</f>
        <v/>
      </c>
      <c r="J65" s="67">
        <f>IF(OR('📝 Four-tier กรอก'!AB66="",'📝 Four-tier กรอก'!AD66=""),"—",IF(AND('📝 Four-tier กรอก'!AB66='📝 Four-tier กรอก'!AB51,'📝 Four-tier กรอก'!AC66="Y",'📝 Four-tier กรอก'!AD66='📝 Four-tier กรอก'!AD51,'📝 Four-tier กรอก'!AE66="Y"),"✅ Sound",IF(AND('📝 Four-tier กรอก'!AB66='📝 Four-tier กรอก'!AB51,'📝 Four-tier กรอก'!AC66="Y",'📝 Four-tier กรอก'!AD66&lt;&gt;'📝 Four-tier กรอก'!AD51,'📝 Four-tier กรอก'!AE66="Y"),"🎲 Guess",IF(AND('📝 Four-tier กรอก'!AB66&lt;&gt;'📝 Four-tier กรอก'!AB51,'📝 Four-tier กรอก'!AC66="Y",'📝 Four-tier กรอก'!AD66&lt;&gt;'📝 Four-tier กรอก'!AD51,'📝 Four-tier กรอก'!AE66="Y"),"❌ Misc.",IF(AND('📝 Four-tier กรอก'!AB66&lt;&gt;'📝 Four-tier กรอก'!AB51,'📝 Four-tier กรอก'!AC66="N",'📝 Four-tier กรอก'!AD66&lt;&gt;'📝 Four-tier กรอก'!AD51,'📝 Four-tier กรอก'!AE66="N"),"❓ NoK","🤔 Partial")))))</f>
        <v/>
      </c>
      <c r="K65" s="67">
        <f>IF(OR('📝 Four-tier กรอก'!AF66="",'📝 Four-tier กรอก'!AH66=""),"—",IF(AND('📝 Four-tier กรอก'!AF66='📝 Four-tier กรอก'!AF51,'📝 Four-tier กรอก'!AG66="Y",'📝 Four-tier กรอก'!AH66='📝 Four-tier กรอก'!AH51,'📝 Four-tier กรอก'!AI66="Y"),"✅ Sound",IF(AND('📝 Four-tier กรอก'!AF66='📝 Four-tier กรอก'!AF51,'📝 Four-tier กรอก'!AG66="Y",'📝 Four-tier กรอก'!AH66&lt;&gt;'📝 Four-tier กรอก'!AH51,'📝 Four-tier กรอก'!AI66="Y"),"🎲 Guess",IF(AND('📝 Four-tier กรอก'!AF66&lt;&gt;'📝 Four-tier กรอก'!AF51,'📝 Four-tier กรอก'!AG66="Y",'📝 Four-tier กรอก'!AH66&lt;&gt;'📝 Four-tier กรอก'!AH51,'📝 Four-tier กรอก'!AI66="Y"),"❌ Misc.",IF(AND('📝 Four-tier กรอก'!AF66&lt;&gt;'📝 Four-tier กรอก'!AF51,'📝 Four-tier กรอก'!AG66="N",'📝 Four-tier กรอก'!AH66&lt;&gt;'📝 Four-tier กรอก'!AH51,'📝 Four-tier กรอก'!AI66="N"),"❓ NoK","🤔 Partial")))))</f>
        <v/>
      </c>
      <c r="L65" s="67">
        <f>IF(OR('📝 Four-tier กรอก'!AJ66="",'📝 Four-tier กรอก'!AL66=""),"—",IF(AND('📝 Four-tier กรอก'!AJ66='📝 Four-tier กรอก'!AJ51,'📝 Four-tier กรอก'!AK66="Y",'📝 Four-tier กรอก'!AL66='📝 Four-tier กรอก'!AL51,'📝 Four-tier กรอก'!AM66="Y"),"✅ Sound",IF(AND('📝 Four-tier กรอก'!AJ66='📝 Four-tier กรอก'!AJ51,'📝 Four-tier กรอก'!AK66="Y",'📝 Four-tier กรอก'!AL66&lt;&gt;'📝 Four-tier กรอก'!AL51,'📝 Four-tier กรอก'!AM66="Y"),"🎲 Guess",IF(AND('📝 Four-tier กรอก'!AJ66&lt;&gt;'📝 Four-tier กรอก'!AJ51,'📝 Four-tier กรอก'!AK66="Y",'📝 Four-tier กรอก'!AL66&lt;&gt;'📝 Four-tier กรอก'!AL51,'📝 Four-tier กรอก'!AM66="Y"),"❌ Misc.",IF(AND('📝 Four-tier กรอก'!AJ66&lt;&gt;'📝 Four-tier กรอก'!AJ51,'📝 Four-tier กรอก'!AK66="N",'📝 Four-tier กรอก'!AL66&lt;&gt;'📝 Four-tier กรอก'!AL51,'📝 Four-tier กรอก'!AM66="N"),"❓ NoK","🤔 Partial")))))</f>
        <v/>
      </c>
      <c r="M65" s="67">
        <f>IF(OR('📝 Four-tier กรอก'!AN66="",'📝 Four-tier กรอก'!AP66=""),"—",IF(AND('📝 Four-tier กรอก'!AN66='📝 Four-tier กรอก'!AN51,'📝 Four-tier กรอก'!AO66="Y",'📝 Four-tier กรอก'!AP66='📝 Four-tier กรอก'!AP51,'📝 Four-tier กรอก'!AQ66="Y"),"✅ Sound",IF(AND('📝 Four-tier กรอก'!AN66='📝 Four-tier กรอก'!AN51,'📝 Four-tier กรอก'!AO66="Y",'📝 Four-tier กรอก'!AP66&lt;&gt;'📝 Four-tier กรอก'!AP51,'📝 Four-tier กรอก'!AQ66="Y"),"🎲 Guess",IF(AND('📝 Four-tier กรอก'!AN66&lt;&gt;'📝 Four-tier กรอก'!AN51,'📝 Four-tier กรอก'!AO66="Y",'📝 Four-tier กรอก'!AP66&lt;&gt;'📝 Four-tier กรอก'!AP51,'📝 Four-tier กรอก'!AQ66="Y"),"❌ Misc.",IF(AND('📝 Four-tier กรอก'!AN66&lt;&gt;'📝 Four-tier กรอก'!AN51,'📝 Four-tier กรอก'!AO66="N",'📝 Four-tier กรอก'!AP66&lt;&gt;'📝 Four-tier กรอก'!AP51,'📝 Four-tier กรอก'!AQ66="N"),"❓ NoK","🤔 Partial")))))</f>
        <v/>
      </c>
      <c r="N65" s="67">
        <f>IF(OR('📝 Four-tier กรอก'!AR66="",'📝 Four-tier กรอก'!AT66=""),"—",IF(AND('📝 Four-tier กรอก'!AR66='📝 Four-tier กรอก'!AR51,'📝 Four-tier กรอก'!AS66="Y",'📝 Four-tier กรอก'!AT66='📝 Four-tier กรอก'!AT51,'📝 Four-tier กรอก'!AU66="Y"),"✅ Sound",IF(AND('📝 Four-tier กรอก'!AR66='📝 Four-tier กรอก'!AR51,'📝 Four-tier กรอก'!AS66="Y",'📝 Four-tier กรอก'!AT66&lt;&gt;'📝 Four-tier กรอก'!AT51,'📝 Four-tier กรอก'!AU66="Y"),"🎲 Guess",IF(AND('📝 Four-tier กรอก'!AR66&lt;&gt;'📝 Four-tier กรอก'!AR51,'📝 Four-tier กรอก'!AS66="Y",'📝 Four-tier กรอก'!AT66&lt;&gt;'📝 Four-tier กรอก'!AT51,'📝 Four-tier กรอก'!AU66="Y"),"❌ Misc.",IF(AND('📝 Four-tier กรอก'!AR66&lt;&gt;'📝 Four-tier กรอก'!AR51,'📝 Four-tier กรอก'!AS66="N",'📝 Four-tier กรอก'!AT66&lt;&gt;'📝 Four-tier กรอก'!AT51,'📝 Four-tier กรอก'!AU66="N"),"❓ NoK","🤔 Partial")))))</f>
        <v/>
      </c>
      <c r="O65" s="67">
        <f>IF(OR('📝 Four-tier กรอก'!AV66="",'📝 Four-tier กรอก'!AX66=""),"—",IF(AND('📝 Four-tier กรอก'!AV66='📝 Four-tier กรอก'!AV51,'📝 Four-tier กรอก'!AW66="Y",'📝 Four-tier กรอก'!AX66='📝 Four-tier กรอก'!AX51,'📝 Four-tier กรอก'!AY66="Y"),"✅ Sound",IF(AND('📝 Four-tier กรอก'!AV66='📝 Four-tier กรอก'!AV51,'📝 Four-tier กรอก'!AW66="Y",'📝 Four-tier กรอก'!AX66&lt;&gt;'📝 Four-tier กรอก'!AX51,'📝 Four-tier กรอก'!AY66="Y"),"🎲 Guess",IF(AND('📝 Four-tier กรอก'!AV66&lt;&gt;'📝 Four-tier กรอก'!AV51,'📝 Four-tier กรอก'!AW66="Y",'📝 Four-tier กรอก'!AX66&lt;&gt;'📝 Four-tier กรอก'!AX51,'📝 Four-tier กรอก'!AY66="Y"),"❌ Misc.",IF(AND('📝 Four-tier กรอก'!AV66&lt;&gt;'📝 Four-tier กรอก'!AV51,'📝 Four-tier กรอก'!AW66="N",'📝 Four-tier กรอก'!AX66&lt;&gt;'📝 Four-tier กรอก'!AX51,'📝 Four-tier กรอก'!AY66="N"),"❓ NoK","🤔 Partial")))))</f>
        <v/>
      </c>
      <c r="P65" s="67">
        <f>IF(OR('📝 Four-tier กรอก'!AZ66="",'📝 Four-tier กรอก'!BB66=""),"—",IF(AND('📝 Four-tier กรอก'!AZ66='📝 Four-tier กรอก'!AZ51,'📝 Four-tier กรอก'!BA66="Y",'📝 Four-tier กรอก'!BB66='📝 Four-tier กรอก'!BB51,'📝 Four-tier กรอก'!BC66="Y"),"✅ Sound",IF(AND('📝 Four-tier กรอก'!AZ66='📝 Four-tier กรอก'!AZ51,'📝 Four-tier กรอก'!BA66="Y",'📝 Four-tier กรอก'!BB66&lt;&gt;'📝 Four-tier กรอก'!BB51,'📝 Four-tier กรอก'!BC66="Y"),"🎲 Guess",IF(AND('📝 Four-tier กรอก'!AZ66&lt;&gt;'📝 Four-tier กรอก'!AZ51,'📝 Four-tier กรอก'!BA66="Y",'📝 Four-tier กรอก'!BB66&lt;&gt;'📝 Four-tier กรอก'!BB51,'📝 Four-tier กรอก'!BC66="Y"),"❌ Misc.",IF(AND('📝 Four-tier กรอก'!AZ66&lt;&gt;'📝 Four-tier กรอก'!AZ51,'📝 Four-tier กรอก'!BA66="N",'📝 Four-tier กรอก'!BB66&lt;&gt;'📝 Four-tier กรอก'!BB51,'📝 Four-tier กรอก'!BC66="N"),"❓ NoK","🤔 Partial")))))</f>
        <v/>
      </c>
      <c r="Q65" s="67">
        <f>IF(OR('📝 Four-tier กรอก'!BD66="",'📝 Four-tier กรอก'!BF66=""),"—",IF(AND('📝 Four-tier กรอก'!BD66='📝 Four-tier กรอก'!BD51,'📝 Four-tier กรอก'!BE66="Y",'📝 Four-tier กรอก'!BF66='📝 Four-tier กรอก'!BF51,'📝 Four-tier กรอก'!BG66="Y"),"✅ Sound",IF(AND('📝 Four-tier กรอก'!BD66='📝 Four-tier กรอก'!BD51,'📝 Four-tier กรอก'!BE66="Y",'📝 Four-tier กรอก'!BF66&lt;&gt;'📝 Four-tier กรอก'!BF51,'📝 Four-tier กรอก'!BG66="Y"),"🎲 Guess",IF(AND('📝 Four-tier กรอก'!BD66&lt;&gt;'📝 Four-tier กรอก'!BD51,'📝 Four-tier กรอก'!BE66="Y",'📝 Four-tier กรอก'!BF66&lt;&gt;'📝 Four-tier กรอก'!BF51,'📝 Four-tier กรอก'!BG66="Y"),"❌ Misc.",IF(AND('📝 Four-tier กรอก'!BD66&lt;&gt;'📝 Four-tier กรอก'!BD51,'📝 Four-tier กรอก'!BE66="N",'📝 Four-tier กรอก'!BF66&lt;&gt;'📝 Four-tier กรอก'!BF51,'📝 Four-tier กรอก'!BG66="N"),"❓ NoK","🤔 Partial")))))</f>
        <v/>
      </c>
      <c r="R65" s="67">
        <f>IF(OR('📝 Four-tier กรอก'!BH66="",'📝 Four-tier กรอก'!BJ66=""),"—",IF(AND('📝 Four-tier กรอก'!BH66='📝 Four-tier กรอก'!BH51,'📝 Four-tier กรอก'!BI66="Y",'📝 Four-tier กรอก'!BJ66='📝 Four-tier กรอก'!BJ51,'📝 Four-tier กรอก'!BK66="Y"),"✅ Sound",IF(AND('📝 Four-tier กรอก'!BH66='📝 Four-tier กรอก'!BH51,'📝 Four-tier กรอก'!BI66="Y",'📝 Four-tier กรอก'!BJ66&lt;&gt;'📝 Four-tier กรอก'!BJ51,'📝 Four-tier กรอก'!BK66="Y"),"🎲 Guess",IF(AND('📝 Four-tier กรอก'!BH66&lt;&gt;'📝 Four-tier กรอก'!BH51,'📝 Four-tier กรอก'!BI66="Y",'📝 Four-tier กรอก'!BJ66&lt;&gt;'📝 Four-tier กรอก'!BJ51,'📝 Four-tier กรอก'!BK66="Y"),"❌ Misc.",IF(AND('📝 Four-tier กรอก'!BH66&lt;&gt;'📝 Four-tier กรอก'!BH51,'📝 Four-tier กรอก'!BI66="N",'📝 Four-tier กรอก'!BJ66&lt;&gt;'📝 Four-tier กรอก'!BJ51,'📝 Four-tier กรอก'!BK66="N"),"❓ NoK","🤔 Partial")))))</f>
        <v/>
      </c>
      <c r="S65" s="67">
        <f>IF(OR('📝 Four-tier กรอก'!BL66="",'📝 Four-tier กรอก'!BN66=""),"—",IF(AND('📝 Four-tier กรอก'!BL66='📝 Four-tier กรอก'!BL51,'📝 Four-tier กรอก'!BM66="Y",'📝 Four-tier กรอก'!BN66='📝 Four-tier กรอก'!BN51,'📝 Four-tier กรอก'!BO66="Y"),"✅ Sound",IF(AND('📝 Four-tier กรอก'!BL66='📝 Four-tier กรอก'!BL51,'📝 Four-tier กรอก'!BM66="Y",'📝 Four-tier กรอก'!BN66&lt;&gt;'📝 Four-tier กรอก'!BN51,'📝 Four-tier กรอก'!BO66="Y"),"🎲 Guess",IF(AND('📝 Four-tier กรอก'!BL66&lt;&gt;'📝 Four-tier กรอก'!BL51,'📝 Four-tier กรอก'!BM66="Y",'📝 Four-tier กรอก'!BN66&lt;&gt;'📝 Four-tier กรอก'!BN51,'📝 Four-tier กรอก'!BO66="Y"),"❌ Misc.",IF(AND('📝 Four-tier กรอก'!BL66&lt;&gt;'📝 Four-tier กรอก'!BL51,'📝 Four-tier กรอก'!BM66="N",'📝 Four-tier กรอก'!BN66&lt;&gt;'📝 Four-tier กรอก'!BN51,'📝 Four-tier กรอก'!BO66="N"),"❓ NoK","🤔 Partial")))))</f>
        <v/>
      </c>
      <c r="T65" s="67">
        <f>IF(OR('📝 Four-tier กรอก'!BP66="",'📝 Four-tier กรอก'!BR66=""),"—",IF(AND('📝 Four-tier กรอก'!BP66='📝 Four-tier กรอก'!BP51,'📝 Four-tier กรอก'!BQ66="Y",'📝 Four-tier กรอก'!BR66='📝 Four-tier กรอก'!BR51,'📝 Four-tier กรอก'!BS66="Y"),"✅ Sound",IF(AND('📝 Four-tier กรอก'!BP66='📝 Four-tier กรอก'!BP51,'📝 Four-tier กรอก'!BQ66="Y",'📝 Four-tier กรอก'!BR66&lt;&gt;'📝 Four-tier กรอก'!BR51,'📝 Four-tier กรอก'!BS66="Y"),"🎲 Guess",IF(AND('📝 Four-tier กรอก'!BP66&lt;&gt;'📝 Four-tier กรอก'!BP51,'📝 Four-tier กรอก'!BQ66="Y",'📝 Four-tier กรอก'!BR66&lt;&gt;'📝 Four-tier กรอก'!BR51,'📝 Four-tier กรอก'!BS66="Y"),"❌ Misc.",IF(AND('📝 Four-tier กรอก'!BP66&lt;&gt;'📝 Four-tier กรอก'!BP51,'📝 Four-tier กรอก'!BQ66="N",'📝 Four-tier กรอก'!BR66&lt;&gt;'📝 Four-tier กรอก'!BR51,'📝 Four-tier กรอก'!BS66="N"),"❓ NoK","🤔 Partial")))))</f>
        <v/>
      </c>
      <c r="U65" s="67">
        <f>IF(OR('📝 Four-tier กรอก'!BT66="",'📝 Four-tier กรอก'!BV66=""),"—",IF(AND('📝 Four-tier กรอก'!BT66='📝 Four-tier กรอก'!BT51,'📝 Four-tier กรอก'!BU66="Y",'📝 Four-tier กรอก'!BV66='📝 Four-tier กรอก'!BV51,'📝 Four-tier กรอก'!BW66="Y"),"✅ Sound",IF(AND('📝 Four-tier กรอก'!BT66='📝 Four-tier กรอก'!BT51,'📝 Four-tier กรอก'!BU66="Y",'📝 Four-tier กรอก'!BV66&lt;&gt;'📝 Four-tier กรอก'!BV51,'📝 Four-tier กรอก'!BW66="Y"),"🎲 Guess",IF(AND('📝 Four-tier กรอก'!BT66&lt;&gt;'📝 Four-tier กรอก'!BT51,'📝 Four-tier กรอก'!BU66="Y",'📝 Four-tier กรอก'!BV66&lt;&gt;'📝 Four-tier กรอก'!BV51,'📝 Four-tier กรอก'!BW66="Y"),"❌ Misc.",IF(AND('📝 Four-tier กรอก'!BT66&lt;&gt;'📝 Four-tier กรอก'!BT51,'📝 Four-tier กรอก'!BU66="N",'📝 Four-tier กรอก'!BV66&lt;&gt;'📝 Four-tier กรอก'!BV51,'📝 Four-tier กรอก'!BW66="N"),"❓ NoK","🤔 Partial")))))</f>
        <v/>
      </c>
      <c r="V65" s="67">
        <f>IF(OR('📝 Four-tier กรอก'!BX66="",'📝 Four-tier กรอก'!BZ66=""),"—",IF(AND('📝 Four-tier กรอก'!BX66='📝 Four-tier กรอก'!BX51,'📝 Four-tier กรอก'!BY66="Y",'📝 Four-tier กรอก'!BZ66='📝 Four-tier กรอก'!BZ51,'📝 Four-tier กรอก'!CA66="Y"),"✅ Sound",IF(AND('📝 Four-tier กรอก'!BX66='📝 Four-tier กรอก'!BX51,'📝 Four-tier กรอก'!BY66="Y",'📝 Four-tier กรอก'!BZ66&lt;&gt;'📝 Four-tier กรอก'!BZ51,'📝 Four-tier กรอก'!CA66="Y"),"🎲 Guess",IF(AND('📝 Four-tier กรอก'!BX66&lt;&gt;'📝 Four-tier กรอก'!BX51,'📝 Four-tier กรอก'!BY66="Y",'📝 Four-tier กรอก'!BZ66&lt;&gt;'📝 Four-tier กรอก'!BZ51,'📝 Four-tier กรอก'!CA66="Y"),"❌ Misc.",IF(AND('📝 Four-tier กรอก'!BX66&lt;&gt;'📝 Four-tier กรอก'!BX51,'📝 Four-tier กรอก'!BY66="N",'📝 Four-tier กรอก'!BZ66&lt;&gt;'📝 Four-tier กรอก'!BZ51,'📝 Four-tier กรอก'!CA66="N"),"❓ NoK","🤔 Partial")))))</f>
        <v/>
      </c>
      <c r="W65" s="67">
        <f>IF(OR('📝 Four-tier กรอก'!CB66="",'📝 Four-tier กรอก'!CD66=""),"—",IF(AND('📝 Four-tier กรอก'!CB66='📝 Four-tier กรอก'!CB51,'📝 Four-tier กรอก'!CC66="Y",'📝 Four-tier กรอก'!CD66='📝 Four-tier กรอก'!CD51,'📝 Four-tier กรอก'!CE66="Y"),"✅ Sound",IF(AND('📝 Four-tier กรอก'!CB66='📝 Four-tier กรอก'!CB51,'📝 Four-tier กรอก'!CC66="Y",'📝 Four-tier กรอก'!CD66&lt;&gt;'📝 Four-tier กรอก'!CD51,'📝 Four-tier กรอก'!CE66="Y"),"🎲 Guess",IF(AND('📝 Four-tier กรอก'!CB66&lt;&gt;'📝 Four-tier กรอก'!CB51,'📝 Four-tier กรอก'!CC66="Y",'📝 Four-tier กรอก'!CD66&lt;&gt;'📝 Four-tier กรอก'!CD51,'📝 Four-tier กรอก'!CE66="Y"),"❌ Misc.",IF(AND('📝 Four-tier กรอก'!CB66&lt;&gt;'📝 Four-tier กรอก'!CB51,'📝 Four-tier กรอก'!CC66="N",'📝 Four-tier กรอก'!CD66&lt;&gt;'📝 Four-tier กรอก'!CD51,'📝 Four-tier กรอก'!CE66="N"),"❓ NoK","🤔 Partial")))))</f>
        <v/>
      </c>
      <c r="X65" s="37">
        <f>COUNTIF(D65:W65,"✅ Sound")</f>
        <v/>
      </c>
      <c r="Y65" s="37">
        <f>COUNTIF(D65:W65,"❌ Misc.")</f>
        <v/>
      </c>
      <c r="Z65" s="37">
        <f>COUNTIF(D65:W65,"🎲 Guess")</f>
        <v/>
      </c>
      <c r="AA65" s="37">
        <f>COUNTIF(D65:W65,"❓ NoK")</f>
        <v/>
      </c>
    </row>
    <row r="66" ht="18" customHeight="1">
      <c r="B66" s="46">
        <f>'📝 Four-tier กรอก'!B67</f>
        <v/>
      </c>
      <c r="C66" s="51">
        <f>'📝 Four-tier กรอก'!C67</f>
        <v/>
      </c>
      <c r="D66" s="68">
        <f>IF(OR('📝 Four-tier กรอก'!D67="",'📝 Four-tier กรอก'!F67=""),"—",IF(AND('📝 Four-tier กรอก'!D67='📝 Four-tier กรอก'!D51,'📝 Four-tier กรอก'!E67="Y",'📝 Four-tier กรอก'!F67='📝 Four-tier กรอก'!F51,'📝 Four-tier กรอก'!G67="Y"),"✅ Sound",IF(AND('📝 Four-tier กรอก'!D67='📝 Four-tier กรอก'!D51,'📝 Four-tier กรอก'!E67="Y",'📝 Four-tier กรอก'!F67&lt;&gt;'📝 Four-tier กรอก'!F51,'📝 Four-tier กรอก'!G67="Y"),"🎲 Guess",IF(AND('📝 Four-tier กรอก'!D67&lt;&gt;'📝 Four-tier กรอก'!D51,'📝 Four-tier กรอก'!E67="Y",'📝 Four-tier กรอก'!F67&lt;&gt;'📝 Four-tier กรอก'!F51,'📝 Four-tier กรอก'!G67="Y"),"❌ Misc.",IF(AND('📝 Four-tier กรอก'!D67&lt;&gt;'📝 Four-tier กรอก'!D51,'📝 Four-tier กรอก'!E67="N",'📝 Four-tier กรอก'!F67&lt;&gt;'📝 Four-tier กรอก'!F51,'📝 Four-tier กรอก'!G67="N"),"❓ NoK","🤔 Partial")))))</f>
        <v/>
      </c>
      <c r="E66" s="68">
        <f>IF(OR('📝 Four-tier กรอก'!H67="",'📝 Four-tier กรอก'!J67=""),"—",IF(AND('📝 Four-tier กรอก'!H67='📝 Four-tier กรอก'!H51,'📝 Four-tier กรอก'!I67="Y",'📝 Four-tier กรอก'!J67='📝 Four-tier กรอก'!J51,'📝 Four-tier กรอก'!K67="Y"),"✅ Sound",IF(AND('📝 Four-tier กรอก'!H67='📝 Four-tier กรอก'!H51,'📝 Four-tier กรอก'!I67="Y",'📝 Four-tier กรอก'!J67&lt;&gt;'📝 Four-tier กรอก'!J51,'📝 Four-tier กรอก'!K67="Y"),"🎲 Guess",IF(AND('📝 Four-tier กรอก'!H67&lt;&gt;'📝 Four-tier กรอก'!H51,'📝 Four-tier กรอก'!I67="Y",'📝 Four-tier กรอก'!J67&lt;&gt;'📝 Four-tier กรอก'!J51,'📝 Four-tier กรอก'!K67="Y"),"❌ Misc.",IF(AND('📝 Four-tier กรอก'!H67&lt;&gt;'📝 Four-tier กรอก'!H51,'📝 Four-tier กรอก'!I67="N",'📝 Four-tier กรอก'!J67&lt;&gt;'📝 Four-tier กรอก'!J51,'📝 Four-tier กรอก'!K67="N"),"❓ NoK","🤔 Partial")))))</f>
        <v/>
      </c>
      <c r="F66" s="68">
        <f>IF(OR('📝 Four-tier กรอก'!L67="",'📝 Four-tier กรอก'!N67=""),"—",IF(AND('📝 Four-tier กรอก'!L67='📝 Four-tier กรอก'!L51,'📝 Four-tier กรอก'!M67="Y",'📝 Four-tier กรอก'!N67='📝 Four-tier กรอก'!N51,'📝 Four-tier กรอก'!O67="Y"),"✅ Sound",IF(AND('📝 Four-tier กรอก'!L67='📝 Four-tier กรอก'!L51,'📝 Four-tier กรอก'!M67="Y",'📝 Four-tier กรอก'!N67&lt;&gt;'📝 Four-tier กรอก'!N51,'📝 Four-tier กรอก'!O67="Y"),"🎲 Guess",IF(AND('📝 Four-tier กรอก'!L67&lt;&gt;'📝 Four-tier กรอก'!L51,'📝 Four-tier กรอก'!M67="Y",'📝 Four-tier กรอก'!N67&lt;&gt;'📝 Four-tier กรอก'!N51,'📝 Four-tier กรอก'!O67="Y"),"❌ Misc.",IF(AND('📝 Four-tier กรอก'!L67&lt;&gt;'📝 Four-tier กรอก'!L51,'📝 Four-tier กรอก'!M67="N",'📝 Four-tier กรอก'!N67&lt;&gt;'📝 Four-tier กรอก'!N51,'📝 Four-tier กรอก'!O67="N"),"❓ NoK","🤔 Partial")))))</f>
        <v/>
      </c>
      <c r="G66" s="68">
        <f>IF(OR('📝 Four-tier กรอก'!P67="",'📝 Four-tier กรอก'!R67=""),"—",IF(AND('📝 Four-tier กรอก'!P67='📝 Four-tier กรอก'!P51,'📝 Four-tier กรอก'!Q67="Y",'📝 Four-tier กรอก'!R67='📝 Four-tier กรอก'!R51,'📝 Four-tier กรอก'!S67="Y"),"✅ Sound",IF(AND('📝 Four-tier กรอก'!P67='📝 Four-tier กรอก'!P51,'📝 Four-tier กรอก'!Q67="Y",'📝 Four-tier กรอก'!R67&lt;&gt;'📝 Four-tier กรอก'!R51,'📝 Four-tier กรอก'!S67="Y"),"🎲 Guess",IF(AND('📝 Four-tier กรอก'!P67&lt;&gt;'📝 Four-tier กรอก'!P51,'📝 Four-tier กรอก'!Q67="Y",'📝 Four-tier กรอก'!R67&lt;&gt;'📝 Four-tier กรอก'!R51,'📝 Four-tier กรอก'!S67="Y"),"❌ Misc.",IF(AND('📝 Four-tier กรอก'!P67&lt;&gt;'📝 Four-tier กรอก'!P51,'📝 Four-tier กรอก'!Q67="N",'📝 Four-tier กรอก'!R67&lt;&gt;'📝 Four-tier กรอก'!R51,'📝 Four-tier กรอก'!S67="N"),"❓ NoK","🤔 Partial")))))</f>
        <v/>
      </c>
      <c r="H66" s="68">
        <f>IF(OR('📝 Four-tier กรอก'!T67="",'📝 Four-tier กรอก'!V67=""),"—",IF(AND('📝 Four-tier กรอก'!T67='📝 Four-tier กรอก'!T51,'📝 Four-tier กรอก'!U67="Y",'📝 Four-tier กรอก'!V67='📝 Four-tier กรอก'!V51,'📝 Four-tier กรอก'!W67="Y"),"✅ Sound",IF(AND('📝 Four-tier กรอก'!T67='📝 Four-tier กรอก'!T51,'📝 Four-tier กรอก'!U67="Y",'📝 Four-tier กรอก'!V67&lt;&gt;'📝 Four-tier กรอก'!V51,'📝 Four-tier กรอก'!W67="Y"),"🎲 Guess",IF(AND('📝 Four-tier กรอก'!T67&lt;&gt;'📝 Four-tier กรอก'!T51,'📝 Four-tier กรอก'!U67="Y",'📝 Four-tier กรอก'!V67&lt;&gt;'📝 Four-tier กรอก'!V51,'📝 Four-tier กรอก'!W67="Y"),"❌ Misc.",IF(AND('📝 Four-tier กรอก'!T67&lt;&gt;'📝 Four-tier กรอก'!T51,'📝 Four-tier กรอก'!U67="N",'📝 Four-tier กรอก'!V67&lt;&gt;'📝 Four-tier กรอก'!V51,'📝 Four-tier กรอก'!W67="N"),"❓ NoK","🤔 Partial")))))</f>
        <v/>
      </c>
      <c r="I66" s="68">
        <f>IF(OR('📝 Four-tier กรอก'!X67="",'📝 Four-tier กรอก'!Z67=""),"—",IF(AND('📝 Four-tier กรอก'!X67='📝 Four-tier กรอก'!X51,'📝 Four-tier กรอก'!Y67="Y",'📝 Four-tier กรอก'!Z67='📝 Four-tier กรอก'!Z51,'📝 Four-tier กรอก'!AA67="Y"),"✅ Sound",IF(AND('📝 Four-tier กรอก'!X67='📝 Four-tier กรอก'!X51,'📝 Four-tier กรอก'!Y67="Y",'📝 Four-tier กรอก'!Z67&lt;&gt;'📝 Four-tier กรอก'!Z51,'📝 Four-tier กรอก'!AA67="Y"),"🎲 Guess",IF(AND('📝 Four-tier กรอก'!X67&lt;&gt;'📝 Four-tier กรอก'!X51,'📝 Four-tier กรอก'!Y67="Y",'📝 Four-tier กรอก'!Z67&lt;&gt;'📝 Four-tier กรอก'!Z51,'📝 Four-tier กรอก'!AA67="Y"),"❌ Misc.",IF(AND('📝 Four-tier กรอก'!X67&lt;&gt;'📝 Four-tier กรอก'!X51,'📝 Four-tier กรอก'!Y67="N",'📝 Four-tier กรอก'!Z67&lt;&gt;'📝 Four-tier กรอก'!Z51,'📝 Four-tier กรอก'!AA67="N"),"❓ NoK","🤔 Partial")))))</f>
        <v/>
      </c>
      <c r="J66" s="68">
        <f>IF(OR('📝 Four-tier กรอก'!AB67="",'📝 Four-tier กรอก'!AD67=""),"—",IF(AND('📝 Four-tier กรอก'!AB67='📝 Four-tier กรอก'!AB51,'📝 Four-tier กรอก'!AC67="Y",'📝 Four-tier กรอก'!AD67='📝 Four-tier กรอก'!AD51,'📝 Four-tier กรอก'!AE67="Y"),"✅ Sound",IF(AND('📝 Four-tier กรอก'!AB67='📝 Four-tier กรอก'!AB51,'📝 Four-tier กรอก'!AC67="Y",'📝 Four-tier กรอก'!AD67&lt;&gt;'📝 Four-tier กรอก'!AD51,'📝 Four-tier กรอก'!AE67="Y"),"🎲 Guess",IF(AND('📝 Four-tier กรอก'!AB67&lt;&gt;'📝 Four-tier กรอก'!AB51,'📝 Four-tier กรอก'!AC67="Y",'📝 Four-tier กรอก'!AD67&lt;&gt;'📝 Four-tier กรอก'!AD51,'📝 Four-tier กรอก'!AE67="Y"),"❌ Misc.",IF(AND('📝 Four-tier กรอก'!AB67&lt;&gt;'📝 Four-tier กรอก'!AB51,'📝 Four-tier กรอก'!AC67="N",'📝 Four-tier กรอก'!AD67&lt;&gt;'📝 Four-tier กรอก'!AD51,'📝 Four-tier กรอก'!AE67="N"),"❓ NoK","🤔 Partial")))))</f>
        <v/>
      </c>
      <c r="K66" s="68">
        <f>IF(OR('📝 Four-tier กรอก'!AF67="",'📝 Four-tier กรอก'!AH67=""),"—",IF(AND('📝 Four-tier กรอก'!AF67='📝 Four-tier กรอก'!AF51,'📝 Four-tier กรอก'!AG67="Y",'📝 Four-tier กรอก'!AH67='📝 Four-tier กรอก'!AH51,'📝 Four-tier กรอก'!AI67="Y"),"✅ Sound",IF(AND('📝 Four-tier กรอก'!AF67='📝 Four-tier กรอก'!AF51,'📝 Four-tier กรอก'!AG67="Y",'📝 Four-tier กรอก'!AH67&lt;&gt;'📝 Four-tier กรอก'!AH51,'📝 Four-tier กรอก'!AI67="Y"),"🎲 Guess",IF(AND('📝 Four-tier กรอก'!AF67&lt;&gt;'📝 Four-tier กรอก'!AF51,'📝 Four-tier กรอก'!AG67="Y",'📝 Four-tier กรอก'!AH67&lt;&gt;'📝 Four-tier กรอก'!AH51,'📝 Four-tier กรอก'!AI67="Y"),"❌ Misc.",IF(AND('📝 Four-tier กรอก'!AF67&lt;&gt;'📝 Four-tier กรอก'!AF51,'📝 Four-tier กรอก'!AG67="N",'📝 Four-tier กรอก'!AH67&lt;&gt;'📝 Four-tier กรอก'!AH51,'📝 Four-tier กรอก'!AI67="N"),"❓ NoK","🤔 Partial")))))</f>
        <v/>
      </c>
      <c r="L66" s="68">
        <f>IF(OR('📝 Four-tier กรอก'!AJ67="",'📝 Four-tier กรอก'!AL67=""),"—",IF(AND('📝 Four-tier กรอก'!AJ67='📝 Four-tier กรอก'!AJ51,'📝 Four-tier กรอก'!AK67="Y",'📝 Four-tier กรอก'!AL67='📝 Four-tier กรอก'!AL51,'📝 Four-tier กรอก'!AM67="Y"),"✅ Sound",IF(AND('📝 Four-tier กรอก'!AJ67='📝 Four-tier กรอก'!AJ51,'📝 Four-tier กรอก'!AK67="Y",'📝 Four-tier กรอก'!AL67&lt;&gt;'📝 Four-tier กรอก'!AL51,'📝 Four-tier กรอก'!AM67="Y"),"🎲 Guess",IF(AND('📝 Four-tier กรอก'!AJ67&lt;&gt;'📝 Four-tier กรอก'!AJ51,'📝 Four-tier กรอก'!AK67="Y",'📝 Four-tier กรอก'!AL67&lt;&gt;'📝 Four-tier กรอก'!AL51,'📝 Four-tier กรอก'!AM67="Y"),"❌ Misc.",IF(AND('📝 Four-tier กรอก'!AJ67&lt;&gt;'📝 Four-tier กรอก'!AJ51,'📝 Four-tier กรอก'!AK67="N",'📝 Four-tier กรอก'!AL67&lt;&gt;'📝 Four-tier กรอก'!AL51,'📝 Four-tier กรอก'!AM67="N"),"❓ NoK","🤔 Partial")))))</f>
        <v/>
      </c>
      <c r="M66" s="68">
        <f>IF(OR('📝 Four-tier กรอก'!AN67="",'📝 Four-tier กรอก'!AP67=""),"—",IF(AND('📝 Four-tier กรอก'!AN67='📝 Four-tier กรอก'!AN51,'📝 Four-tier กรอก'!AO67="Y",'📝 Four-tier กรอก'!AP67='📝 Four-tier กรอก'!AP51,'📝 Four-tier กรอก'!AQ67="Y"),"✅ Sound",IF(AND('📝 Four-tier กรอก'!AN67='📝 Four-tier กรอก'!AN51,'📝 Four-tier กรอก'!AO67="Y",'📝 Four-tier กรอก'!AP67&lt;&gt;'📝 Four-tier กรอก'!AP51,'📝 Four-tier กรอก'!AQ67="Y"),"🎲 Guess",IF(AND('📝 Four-tier กรอก'!AN67&lt;&gt;'📝 Four-tier กรอก'!AN51,'📝 Four-tier กรอก'!AO67="Y",'📝 Four-tier กรอก'!AP67&lt;&gt;'📝 Four-tier กรอก'!AP51,'📝 Four-tier กรอก'!AQ67="Y"),"❌ Misc.",IF(AND('📝 Four-tier กรอก'!AN67&lt;&gt;'📝 Four-tier กรอก'!AN51,'📝 Four-tier กรอก'!AO67="N",'📝 Four-tier กรอก'!AP67&lt;&gt;'📝 Four-tier กรอก'!AP51,'📝 Four-tier กรอก'!AQ67="N"),"❓ NoK","🤔 Partial")))))</f>
        <v/>
      </c>
      <c r="N66" s="68">
        <f>IF(OR('📝 Four-tier กรอก'!AR67="",'📝 Four-tier กรอก'!AT67=""),"—",IF(AND('📝 Four-tier กรอก'!AR67='📝 Four-tier กรอก'!AR51,'📝 Four-tier กรอก'!AS67="Y",'📝 Four-tier กรอก'!AT67='📝 Four-tier กรอก'!AT51,'📝 Four-tier กรอก'!AU67="Y"),"✅ Sound",IF(AND('📝 Four-tier กรอก'!AR67='📝 Four-tier กรอก'!AR51,'📝 Four-tier กรอก'!AS67="Y",'📝 Four-tier กรอก'!AT67&lt;&gt;'📝 Four-tier กรอก'!AT51,'📝 Four-tier กรอก'!AU67="Y"),"🎲 Guess",IF(AND('📝 Four-tier กรอก'!AR67&lt;&gt;'📝 Four-tier กรอก'!AR51,'📝 Four-tier กรอก'!AS67="Y",'📝 Four-tier กรอก'!AT67&lt;&gt;'📝 Four-tier กรอก'!AT51,'📝 Four-tier กรอก'!AU67="Y"),"❌ Misc.",IF(AND('📝 Four-tier กรอก'!AR67&lt;&gt;'📝 Four-tier กรอก'!AR51,'📝 Four-tier กรอก'!AS67="N",'📝 Four-tier กรอก'!AT67&lt;&gt;'📝 Four-tier กรอก'!AT51,'📝 Four-tier กรอก'!AU67="N"),"❓ NoK","🤔 Partial")))))</f>
        <v/>
      </c>
      <c r="O66" s="68">
        <f>IF(OR('📝 Four-tier กรอก'!AV67="",'📝 Four-tier กรอก'!AX67=""),"—",IF(AND('📝 Four-tier กรอก'!AV67='📝 Four-tier กรอก'!AV51,'📝 Four-tier กรอก'!AW67="Y",'📝 Four-tier กรอก'!AX67='📝 Four-tier กรอก'!AX51,'📝 Four-tier กรอก'!AY67="Y"),"✅ Sound",IF(AND('📝 Four-tier กรอก'!AV67='📝 Four-tier กรอก'!AV51,'📝 Four-tier กรอก'!AW67="Y",'📝 Four-tier กรอก'!AX67&lt;&gt;'📝 Four-tier กรอก'!AX51,'📝 Four-tier กรอก'!AY67="Y"),"🎲 Guess",IF(AND('📝 Four-tier กรอก'!AV67&lt;&gt;'📝 Four-tier กรอก'!AV51,'📝 Four-tier กรอก'!AW67="Y",'📝 Four-tier กรอก'!AX67&lt;&gt;'📝 Four-tier กรอก'!AX51,'📝 Four-tier กรอก'!AY67="Y"),"❌ Misc.",IF(AND('📝 Four-tier กรอก'!AV67&lt;&gt;'📝 Four-tier กรอก'!AV51,'📝 Four-tier กรอก'!AW67="N",'📝 Four-tier กรอก'!AX67&lt;&gt;'📝 Four-tier กรอก'!AX51,'📝 Four-tier กรอก'!AY67="N"),"❓ NoK","🤔 Partial")))))</f>
        <v/>
      </c>
      <c r="P66" s="68">
        <f>IF(OR('📝 Four-tier กรอก'!AZ67="",'📝 Four-tier กรอก'!BB67=""),"—",IF(AND('📝 Four-tier กรอก'!AZ67='📝 Four-tier กรอก'!AZ51,'📝 Four-tier กรอก'!BA67="Y",'📝 Four-tier กรอก'!BB67='📝 Four-tier กรอก'!BB51,'📝 Four-tier กรอก'!BC67="Y"),"✅ Sound",IF(AND('📝 Four-tier กรอก'!AZ67='📝 Four-tier กรอก'!AZ51,'📝 Four-tier กรอก'!BA67="Y",'📝 Four-tier กรอก'!BB67&lt;&gt;'📝 Four-tier กรอก'!BB51,'📝 Four-tier กรอก'!BC67="Y"),"🎲 Guess",IF(AND('📝 Four-tier กรอก'!AZ67&lt;&gt;'📝 Four-tier กรอก'!AZ51,'📝 Four-tier กรอก'!BA67="Y",'📝 Four-tier กรอก'!BB67&lt;&gt;'📝 Four-tier กรอก'!BB51,'📝 Four-tier กรอก'!BC67="Y"),"❌ Misc.",IF(AND('📝 Four-tier กรอก'!AZ67&lt;&gt;'📝 Four-tier กรอก'!AZ51,'📝 Four-tier กรอก'!BA67="N",'📝 Four-tier กรอก'!BB67&lt;&gt;'📝 Four-tier กรอก'!BB51,'📝 Four-tier กรอก'!BC67="N"),"❓ NoK","🤔 Partial")))))</f>
        <v/>
      </c>
      <c r="Q66" s="68">
        <f>IF(OR('📝 Four-tier กรอก'!BD67="",'📝 Four-tier กรอก'!BF67=""),"—",IF(AND('📝 Four-tier กรอก'!BD67='📝 Four-tier กรอก'!BD51,'📝 Four-tier กรอก'!BE67="Y",'📝 Four-tier กรอก'!BF67='📝 Four-tier กรอก'!BF51,'📝 Four-tier กรอก'!BG67="Y"),"✅ Sound",IF(AND('📝 Four-tier กรอก'!BD67='📝 Four-tier กรอก'!BD51,'📝 Four-tier กรอก'!BE67="Y",'📝 Four-tier กรอก'!BF67&lt;&gt;'📝 Four-tier กรอก'!BF51,'📝 Four-tier กรอก'!BG67="Y"),"🎲 Guess",IF(AND('📝 Four-tier กรอก'!BD67&lt;&gt;'📝 Four-tier กรอก'!BD51,'📝 Four-tier กรอก'!BE67="Y",'📝 Four-tier กรอก'!BF67&lt;&gt;'📝 Four-tier กรอก'!BF51,'📝 Four-tier กรอก'!BG67="Y"),"❌ Misc.",IF(AND('📝 Four-tier กรอก'!BD67&lt;&gt;'📝 Four-tier กรอก'!BD51,'📝 Four-tier กรอก'!BE67="N",'📝 Four-tier กรอก'!BF67&lt;&gt;'📝 Four-tier กรอก'!BF51,'📝 Four-tier กรอก'!BG67="N"),"❓ NoK","🤔 Partial")))))</f>
        <v/>
      </c>
      <c r="R66" s="68">
        <f>IF(OR('📝 Four-tier กรอก'!BH67="",'📝 Four-tier กรอก'!BJ67=""),"—",IF(AND('📝 Four-tier กรอก'!BH67='📝 Four-tier กรอก'!BH51,'📝 Four-tier กรอก'!BI67="Y",'📝 Four-tier กรอก'!BJ67='📝 Four-tier กรอก'!BJ51,'📝 Four-tier กรอก'!BK67="Y"),"✅ Sound",IF(AND('📝 Four-tier กรอก'!BH67='📝 Four-tier กรอก'!BH51,'📝 Four-tier กรอก'!BI67="Y",'📝 Four-tier กรอก'!BJ67&lt;&gt;'📝 Four-tier กรอก'!BJ51,'📝 Four-tier กรอก'!BK67="Y"),"🎲 Guess",IF(AND('📝 Four-tier กรอก'!BH67&lt;&gt;'📝 Four-tier กรอก'!BH51,'📝 Four-tier กรอก'!BI67="Y",'📝 Four-tier กรอก'!BJ67&lt;&gt;'📝 Four-tier กรอก'!BJ51,'📝 Four-tier กรอก'!BK67="Y"),"❌ Misc.",IF(AND('📝 Four-tier กรอก'!BH67&lt;&gt;'📝 Four-tier กรอก'!BH51,'📝 Four-tier กรอก'!BI67="N",'📝 Four-tier กรอก'!BJ67&lt;&gt;'📝 Four-tier กรอก'!BJ51,'📝 Four-tier กรอก'!BK67="N"),"❓ NoK","🤔 Partial")))))</f>
        <v/>
      </c>
      <c r="S66" s="68">
        <f>IF(OR('📝 Four-tier กรอก'!BL67="",'📝 Four-tier กรอก'!BN67=""),"—",IF(AND('📝 Four-tier กรอก'!BL67='📝 Four-tier กรอก'!BL51,'📝 Four-tier กรอก'!BM67="Y",'📝 Four-tier กรอก'!BN67='📝 Four-tier กรอก'!BN51,'📝 Four-tier กรอก'!BO67="Y"),"✅ Sound",IF(AND('📝 Four-tier กรอก'!BL67='📝 Four-tier กรอก'!BL51,'📝 Four-tier กรอก'!BM67="Y",'📝 Four-tier กรอก'!BN67&lt;&gt;'📝 Four-tier กรอก'!BN51,'📝 Four-tier กรอก'!BO67="Y"),"🎲 Guess",IF(AND('📝 Four-tier กรอก'!BL67&lt;&gt;'📝 Four-tier กรอก'!BL51,'📝 Four-tier กรอก'!BM67="Y",'📝 Four-tier กรอก'!BN67&lt;&gt;'📝 Four-tier กรอก'!BN51,'📝 Four-tier กรอก'!BO67="Y"),"❌ Misc.",IF(AND('📝 Four-tier กรอก'!BL67&lt;&gt;'📝 Four-tier กรอก'!BL51,'📝 Four-tier กรอก'!BM67="N",'📝 Four-tier กรอก'!BN67&lt;&gt;'📝 Four-tier กรอก'!BN51,'📝 Four-tier กรอก'!BO67="N"),"❓ NoK","🤔 Partial")))))</f>
        <v/>
      </c>
      <c r="T66" s="68">
        <f>IF(OR('📝 Four-tier กรอก'!BP67="",'📝 Four-tier กรอก'!BR67=""),"—",IF(AND('📝 Four-tier กรอก'!BP67='📝 Four-tier กรอก'!BP51,'📝 Four-tier กรอก'!BQ67="Y",'📝 Four-tier กรอก'!BR67='📝 Four-tier กรอก'!BR51,'📝 Four-tier กรอก'!BS67="Y"),"✅ Sound",IF(AND('📝 Four-tier กรอก'!BP67='📝 Four-tier กรอก'!BP51,'📝 Four-tier กรอก'!BQ67="Y",'📝 Four-tier กรอก'!BR67&lt;&gt;'📝 Four-tier กรอก'!BR51,'📝 Four-tier กรอก'!BS67="Y"),"🎲 Guess",IF(AND('📝 Four-tier กรอก'!BP67&lt;&gt;'📝 Four-tier กรอก'!BP51,'📝 Four-tier กรอก'!BQ67="Y",'📝 Four-tier กรอก'!BR67&lt;&gt;'📝 Four-tier กรอก'!BR51,'📝 Four-tier กรอก'!BS67="Y"),"❌ Misc.",IF(AND('📝 Four-tier กรอก'!BP67&lt;&gt;'📝 Four-tier กรอก'!BP51,'📝 Four-tier กรอก'!BQ67="N",'📝 Four-tier กรอก'!BR67&lt;&gt;'📝 Four-tier กรอก'!BR51,'📝 Four-tier กรอก'!BS67="N"),"❓ NoK","🤔 Partial")))))</f>
        <v/>
      </c>
      <c r="U66" s="68">
        <f>IF(OR('📝 Four-tier กรอก'!BT67="",'📝 Four-tier กรอก'!BV67=""),"—",IF(AND('📝 Four-tier กรอก'!BT67='📝 Four-tier กรอก'!BT51,'📝 Four-tier กรอก'!BU67="Y",'📝 Four-tier กรอก'!BV67='📝 Four-tier กรอก'!BV51,'📝 Four-tier กรอก'!BW67="Y"),"✅ Sound",IF(AND('📝 Four-tier กรอก'!BT67='📝 Four-tier กรอก'!BT51,'📝 Four-tier กรอก'!BU67="Y",'📝 Four-tier กรอก'!BV67&lt;&gt;'📝 Four-tier กรอก'!BV51,'📝 Four-tier กรอก'!BW67="Y"),"🎲 Guess",IF(AND('📝 Four-tier กรอก'!BT67&lt;&gt;'📝 Four-tier กรอก'!BT51,'📝 Four-tier กรอก'!BU67="Y",'📝 Four-tier กรอก'!BV67&lt;&gt;'📝 Four-tier กรอก'!BV51,'📝 Four-tier กรอก'!BW67="Y"),"❌ Misc.",IF(AND('📝 Four-tier กรอก'!BT67&lt;&gt;'📝 Four-tier กรอก'!BT51,'📝 Four-tier กรอก'!BU67="N",'📝 Four-tier กรอก'!BV67&lt;&gt;'📝 Four-tier กรอก'!BV51,'📝 Four-tier กรอก'!BW67="N"),"❓ NoK","🤔 Partial")))))</f>
        <v/>
      </c>
      <c r="V66" s="68">
        <f>IF(OR('📝 Four-tier กรอก'!BX67="",'📝 Four-tier กรอก'!BZ67=""),"—",IF(AND('📝 Four-tier กรอก'!BX67='📝 Four-tier กรอก'!BX51,'📝 Four-tier กรอก'!BY67="Y",'📝 Four-tier กรอก'!BZ67='📝 Four-tier กรอก'!BZ51,'📝 Four-tier กรอก'!CA67="Y"),"✅ Sound",IF(AND('📝 Four-tier กรอก'!BX67='📝 Four-tier กรอก'!BX51,'📝 Four-tier กรอก'!BY67="Y",'📝 Four-tier กรอก'!BZ67&lt;&gt;'📝 Four-tier กรอก'!BZ51,'📝 Four-tier กรอก'!CA67="Y"),"🎲 Guess",IF(AND('📝 Four-tier กรอก'!BX67&lt;&gt;'📝 Four-tier กรอก'!BX51,'📝 Four-tier กรอก'!BY67="Y",'📝 Four-tier กรอก'!BZ67&lt;&gt;'📝 Four-tier กรอก'!BZ51,'📝 Four-tier กรอก'!CA67="Y"),"❌ Misc.",IF(AND('📝 Four-tier กรอก'!BX67&lt;&gt;'📝 Four-tier กรอก'!BX51,'📝 Four-tier กรอก'!BY67="N",'📝 Four-tier กรอก'!BZ67&lt;&gt;'📝 Four-tier กรอก'!BZ51,'📝 Four-tier กรอก'!CA67="N"),"❓ NoK","🤔 Partial")))))</f>
        <v/>
      </c>
      <c r="W66" s="68">
        <f>IF(OR('📝 Four-tier กรอก'!CB67="",'📝 Four-tier กรอก'!CD67=""),"—",IF(AND('📝 Four-tier กรอก'!CB67='📝 Four-tier กรอก'!CB51,'📝 Four-tier กรอก'!CC67="Y",'📝 Four-tier กรอก'!CD67='📝 Four-tier กรอก'!CD51,'📝 Four-tier กรอก'!CE67="Y"),"✅ Sound",IF(AND('📝 Four-tier กรอก'!CB67='📝 Four-tier กรอก'!CB51,'📝 Four-tier กรอก'!CC67="Y",'📝 Four-tier กรอก'!CD67&lt;&gt;'📝 Four-tier กรอก'!CD51,'📝 Four-tier กรอก'!CE67="Y"),"🎲 Guess",IF(AND('📝 Four-tier กรอก'!CB67&lt;&gt;'📝 Four-tier กรอก'!CB51,'📝 Four-tier กรอก'!CC67="Y",'📝 Four-tier กรอก'!CD67&lt;&gt;'📝 Four-tier กรอก'!CD51,'📝 Four-tier กรอก'!CE67="Y"),"❌ Misc.",IF(AND('📝 Four-tier กรอก'!CB67&lt;&gt;'📝 Four-tier กรอก'!CB51,'📝 Four-tier กรอก'!CC67="N",'📝 Four-tier กรอก'!CD67&lt;&gt;'📝 Four-tier กรอก'!CD51,'📝 Four-tier กรอก'!CE67="N"),"❓ NoK","🤔 Partial")))))</f>
        <v/>
      </c>
      <c r="X66" s="37">
        <f>COUNTIF(D66:W66,"✅ Sound")</f>
        <v/>
      </c>
      <c r="Y66" s="37">
        <f>COUNTIF(D66:W66,"❌ Misc.")</f>
        <v/>
      </c>
      <c r="Z66" s="37">
        <f>COUNTIF(D66:W66,"🎲 Guess")</f>
        <v/>
      </c>
      <c r="AA66" s="37">
        <f>COUNTIF(D66:W66,"❓ NoK")</f>
        <v/>
      </c>
    </row>
    <row r="67" ht="18" customHeight="1">
      <c r="B67" s="46">
        <f>'📝 Four-tier กรอก'!B68</f>
        <v/>
      </c>
      <c r="C67" s="47">
        <f>'📝 Four-tier กรอก'!C68</f>
        <v/>
      </c>
      <c r="D67" s="67">
        <f>IF(OR('📝 Four-tier กรอก'!D68="",'📝 Four-tier กรอก'!F68=""),"—",IF(AND('📝 Four-tier กรอก'!D68='📝 Four-tier กรอก'!D51,'📝 Four-tier กรอก'!E68="Y",'📝 Four-tier กรอก'!F68='📝 Four-tier กรอก'!F51,'📝 Four-tier กรอก'!G68="Y"),"✅ Sound",IF(AND('📝 Four-tier กรอก'!D68='📝 Four-tier กรอก'!D51,'📝 Four-tier กรอก'!E68="Y",'📝 Four-tier กรอก'!F68&lt;&gt;'📝 Four-tier กรอก'!F51,'📝 Four-tier กรอก'!G68="Y"),"🎲 Guess",IF(AND('📝 Four-tier กรอก'!D68&lt;&gt;'📝 Four-tier กรอก'!D51,'📝 Four-tier กรอก'!E68="Y",'📝 Four-tier กรอก'!F68&lt;&gt;'📝 Four-tier กรอก'!F51,'📝 Four-tier กรอก'!G68="Y"),"❌ Misc.",IF(AND('📝 Four-tier กรอก'!D68&lt;&gt;'📝 Four-tier กรอก'!D51,'📝 Four-tier กรอก'!E68="N",'📝 Four-tier กรอก'!F68&lt;&gt;'📝 Four-tier กรอก'!F51,'📝 Four-tier กรอก'!G68="N"),"❓ NoK","🤔 Partial")))))</f>
        <v/>
      </c>
      <c r="E67" s="67">
        <f>IF(OR('📝 Four-tier กรอก'!H68="",'📝 Four-tier กรอก'!J68=""),"—",IF(AND('📝 Four-tier กรอก'!H68='📝 Four-tier กรอก'!H51,'📝 Four-tier กรอก'!I68="Y",'📝 Four-tier กรอก'!J68='📝 Four-tier กรอก'!J51,'📝 Four-tier กรอก'!K68="Y"),"✅ Sound",IF(AND('📝 Four-tier กรอก'!H68='📝 Four-tier กรอก'!H51,'📝 Four-tier กรอก'!I68="Y",'📝 Four-tier กรอก'!J68&lt;&gt;'📝 Four-tier กรอก'!J51,'📝 Four-tier กรอก'!K68="Y"),"🎲 Guess",IF(AND('📝 Four-tier กรอก'!H68&lt;&gt;'📝 Four-tier กรอก'!H51,'📝 Four-tier กรอก'!I68="Y",'📝 Four-tier กรอก'!J68&lt;&gt;'📝 Four-tier กรอก'!J51,'📝 Four-tier กรอก'!K68="Y"),"❌ Misc.",IF(AND('📝 Four-tier กรอก'!H68&lt;&gt;'📝 Four-tier กรอก'!H51,'📝 Four-tier กรอก'!I68="N",'📝 Four-tier กรอก'!J68&lt;&gt;'📝 Four-tier กรอก'!J51,'📝 Four-tier กรอก'!K68="N"),"❓ NoK","🤔 Partial")))))</f>
        <v/>
      </c>
      <c r="F67" s="67">
        <f>IF(OR('📝 Four-tier กรอก'!L68="",'📝 Four-tier กรอก'!N68=""),"—",IF(AND('📝 Four-tier กรอก'!L68='📝 Four-tier กรอก'!L51,'📝 Four-tier กรอก'!M68="Y",'📝 Four-tier กรอก'!N68='📝 Four-tier กรอก'!N51,'📝 Four-tier กรอก'!O68="Y"),"✅ Sound",IF(AND('📝 Four-tier กรอก'!L68='📝 Four-tier กรอก'!L51,'📝 Four-tier กรอก'!M68="Y",'📝 Four-tier กรอก'!N68&lt;&gt;'📝 Four-tier กรอก'!N51,'📝 Four-tier กรอก'!O68="Y"),"🎲 Guess",IF(AND('📝 Four-tier กรอก'!L68&lt;&gt;'📝 Four-tier กรอก'!L51,'📝 Four-tier กรอก'!M68="Y",'📝 Four-tier กรอก'!N68&lt;&gt;'📝 Four-tier กรอก'!N51,'📝 Four-tier กรอก'!O68="Y"),"❌ Misc.",IF(AND('📝 Four-tier กรอก'!L68&lt;&gt;'📝 Four-tier กรอก'!L51,'📝 Four-tier กรอก'!M68="N",'📝 Four-tier กรอก'!N68&lt;&gt;'📝 Four-tier กรอก'!N51,'📝 Four-tier กรอก'!O68="N"),"❓ NoK","🤔 Partial")))))</f>
        <v/>
      </c>
      <c r="G67" s="67">
        <f>IF(OR('📝 Four-tier กรอก'!P68="",'📝 Four-tier กรอก'!R68=""),"—",IF(AND('📝 Four-tier กรอก'!P68='📝 Four-tier กรอก'!P51,'📝 Four-tier กรอก'!Q68="Y",'📝 Four-tier กรอก'!R68='📝 Four-tier กรอก'!R51,'📝 Four-tier กรอก'!S68="Y"),"✅ Sound",IF(AND('📝 Four-tier กรอก'!P68='📝 Four-tier กรอก'!P51,'📝 Four-tier กรอก'!Q68="Y",'📝 Four-tier กรอก'!R68&lt;&gt;'📝 Four-tier กรอก'!R51,'📝 Four-tier กรอก'!S68="Y"),"🎲 Guess",IF(AND('📝 Four-tier กรอก'!P68&lt;&gt;'📝 Four-tier กรอก'!P51,'📝 Four-tier กรอก'!Q68="Y",'📝 Four-tier กรอก'!R68&lt;&gt;'📝 Four-tier กรอก'!R51,'📝 Four-tier กรอก'!S68="Y"),"❌ Misc.",IF(AND('📝 Four-tier กรอก'!P68&lt;&gt;'📝 Four-tier กรอก'!P51,'📝 Four-tier กรอก'!Q68="N",'📝 Four-tier กรอก'!R68&lt;&gt;'📝 Four-tier กรอก'!R51,'📝 Four-tier กรอก'!S68="N"),"❓ NoK","🤔 Partial")))))</f>
        <v/>
      </c>
      <c r="H67" s="67">
        <f>IF(OR('📝 Four-tier กรอก'!T68="",'📝 Four-tier กรอก'!V68=""),"—",IF(AND('📝 Four-tier กรอก'!T68='📝 Four-tier กรอก'!T51,'📝 Four-tier กรอก'!U68="Y",'📝 Four-tier กรอก'!V68='📝 Four-tier กรอก'!V51,'📝 Four-tier กรอก'!W68="Y"),"✅ Sound",IF(AND('📝 Four-tier กรอก'!T68='📝 Four-tier กรอก'!T51,'📝 Four-tier กรอก'!U68="Y",'📝 Four-tier กรอก'!V68&lt;&gt;'📝 Four-tier กรอก'!V51,'📝 Four-tier กรอก'!W68="Y"),"🎲 Guess",IF(AND('📝 Four-tier กรอก'!T68&lt;&gt;'📝 Four-tier กรอก'!T51,'📝 Four-tier กรอก'!U68="Y",'📝 Four-tier กรอก'!V68&lt;&gt;'📝 Four-tier กรอก'!V51,'📝 Four-tier กรอก'!W68="Y"),"❌ Misc.",IF(AND('📝 Four-tier กรอก'!T68&lt;&gt;'📝 Four-tier กรอก'!T51,'📝 Four-tier กรอก'!U68="N",'📝 Four-tier กรอก'!V68&lt;&gt;'📝 Four-tier กรอก'!V51,'📝 Four-tier กรอก'!W68="N"),"❓ NoK","🤔 Partial")))))</f>
        <v/>
      </c>
      <c r="I67" s="67">
        <f>IF(OR('📝 Four-tier กรอก'!X68="",'📝 Four-tier กรอก'!Z68=""),"—",IF(AND('📝 Four-tier กรอก'!X68='📝 Four-tier กรอก'!X51,'📝 Four-tier กรอก'!Y68="Y",'📝 Four-tier กรอก'!Z68='📝 Four-tier กรอก'!Z51,'📝 Four-tier กรอก'!AA68="Y"),"✅ Sound",IF(AND('📝 Four-tier กรอก'!X68='📝 Four-tier กรอก'!X51,'📝 Four-tier กรอก'!Y68="Y",'📝 Four-tier กรอก'!Z68&lt;&gt;'📝 Four-tier กรอก'!Z51,'📝 Four-tier กรอก'!AA68="Y"),"🎲 Guess",IF(AND('📝 Four-tier กรอก'!X68&lt;&gt;'📝 Four-tier กรอก'!X51,'📝 Four-tier กรอก'!Y68="Y",'📝 Four-tier กรอก'!Z68&lt;&gt;'📝 Four-tier กรอก'!Z51,'📝 Four-tier กรอก'!AA68="Y"),"❌ Misc.",IF(AND('📝 Four-tier กรอก'!X68&lt;&gt;'📝 Four-tier กรอก'!X51,'📝 Four-tier กรอก'!Y68="N",'📝 Four-tier กรอก'!Z68&lt;&gt;'📝 Four-tier กรอก'!Z51,'📝 Four-tier กรอก'!AA68="N"),"❓ NoK","🤔 Partial")))))</f>
        <v/>
      </c>
      <c r="J67" s="67">
        <f>IF(OR('📝 Four-tier กรอก'!AB68="",'📝 Four-tier กรอก'!AD68=""),"—",IF(AND('📝 Four-tier กรอก'!AB68='📝 Four-tier กรอก'!AB51,'📝 Four-tier กรอก'!AC68="Y",'📝 Four-tier กรอก'!AD68='📝 Four-tier กรอก'!AD51,'📝 Four-tier กรอก'!AE68="Y"),"✅ Sound",IF(AND('📝 Four-tier กรอก'!AB68='📝 Four-tier กรอก'!AB51,'📝 Four-tier กรอก'!AC68="Y",'📝 Four-tier กรอก'!AD68&lt;&gt;'📝 Four-tier กรอก'!AD51,'📝 Four-tier กรอก'!AE68="Y"),"🎲 Guess",IF(AND('📝 Four-tier กรอก'!AB68&lt;&gt;'📝 Four-tier กรอก'!AB51,'📝 Four-tier กรอก'!AC68="Y",'📝 Four-tier กรอก'!AD68&lt;&gt;'📝 Four-tier กรอก'!AD51,'📝 Four-tier กรอก'!AE68="Y"),"❌ Misc.",IF(AND('📝 Four-tier กรอก'!AB68&lt;&gt;'📝 Four-tier กรอก'!AB51,'📝 Four-tier กรอก'!AC68="N",'📝 Four-tier กรอก'!AD68&lt;&gt;'📝 Four-tier กรอก'!AD51,'📝 Four-tier กรอก'!AE68="N"),"❓ NoK","🤔 Partial")))))</f>
        <v/>
      </c>
      <c r="K67" s="67">
        <f>IF(OR('📝 Four-tier กรอก'!AF68="",'📝 Four-tier กรอก'!AH68=""),"—",IF(AND('📝 Four-tier กรอก'!AF68='📝 Four-tier กรอก'!AF51,'📝 Four-tier กรอก'!AG68="Y",'📝 Four-tier กรอก'!AH68='📝 Four-tier กรอก'!AH51,'📝 Four-tier กรอก'!AI68="Y"),"✅ Sound",IF(AND('📝 Four-tier กรอก'!AF68='📝 Four-tier กรอก'!AF51,'📝 Four-tier กรอก'!AG68="Y",'📝 Four-tier กรอก'!AH68&lt;&gt;'📝 Four-tier กรอก'!AH51,'📝 Four-tier กรอก'!AI68="Y"),"🎲 Guess",IF(AND('📝 Four-tier กรอก'!AF68&lt;&gt;'📝 Four-tier กรอก'!AF51,'📝 Four-tier กรอก'!AG68="Y",'📝 Four-tier กรอก'!AH68&lt;&gt;'📝 Four-tier กรอก'!AH51,'📝 Four-tier กรอก'!AI68="Y"),"❌ Misc.",IF(AND('📝 Four-tier กรอก'!AF68&lt;&gt;'📝 Four-tier กรอก'!AF51,'📝 Four-tier กรอก'!AG68="N",'📝 Four-tier กรอก'!AH68&lt;&gt;'📝 Four-tier กรอก'!AH51,'📝 Four-tier กรอก'!AI68="N"),"❓ NoK","🤔 Partial")))))</f>
        <v/>
      </c>
      <c r="L67" s="67">
        <f>IF(OR('📝 Four-tier กรอก'!AJ68="",'📝 Four-tier กรอก'!AL68=""),"—",IF(AND('📝 Four-tier กรอก'!AJ68='📝 Four-tier กรอก'!AJ51,'📝 Four-tier กรอก'!AK68="Y",'📝 Four-tier กรอก'!AL68='📝 Four-tier กรอก'!AL51,'📝 Four-tier กรอก'!AM68="Y"),"✅ Sound",IF(AND('📝 Four-tier กรอก'!AJ68='📝 Four-tier กรอก'!AJ51,'📝 Four-tier กรอก'!AK68="Y",'📝 Four-tier กรอก'!AL68&lt;&gt;'📝 Four-tier กรอก'!AL51,'📝 Four-tier กรอก'!AM68="Y"),"🎲 Guess",IF(AND('📝 Four-tier กรอก'!AJ68&lt;&gt;'📝 Four-tier กรอก'!AJ51,'📝 Four-tier กรอก'!AK68="Y",'📝 Four-tier กรอก'!AL68&lt;&gt;'📝 Four-tier กรอก'!AL51,'📝 Four-tier กรอก'!AM68="Y"),"❌ Misc.",IF(AND('📝 Four-tier กรอก'!AJ68&lt;&gt;'📝 Four-tier กรอก'!AJ51,'📝 Four-tier กรอก'!AK68="N",'📝 Four-tier กรอก'!AL68&lt;&gt;'📝 Four-tier กรอก'!AL51,'📝 Four-tier กรอก'!AM68="N"),"❓ NoK","🤔 Partial")))))</f>
        <v/>
      </c>
      <c r="M67" s="67">
        <f>IF(OR('📝 Four-tier กรอก'!AN68="",'📝 Four-tier กรอก'!AP68=""),"—",IF(AND('📝 Four-tier กรอก'!AN68='📝 Four-tier กรอก'!AN51,'📝 Four-tier กรอก'!AO68="Y",'📝 Four-tier กรอก'!AP68='📝 Four-tier กรอก'!AP51,'📝 Four-tier กรอก'!AQ68="Y"),"✅ Sound",IF(AND('📝 Four-tier กรอก'!AN68='📝 Four-tier กรอก'!AN51,'📝 Four-tier กรอก'!AO68="Y",'📝 Four-tier กรอก'!AP68&lt;&gt;'📝 Four-tier กรอก'!AP51,'📝 Four-tier กรอก'!AQ68="Y"),"🎲 Guess",IF(AND('📝 Four-tier กรอก'!AN68&lt;&gt;'📝 Four-tier กรอก'!AN51,'📝 Four-tier กรอก'!AO68="Y",'📝 Four-tier กรอก'!AP68&lt;&gt;'📝 Four-tier กรอก'!AP51,'📝 Four-tier กรอก'!AQ68="Y"),"❌ Misc.",IF(AND('📝 Four-tier กรอก'!AN68&lt;&gt;'📝 Four-tier กรอก'!AN51,'📝 Four-tier กรอก'!AO68="N",'📝 Four-tier กรอก'!AP68&lt;&gt;'📝 Four-tier กรอก'!AP51,'📝 Four-tier กรอก'!AQ68="N"),"❓ NoK","🤔 Partial")))))</f>
        <v/>
      </c>
      <c r="N67" s="67">
        <f>IF(OR('📝 Four-tier กรอก'!AR68="",'📝 Four-tier กรอก'!AT68=""),"—",IF(AND('📝 Four-tier กรอก'!AR68='📝 Four-tier กรอก'!AR51,'📝 Four-tier กรอก'!AS68="Y",'📝 Four-tier กรอก'!AT68='📝 Four-tier กรอก'!AT51,'📝 Four-tier กรอก'!AU68="Y"),"✅ Sound",IF(AND('📝 Four-tier กรอก'!AR68='📝 Four-tier กรอก'!AR51,'📝 Four-tier กรอก'!AS68="Y",'📝 Four-tier กรอก'!AT68&lt;&gt;'📝 Four-tier กรอก'!AT51,'📝 Four-tier กรอก'!AU68="Y"),"🎲 Guess",IF(AND('📝 Four-tier กรอก'!AR68&lt;&gt;'📝 Four-tier กรอก'!AR51,'📝 Four-tier กรอก'!AS68="Y",'📝 Four-tier กรอก'!AT68&lt;&gt;'📝 Four-tier กรอก'!AT51,'📝 Four-tier กรอก'!AU68="Y"),"❌ Misc.",IF(AND('📝 Four-tier กรอก'!AR68&lt;&gt;'📝 Four-tier กรอก'!AR51,'📝 Four-tier กรอก'!AS68="N",'📝 Four-tier กรอก'!AT68&lt;&gt;'📝 Four-tier กรอก'!AT51,'📝 Four-tier กรอก'!AU68="N"),"❓ NoK","🤔 Partial")))))</f>
        <v/>
      </c>
      <c r="O67" s="67">
        <f>IF(OR('📝 Four-tier กรอก'!AV68="",'📝 Four-tier กรอก'!AX68=""),"—",IF(AND('📝 Four-tier กรอก'!AV68='📝 Four-tier กรอก'!AV51,'📝 Four-tier กรอก'!AW68="Y",'📝 Four-tier กรอก'!AX68='📝 Four-tier กรอก'!AX51,'📝 Four-tier กรอก'!AY68="Y"),"✅ Sound",IF(AND('📝 Four-tier กรอก'!AV68='📝 Four-tier กรอก'!AV51,'📝 Four-tier กรอก'!AW68="Y",'📝 Four-tier กรอก'!AX68&lt;&gt;'📝 Four-tier กรอก'!AX51,'📝 Four-tier กรอก'!AY68="Y"),"🎲 Guess",IF(AND('📝 Four-tier กรอก'!AV68&lt;&gt;'📝 Four-tier กรอก'!AV51,'📝 Four-tier กรอก'!AW68="Y",'📝 Four-tier กรอก'!AX68&lt;&gt;'📝 Four-tier กรอก'!AX51,'📝 Four-tier กรอก'!AY68="Y"),"❌ Misc.",IF(AND('📝 Four-tier กรอก'!AV68&lt;&gt;'📝 Four-tier กรอก'!AV51,'📝 Four-tier กรอก'!AW68="N",'📝 Four-tier กรอก'!AX68&lt;&gt;'📝 Four-tier กรอก'!AX51,'📝 Four-tier กรอก'!AY68="N"),"❓ NoK","🤔 Partial")))))</f>
        <v/>
      </c>
      <c r="P67" s="67">
        <f>IF(OR('📝 Four-tier กรอก'!AZ68="",'📝 Four-tier กรอก'!BB68=""),"—",IF(AND('📝 Four-tier กรอก'!AZ68='📝 Four-tier กรอก'!AZ51,'📝 Four-tier กรอก'!BA68="Y",'📝 Four-tier กรอก'!BB68='📝 Four-tier กรอก'!BB51,'📝 Four-tier กรอก'!BC68="Y"),"✅ Sound",IF(AND('📝 Four-tier กรอก'!AZ68='📝 Four-tier กรอก'!AZ51,'📝 Four-tier กรอก'!BA68="Y",'📝 Four-tier กรอก'!BB68&lt;&gt;'📝 Four-tier กรอก'!BB51,'📝 Four-tier กรอก'!BC68="Y"),"🎲 Guess",IF(AND('📝 Four-tier กรอก'!AZ68&lt;&gt;'📝 Four-tier กรอก'!AZ51,'📝 Four-tier กรอก'!BA68="Y",'📝 Four-tier กรอก'!BB68&lt;&gt;'📝 Four-tier กรอก'!BB51,'📝 Four-tier กรอก'!BC68="Y"),"❌ Misc.",IF(AND('📝 Four-tier กรอก'!AZ68&lt;&gt;'📝 Four-tier กรอก'!AZ51,'📝 Four-tier กรอก'!BA68="N",'📝 Four-tier กรอก'!BB68&lt;&gt;'📝 Four-tier กรอก'!BB51,'📝 Four-tier กรอก'!BC68="N"),"❓ NoK","🤔 Partial")))))</f>
        <v/>
      </c>
      <c r="Q67" s="67">
        <f>IF(OR('📝 Four-tier กรอก'!BD68="",'📝 Four-tier กรอก'!BF68=""),"—",IF(AND('📝 Four-tier กรอก'!BD68='📝 Four-tier กรอก'!BD51,'📝 Four-tier กรอก'!BE68="Y",'📝 Four-tier กรอก'!BF68='📝 Four-tier กรอก'!BF51,'📝 Four-tier กรอก'!BG68="Y"),"✅ Sound",IF(AND('📝 Four-tier กรอก'!BD68='📝 Four-tier กรอก'!BD51,'📝 Four-tier กรอก'!BE68="Y",'📝 Four-tier กรอก'!BF68&lt;&gt;'📝 Four-tier กรอก'!BF51,'📝 Four-tier กรอก'!BG68="Y"),"🎲 Guess",IF(AND('📝 Four-tier กรอก'!BD68&lt;&gt;'📝 Four-tier กรอก'!BD51,'📝 Four-tier กรอก'!BE68="Y",'📝 Four-tier กรอก'!BF68&lt;&gt;'📝 Four-tier กรอก'!BF51,'📝 Four-tier กรอก'!BG68="Y"),"❌ Misc.",IF(AND('📝 Four-tier กรอก'!BD68&lt;&gt;'📝 Four-tier กรอก'!BD51,'📝 Four-tier กรอก'!BE68="N",'📝 Four-tier กรอก'!BF68&lt;&gt;'📝 Four-tier กรอก'!BF51,'📝 Four-tier กรอก'!BG68="N"),"❓ NoK","🤔 Partial")))))</f>
        <v/>
      </c>
      <c r="R67" s="67">
        <f>IF(OR('📝 Four-tier กรอก'!BH68="",'📝 Four-tier กรอก'!BJ68=""),"—",IF(AND('📝 Four-tier กรอก'!BH68='📝 Four-tier กรอก'!BH51,'📝 Four-tier กรอก'!BI68="Y",'📝 Four-tier กรอก'!BJ68='📝 Four-tier กรอก'!BJ51,'📝 Four-tier กรอก'!BK68="Y"),"✅ Sound",IF(AND('📝 Four-tier กรอก'!BH68='📝 Four-tier กรอก'!BH51,'📝 Four-tier กรอก'!BI68="Y",'📝 Four-tier กรอก'!BJ68&lt;&gt;'📝 Four-tier กรอก'!BJ51,'📝 Four-tier กรอก'!BK68="Y"),"🎲 Guess",IF(AND('📝 Four-tier กรอก'!BH68&lt;&gt;'📝 Four-tier กรอก'!BH51,'📝 Four-tier กรอก'!BI68="Y",'📝 Four-tier กรอก'!BJ68&lt;&gt;'📝 Four-tier กรอก'!BJ51,'📝 Four-tier กรอก'!BK68="Y"),"❌ Misc.",IF(AND('📝 Four-tier กรอก'!BH68&lt;&gt;'📝 Four-tier กรอก'!BH51,'📝 Four-tier กรอก'!BI68="N",'📝 Four-tier กรอก'!BJ68&lt;&gt;'📝 Four-tier กรอก'!BJ51,'📝 Four-tier กรอก'!BK68="N"),"❓ NoK","🤔 Partial")))))</f>
        <v/>
      </c>
      <c r="S67" s="67">
        <f>IF(OR('📝 Four-tier กรอก'!BL68="",'📝 Four-tier กรอก'!BN68=""),"—",IF(AND('📝 Four-tier กรอก'!BL68='📝 Four-tier กรอก'!BL51,'📝 Four-tier กรอก'!BM68="Y",'📝 Four-tier กรอก'!BN68='📝 Four-tier กรอก'!BN51,'📝 Four-tier กรอก'!BO68="Y"),"✅ Sound",IF(AND('📝 Four-tier กรอก'!BL68='📝 Four-tier กรอก'!BL51,'📝 Four-tier กรอก'!BM68="Y",'📝 Four-tier กรอก'!BN68&lt;&gt;'📝 Four-tier กรอก'!BN51,'📝 Four-tier กรอก'!BO68="Y"),"🎲 Guess",IF(AND('📝 Four-tier กรอก'!BL68&lt;&gt;'📝 Four-tier กรอก'!BL51,'📝 Four-tier กรอก'!BM68="Y",'📝 Four-tier กรอก'!BN68&lt;&gt;'📝 Four-tier กรอก'!BN51,'📝 Four-tier กรอก'!BO68="Y"),"❌ Misc.",IF(AND('📝 Four-tier กรอก'!BL68&lt;&gt;'📝 Four-tier กรอก'!BL51,'📝 Four-tier กรอก'!BM68="N",'📝 Four-tier กรอก'!BN68&lt;&gt;'📝 Four-tier กรอก'!BN51,'📝 Four-tier กรอก'!BO68="N"),"❓ NoK","🤔 Partial")))))</f>
        <v/>
      </c>
      <c r="T67" s="67">
        <f>IF(OR('📝 Four-tier กรอก'!BP68="",'📝 Four-tier กรอก'!BR68=""),"—",IF(AND('📝 Four-tier กรอก'!BP68='📝 Four-tier กรอก'!BP51,'📝 Four-tier กรอก'!BQ68="Y",'📝 Four-tier กรอก'!BR68='📝 Four-tier กรอก'!BR51,'📝 Four-tier กรอก'!BS68="Y"),"✅ Sound",IF(AND('📝 Four-tier กรอก'!BP68='📝 Four-tier กรอก'!BP51,'📝 Four-tier กรอก'!BQ68="Y",'📝 Four-tier กรอก'!BR68&lt;&gt;'📝 Four-tier กรอก'!BR51,'📝 Four-tier กรอก'!BS68="Y"),"🎲 Guess",IF(AND('📝 Four-tier กรอก'!BP68&lt;&gt;'📝 Four-tier กรอก'!BP51,'📝 Four-tier กรอก'!BQ68="Y",'📝 Four-tier กรอก'!BR68&lt;&gt;'📝 Four-tier กรอก'!BR51,'📝 Four-tier กรอก'!BS68="Y"),"❌ Misc.",IF(AND('📝 Four-tier กรอก'!BP68&lt;&gt;'📝 Four-tier กรอก'!BP51,'📝 Four-tier กรอก'!BQ68="N",'📝 Four-tier กรอก'!BR68&lt;&gt;'📝 Four-tier กรอก'!BR51,'📝 Four-tier กรอก'!BS68="N"),"❓ NoK","🤔 Partial")))))</f>
        <v/>
      </c>
      <c r="U67" s="67">
        <f>IF(OR('📝 Four-tier กรอก'!BT68="",'📝 Four-tier กรอก'!BV68=""),"—",IF(AND('📝 Four-tier กรอก'!BT68='📝 Four-tier กรอก'!BT51,'📝 Four-tier กรอก'!BU68="Y",'📝 Four-tier กรอก'!BV68='📝 Four-tier กรอก'!BV51,'📝 Four-tier กรอก'!BW68="Y"),"✅ Sound",IF(AND('📝 Four-tier กรอก'!BT68='📝 Four-tier กรอก'!BT51,'📝 Four-tier กรอก'!BU68="Y",'📝 Four-tier กรอก'!BV68&lt;&gt;'📝 Four-tier กรอก'!BV51,'📝 Four-tier กรอก'!BW68="Y"),"🎲 Guess",IF(AND('📝 Four-tier กรอก'!BT68&lt;&gt;'📝 Four-tier กรอก'!BT51,'📝 Four-tier กรอก'!BU68="Y",'📝 Four-tier กรอก'!BV68&lt;&gt;'📝 Four-tier กรอก'!BV51,'📝 Four-tier กรอก'!BW68="Y"),"❌ Misc.",IF(AND('📝 Four-tier กรอก'!BT68&lt;&gt;'📝 Four-tier กรอก'!BT51,'📝 Four-tier กรอก'!BU68="N",'📝 Four-tier กรอก'!BV68&lt;&gt;'📝 Four-tier กรอก'!BV51,'📝 Four-tier กรอก'!BW68="N"),"❓ NoK","🤔 Partial")))))</f>
        <v/>
      </c>
      <c r="V67" s="67">
        <f>IF(OR('📝 Four-tier กรอก'!BX68="",'📝 Four-tier กรอก'!BZ68=""),"—",IF(AND('📝 Four-tier กรอก'!BX68='📝 Four-tier กรอก'!BX51,'📝 Four-tier กรอก'!BY68="Y",'📝 Four-tier กรอก'!BZ68='📝 Four-tier กรอก'!BZ51,'📝 Four-tier กรอก'!CA68="Y"),"✅ Sound",IF(AND('📝 Four-tier กรอก'!BX68='📝 Four-tier กรอก'!BX51,'📝 Four-tier กรอก'!BY68="Y",'📝 Four-tier กรอก'!BZ68&lt;&gt;'📝 Four-tier กรอก'!BZ51,'📝 Four-tier กรอก'!CA68="Y"),"🎲 Guess",IF(AND('📝 Four-tier กรอก'!BX68&lt;&gt;'📝 Four-tier กรอก'!BX51,'📝 Four-tier กรอก'!BY68="Y",'📝 Four-tier กรอก'!BZ68&lt;&gt;'📝 Four-tier กรอก'!BZ51,'📝 Four-tier กรอก'!CA68="Y"),"❌ Misc.",IF(AND('📝 Four-tier กรอก'!BX68&lt;&gt;'📝 Four-tier กรอก'!BX51,'📝 Four-tier กรอก'!BY68="N",'📝 Four-tier กรอก'!BZ68&lt;&gt;'📝 Four-tier กรอก'!BZ51,'📝 Four-tier กรอก'!CA68="N"),"❓ NoK","🤔 Partial")))))</f>
        <v/>
      </c>
      <c r="W67" s="67">
        <f>IF(OR('📝 Four-tier กรอก'!CB68="",'📝 Four-tier กรอก'!CD68=""),"—",IF(AND('📝 Four-tier กรอก'!CB68='📝 Four-tier กรอก'!CB51,'📝 Four-tier กรอก'!CC68="Y",'📝 Four-tier กรอก'!CD68='📝 Four-tier กรอก'!CD51,'📝 Four-tier กรอก'!CE68="Y"),"✅ Sound",IF(AND('📝 Four-tier กรอก'!CB68='📝 Four-tier กรอก'!CB51,'📝 Four-tier กรอก'!CC68="Y",'📝 Four-tier กรอก'!CD68&lt;&gt;'📝 Four-tier กรอก'!CD51,'📝 Four-tier กรอก'!CE68="Y"),"🎲 Guess",IF(AND('📝 Four-tier กรอก'!CB68&lt;&gt;'📝 Four-tier กรอก'!CB51,'📝 Four-tier กรอก'!CC68="Y",'📝 Four-tier กรอก'!CD68&lt;&gt;'📝 Four-tier กรอก'!CD51,'📝 Four-tier กรอก'!CE68="Y"),"❌ Misc.",IF(AND('📝 Four-tier กรอก'!CB68&lt;&gt;'📝 Four-tier กรอก'!CB51,'📝 Four-tier กรอก'!CC68="N",'📝 Four-tier กรอก'!CD68&lt;&gt;'📝 Four-tier กรอก'!CD51,'📝 Four-tier กรอก'!CE68="N"),"❓ NoK","🤔 Partial")))))</f>
        <v/>
      </c>
      <c r="X67" s="37">
        <f>COUNTIF(D67:W67,"✅ Sound")</f>
        <v/>
      </c>
      <c r="Y67" s="37">
        <f>COUNTIF(D67:W67,"❌ Misc.")</f>
        <v/>
      </c>
      <c r="Z67" s="37">
        <f>COUNTIF(D67:W67,"🎲 Guess")</f>
        <v/>
      </c>
      <c r="AA67" s="37">
        <f>COUNTIF(D67:W67,"❓ NoK")</f>
        <v/>
      </c>
    </row>
    <row r="68" ht="18" customHeight="1">
      <c r="B68" s="46">
        <f>'📝 Four-tier กรอก'!B69</f>
        <v/>
      </c>
      <c r="C68" s="51">
        <f>'📝 Four-tier กรอก'!C69</f>
        <v/>
      </c>
      <c r="D68" s="68">
        <f>IF(OR('📝 Four-tier กรอก'!D69="",'📝 Four-tier กรอก'!F69=""),"—",IF(AND('📝 Four-tier กรอก'!D69='📝 Four-tier กรอก'!D51,'📝 Four-tier กรอก'!E69="Y",'📝 Four-tier กรอก'!F69='📝 Four-tier กรอก'!F51,'📝 Four-tier กรอก'!G69="Y"),"✅ Sound",IF(AND('📝 Four-tier กรอก'!D69='📝 Four-tier กรอก'!D51,'📝 Four-tier กรอก'!E69="Y",'📝 Four-tier กรอก'!F69&lt;&gt;'📝 Four-tier กรอก'!F51,'📝 Four-tier กรอก'!G69="Y"),"🎲 Guess",IF(AND('📝 Four-tier กรอก'!D69&lt;&gt;'📝 Four-tier กรอก'!D51,'📝 Four-tier กรอก'!E69="Y",'📝 Four-tier กรอก'!F69&lt;&gt;'📝 Four-tier กรอก'!F51,'📝 Four-tier กรอก'!G69="Y"),"❌ Misc.",IF(AND('📝 Four-tier กรอก'!D69&lt;&gt;'📝 Four-tier กรอก'!D51,'📝 Four-tier กรอก'!E69="N",'📝 Four-tier กรอก'!F69&lt;&gt;'📝 Four-tier กรอก'!F51,'📝 Four-tier กรอก'!G69="N"),"❓ NoK","🤔 Partial")))))</f>
        <v/>
      </c>
      <c r="E68" s="68">
        <f>IF(OR('📝 Four-tier กรอก'!H69="",'📝 Four-tier กรอก'!J69=""),"—",IF(AND('📝 Four-tier กรอก'!H69='📝 Four-tier กรอก'!H51,'📝 Four-tier กรอก'!I69="Y",'📝 Four-tier กรอก'!J69='📝 Four-tier กรอก'!J51,'📝 Four-tier กรอก'!K69="Y"),"✅ Sound",IF(AND('📝 Four-tier กรอก'!H69='📝 Four-tier กรอก'!H51,'📝 Four-tier กรอก'!I69="Y",'📝 Four-tier กรอก'!J69&lt;&gt;'📝 Four-tier กรอก'!J51,'📝 Four-tier กรอก'!K69="Y"),"🎲 Guess",IF(AND('📝 Four-tier กรอก'!H69&lt;&gt;'📝 Four-tier กรอก'!H51,'📝 Four-tier กรอก'!I69="Y",'📝 Four-tier กรอก'!J69&lt;&gt;'📝 Four-tier กรอก'!J51,'📝 Four-tier กรอก'!K69="Y"),"❌ Misc.",IF(AND('📝 Four-tier กรอก'!H69&lt;&gt;'📝 Four-tier กรอก'!H51,'📝 Four-tier กรอก'!I69="N",'📝 Four-tier กรอก'!J69&lt;&gt;'📝 Four-tier กรอก'!J51,'📝 Four-tier กรอก'!K69="N"),"❓ NoK","🤔 Partial")))))</f>
        <v/>
      </c>
      <c r="F68" s="68">
        <f>IF(OR('📝 Four-tier กรอก'!L69="",'📝 Four-tier กรอก'!N69=""),"—",IF(AND('📝 Four-tier กรอก'!L69='📝 Four-tier กรอก'!L51,'📝 Four-tier กรอก'!M69="Y",'📝 Four-tier กรอก'!N69='📝 Four-tier กรอก'!N51,'📝 Four-tier กรอก'!O69="Y"),"✅ Sound",IF(AND('📝 Four-tier กรอก'!L69='📝 Four-tier กรอก'!L51,'📝 Four-tier กรอก'!M69="Y",'📝 Four-tier กรอก'!N69&lt;&gt;'📝 Four-tier กรอก'!N51,'📝 Four-tier กรอก'!O69="Y"),"🎲 Guess",IF(AND('📝 Four-tier กรอก'!L69&lt;&gt;'📝 Four-tier กรอก'!L51,'📝 Four-tier กรอก'!M69="Y",'📝 Four-tier กรอก'!N69&lt;&gt;'📝 Four-tier กรอก'!N51,'📝 Four-tier กรอก'!O69="Y"),"❌ Misc.",IF(AND('📝 Four-tier กรอก'!L69&lt;&gt;'📝 Four-tier กรอก'!L51,'📝 Four-tier กรอก'!M69="N",'📝 Four-tier กรอก'!N69&lt;&gt;'📝 Four-tier กรอก'!N51,'📝 Four-tier กรอก'!O69="N"),"❓ NoK","🤔 Partial")))))</f>
        <v/>
      </c>
      <c r="G68" s="68">
        <f>IF(OR('📝 Four-tier กรอก'!P69="",'📝 Four-tier กรอก'!R69=""),"—",IF(AND('📝 Four-tier กรอก'!P69='📝 Four-tier กรอก'!P51,'📝 Four-tier กรอก'!Q69="Y",'📝 Four-tier กรอก'!R69='📝 Four-tier กรอก'!R51,'📝 Four-tier กรอก'!S69="Y"),"✅ Sound",IF(AND('📝 Four-tier กรอก'!P69='📝 Four-tier กรอก'!P51,'📝 Four-tier กรอก'!Q69="Y",'📝 Four-tier กรอก'!R69&lt;&gt;'📝 Four-tier กรอก'!R51,'📝 Four-tier กรอก'!S69="Y"),"🎲 Guess",IF(AND('📝 Four-tier กรอก'!P69&lt;&gt;'📝 Four-tier กรอก'!P51,'📝 Four-tier กรอก'!Q69="Y",'📝 Four-tier กรอก'!R69&lt;&gt;'📝 Four-tier กรอก'!R51,'📝 Four-tier กรอก'!S69="Y"),"❌ Misc.",IF(AND('📝 Four-tier กรอก'!P69&lt;&gt;'📝 Four-tier กรอก'!P51,'📝 Four-tier กรอก'!Q69="N",'📝 Four-tier กรอก'!R69&lt;&gt;'📝 Four-tier กรอก'!R51,'📝 Four-tier กรอก'!S69="N"),"❓ NoK","🤔 Partial")))))</f>
        <v/>
      </c>
      <c r="H68" s="68">
        <f>IF(OR('📝 Four-tier กรอก'!T69="",'📝 Four-tier กรอก'!V69=""),"—",IF(AND('📝 Four-tier กรอก'!T69='📝 Four-tier กรอก'!T51,'📝 Four-tier กรอก'!U69="Y",'📝 Four-tier กรอก'!V69='📝 Four-tier กรอก'!V51,'📝 Four-tier กรอก'!W69="Y"),"✅ Sound",IF(AND('📝 Four-tier กรอก'!T69='📝 Four-tier กรอก'!T51,'📝 Four-tier กรอก'!U69="Y",'📝 Four-tier กรอก'!V69&lt;&gt;'📝 Four-tier กรอก'!V51,'📝 Four-tier กรอก'!W69="Y"),"🎲 Guess",IF(AND('📝 Four-tier กรอก'!T69&lt;&gt;'📝 Four-tier กรอก'!T51,'📝 Four-tier กรอก'!U69="Y",'📝 Four-tier กรอก'!V69&lt;&gt;'📝 Four-tier กรอก'!V51,'📝 Four-tier กรอก'!W69="Y"),"❌ Misc.",IF(AND('📝 Four-tier กรอก'!T69&lt;&gt;'📝 Four-tier กรอก'!T51,'📝 Four-tier กรอก'!U69="N",'📝 Four-tier กรอก'!V69&lt;&gt;'📝 Four-tier กรอก'!V51,'📝 Four-tier กรอก'!W69="N"),"❓ NoK","🤔 Partial")))))</f>
        <v/>
      </c>
      <c r="I68" s="68">
        <f>IF(OR('📝 Four-tier กรอก'!X69="",'📝 Four-tier กรอก'!Z69=""),"—",IF(AND('📝 Four-tier กรอก'!X69='📝 Four-tier กรอก'!X51,'📝 Four-tier กรอก'!Y69="Y",'📝 Four-tier กรอก'!Z69='📝 Four-tier กรอก'!Z51,'📝 Four-tier กรอก'!AA69="Y"),"✅ Sound",IF(AND('📝 Four-tier กรอก'!X69='📝 Four-tier กรอก'!X51,'📝 Four-tier กรอก'!Y69="Y",'📝 Four-tier กรอก'!Z69&lt;&gt;'📝 Four-tier กรอก'!Z51,'📝 Four-tier กรอก'!AA69="Y"),"🎲 Guess",IF(AND('📝 Four-tier กรอก'!X69&lt;&gt;'📝 Four-tier กรอก'!X51,'📝 Four-tier กรอก'!Y69="Y",'📝 Four-tier กรอก'!Z69&lt;&gt;'📝 Four-tier กรอก'!Z51,'📝 Four-tier กรอก'!AA69="Y"),"❌ Misc.",IF(AND('📝 Four-tier กรอก'!X69&lt;&gt;'📝 Four-tier กรอก'!X51,'📝 Four-tier กรอก'!Y69="N",'📝 Four-tier กรอก'!Z69&lt;&gt;'📝 Four-tier กรอก'!Z51,'📝 Four-tier กรอก'!AA69="N"),"❓ NoK","🤔 Partial")))))</f>
        <v/>
      </c>
      <c r="J68" s="68">
        <f>IF(OR('📝 Four-tier กรอก'!AB69="",'📝 Four-tier กรอก'!AD69=""),"—",IF(AND('📝 Four-tier กรอก'!AB69='📝 Four-tier กรอก'!AB51,'📝 Four-tier กรอก'!AC69="Y",'📝 Four-tier กรอก'!AD69='📝 Four-tier กรอก'!AD51,'📝 Four-tier กรอก'!AE69="Y"),"✅ Sound",IF(AND('📝 Four-tier กรอก'!AB69='📝 Four-tier กรอก'!AB51,'📝 Four-tier กรอก'!AC69="Y",'📝 Four-tier กรอก'!AD69&lt;&gt;'📝 Four-tier กรอก'!AD51,'📝 Four-tier กรอก'!AE69="Y"),"🎲 Guess",IF(AND('📝 Four-tier กรอก'!AB69&lt;&gt;'📝 Four-tier กรอก'!AB51,'📝 Four-tier กรอก'!AC69="Y",'📝 Four-tier กรอก'!AD69&lt;&gt;'📝 Four-tier กรอก'!AD51,'📝 Four-tier กรอก'!AE69="Y"),"❌ Misc.",IF(AND('📝 Four-tier กรอก'!AB69&lt;&gt;'📝 Four-tier กรอก'!AB51,'📝 Four-tier กรอก'!AC69="N",'📝 Four-tier กรอก'!AD69&lt;&gt;'📝 Four-tier กรอก'!AD51,'📝 Four-tier กรอก'!AE69="N"),"❓ NoK","🤔 Partial")))))</f>
        <v/>
      </c>
      <c r="K68" s="68">
        <f>IF(OR('📝 Four-tier กรอก'!AF69="",'📝 Four-tier กรอก'!AH69=""),"—",IF(AND('📝 Four-tier กรอก'!AF69='📝 Four-tier กรอก'!AF51,'📝 Four-tier กรอก'!AG69="Y",'📝 Four-tier กรอก'!AH69='📝 Four-tier กรอก'!AH51,'📝 Four-tier กรอก'!AI69="Y"),"✅ Sound",IF(AND('📝 Four-tier กรอก'!AF69='📝 Four-tier กรอก'!AF51,'📝 Four-tier กรอก'!AG69="Y",'📝 Four-tier กรอก'!AH69&lt;&gt;'📝 Four-tier กรอก'!AH51,'📝 Four-tier กรอก'!AI69="Y"),"🎲 Guess",IF(AND('📝 Four-tier กรอก'!AF69&lt;&gt;'📝 Four-tier กรอก'!AF51,'📝 Four-tier กรอก'!AG69="Y",'📝 Four-tier กรอก'!AH69&lt;&gt;'📝 Four-tier กรอก'!AH51,'📝 Four-tier กรอก'!AI69="Y"),"❌ Misc.",IF(AND('📝 Four-tier กรอก'!AF69&lt;&gt;'📝 Four-tier กรอก'!AF51,'📝 Four-tier กรอก'!AG69="N",'📝 Four-tier กรอก'!AH69&lt;&gt;'📝 Four-tier กรอก'!AH51,'📝 Four-tier กรอก'!AI69="N"),"❓ NoK","🤔 Partial")))))</f>
        <v/>
      </c>
      <c r="L68" s="68">
        <f>IF(OR('📝 Four-tier กรอก'!AJ69="",'📝 Four-tier กรอก'!AL69=""),"—",IF(AND('📝 Four-tier กรอก'!AJ69='📝 Four-tier กรอก'!AJ51,'📝 Four-tier กรอก'!AK69="Y",'📝 Four-tier กรอก'!AL69='📝 Four-tier กรอก'!AL51,'📝 Four-tier กรอก'!AM69="Y"),"✅ Sound",IF(AND('📝 Four-tier กรอก'!AJ69='📝 Four-tier กรอก'!AJ51,'📝 Four-tier กรอก'!AK69="Y",'📝 Four-tier กรอก'!AL69&lt;&gt;'📝 Four-tier กรอก'!AL51,'📝 Four-tier กรอก'!AM69="Y"),"🎲 Guess",IF(AND('📝 Four-tier กรอก'!AJ69&lt;&gt;'📝 Four-tier กรอก'!AJ51,'📝 Four-tier กรอก'!AK69="Y",'📝 Four-tier กรอก'!AL69&lt;&gt;'📝 Four-tier กรอก'!AL51,'📝 Four-tier กรอก'!AM69="Y"),"❌ Misc.",IF(AND('📝 Four-tier กรอก'!AJ69&lt;&gt;'📝 Four-tier กรอก'!AJ51,'📝 Four-tier กรอก'!AK69="N",'📝 Four-tier กรอก'!AL69&lt;&gt;'📝 Four-tier กรอก'!AL51,'📝 Four-tier กรอก'!AM69="N"),"❓ NoK","🤔 Partial")))))</f>
        <v/>
      </c>
      <c r="M68" s="68">
        <f>IF(OR('📝 Four-tier กรอก'!AN69="",'📝 Four-tier กรอก'!AP69=""),"—",IF(AND('📝 Four-tier กรอก'!AN69='📝 Four-tier กรอก'!AN51,'📝 Four-tier กรอก'!AO69="Y",'📝 Four-tier กรอก'!AP69='📝 Four-tier กรอก'!AP51,'📝 Four-tier กรอก'!AQ69="Y"),"✅ Sound",IF(AND('📝 Four-tier กรอก'!AN69='📝 Four-tier กรอก'!AN51,'📝 Four-tier กรอก'!AO69="Y",'📝 Four-tier กรอก'!AP69&lt;&gt;'📝 Four-tier กรอก'!AP51,'📝 Four-tier กรอก'!AQ69="Y"),"🎲 Guess",IF(AND('📝 Four-tier กรอก'!AN69&lt;&gt;'📝 Four-tier กรอก'!AN51,'📝 Four-tier กรอก'!AO69="Y",'📝 Four-tier กรอก'!AP69&lt;&gt;'📝 Four-tier กรอก'!AP51,'📝 Four-tier กรอก'!AQ69="Y"),"❌ Misc.",IF(AND('📝 Four-tier กรอก'!AN69&lt;&gt;'📝 Four-tier กรอก'!AN51,'📝 Four-tier กรอก'!AO69="N",'📝 Four-tier กรอก'!AP69&lt;&gt;'📝 Four-tier กรอก'!AP51,'📝 Four-tier กรอก'!AQ69="N"),"❓ NoK","🤔 Partial")))))</f>
        <v/>
      </c>
      <c r="N68" s="68">
        <f>IF(OR('📝 Four-tier กรอก'!AR69="",'📝 Four-tier กรอก'!AT69=""),"—",IF(AND('📝 Four-tier กรอก'!AR69='📝 Four-tier กรอก'!AR51,'📝 Four-tier กรอก'!AS69="Y",'📝 Four-tier กรอก'!AT69='📝 Four-tier กรอก'!AT51,'📝 Four-tier กรอก'!AU69="Y"),"✅ Sound",IF(AND('📝 Four-tier กรอก'!AR69='📝 Four-tier กรอก'!AR51,'📝 Four-tier กรอก'!AS69="Y",'📝 Four-tier กรอก'!AT69&lt;&gt;'📝 Four-tier กรอก'!AT51,'📝 Four-tier กรอก'!AU69="Y"),"🎲 Guess",IF(AND('📝 Four-tier กรอก'!AR69&lt;&gt;'📝 Four-tier กรอก'!AR51,'📝 Four-tier กรอก'!AS69="Y",'📝 Four-tier กรอก'!AT69&lt;&gt;'📝 Four-tier กรอก'!AT51,'📝 Four-tier กรอก'!AU69="Y"),"❌ Misc.",IF(AND('📝 Four-tier กรอก'!AR69&lt;&gt;'📝 Four-tier กรอก'!AR51,'📝 Four-tier กรอก'!AS69="N",'📝 Four-tier กรอก'!AT69&lt;&gt;'📝 Four-tier กรอก'!AT51,'📝 Four-tier กรอก'!AU69="N"),"❓ NoK","🤔 Partial")))))</f>
        <v/>
      </c>
      <c r="O68" s="68">
        <f>IF(OR('📝 Four-tier กรอก'!AV69="",'📝 Four-tier กรอก'!AX69=""),"—",IF(AND('📝 Four-tier กรอก'!AV69='📝 Four-tier กรอก'!AV51,'📝 Four-tier กรอก'!AW69="Y",'📝 Four-tier กรอก'!AX69='📝 Four-tier กรอก'!AX51,'📝 Four-tier กรอก'!AY69="Y"),"✅ Sound",IF(AND('📝 Four-tier กรอก'!AV69='📝 Four-tier กรอก'!AV51,'📝 Four-tier กรอก'!AW69="Y",'📝 Four-tier กรอก'!AX69&lt;&gt;'📝 Four-tier กรอก'!AX51,'📝 Four-tier กรอก'!AY69="Y"),"🎲 Guess",IF(AND('📝 Four-tier กรอก'!AV69&lt;&gt;'📝 Four-tier กรอก'!AV51,'📝 Four-tier กรอก'!AW69="Y",'📝 Four-tier กรอก'!AX69&lt;&gt;'📝 Four-tier กรอก'!AX51,'📝 Four-tier กรอก'!AY69="Y"),"❌ Misc.",IF(AND('📝 Four-tier กรอก'!AV69&lt;&gt;'📝 Four-tier กรอก'!AV51,'📝 Four-tier กรอก'!AW69="N",'📝 Four-tier กรอก'!AX69&lt;&gt;'📝 Four-tier กรอก'!AX51,'📝 Four-tier กรอก'!AY69="N"),"❓ NoK","🤔 Partial")))))</f>
        <v/>
      </c>
      <c r="P68" s="68">
        <f>IF(OR('📝 Four-tier กรอก'!AZ69="",'📝 Four-tier กรอก'!BB69=""),"—",IF(AND('📝 Four-tier กรอก'!AZ69='📝 Four-tier กรอก'!AZ51,'📝 Four-tier กรอก'!BA69="Y",'📝 Four-tier กรอก'!BB69='📝 Four-tier กรอก'!BB51,'📝 Four-tier กรอก'!BC69="Y"),"✅ Sound",IF(AND('📝 Four-tier กรอก'!AZ69='📝 Four-tier กรอก'!AZ51,'📝 Four-tier กรอก'!BA69="Y",'📝 Four-tier กรอก'!BB69&lt;&gt;'📝 Four-tier กรอก'!BB51,'📝 Four-tier กรอก'!BC69="Y"),"🎲 Guess",IF(AND('📝 Four-tier กรอก'!AZ69&lt;&gt;'📝 Four-tier กรอก'!AZ51,'📝 Four-tier กรอก'!BA69="Y",'📝 Four-tier กรอก'!BB69&lt;&gt;'📝 Four-tier กรอก'!BB51,'📝 Four-tier กรอก'!BC69="Y"),"❌ Misc.",IF(AND('📝 Four-tier กรอก'!AZ69&lt;&gt;'📝 Four-tier กรอก'!AZ51,'📝 Four-tier กรอก'!BA69="N",'📝 Four-tier กรอก'!BB69&lt;&gt;'📝 Four-tier กรอก'!BB51,'📝 Four-tier กรอก'!BC69="N"),"❓ NoK","🤔 Partial")))))</f>
        <v/>
      </c>
      <c r="Q68" s="68">
        <f>IF(OR('📝 Four-tier กรอก'!BD69="",'📝 Four-tier กรอก'!BF69=""),"—",IF(AND('📝 Four-tier กรอก'!BD69='📝 Four-tier กรอก'!BD51,'📝 Four-tier กรอก'!BE69="Y",'📝 Four-tier กรอก'!BF69='📝 Four-tier กรอก'!BF51,'📝 Four-tier กรอก'!BG69="Y"),"✅ Sound",IF(AND('📝 Four-tier กรอก'!BD69='📝 Four-tier กรอก'!BD51,'📝 Four-tier กรอก'!BE69="Y",'📝 Four-tier กรอก'!BF69&lt;&gt;'📝 Four-tier กรอก'!BF51,'📝 Four-tier กรอก'!BG69="Y"),"🎲 Guess",IF(AND('📝 Four-tier กรอก'!BD69&lt;&gt;'📝 Four-tier กรอก'!BD51,'📝 Four-tier กรอก'!BE69="Y",'📝 Four-tier กรอก'!BF69&lt;&gt;'📝 Four-tier กรอก'!BF51,'📝 Four-tier กรอก'!BG69="Y"),"❌ Misc.",IF(AND('📝 Four-tier กรอก'!BD69&lt;&gt;'📝 Four-tier กรอก'!BD51,'📝 Four-tier กรอก'!BE69="N",'📝 Four-tier กรอก'!BF69&lt;&gt;'📝 Four-tier กรอก'!BF51,'📝 Four-tier กรอก'!BG69="N"),"❓ NoK","🤔 Partial")))))</f>
        <v/>
      </c>
      <c r="R68" s="68">
        <f>IF(OR('📝 Four-tier กรอก'!BH69="",'📝 Four-tier กรอก'!BJ69=""),"—",IF(AND('📝 Four-tier กรอก'!BH69='📝 Four-tier กรอก'!BH51,'📝 Four-tier กรอก'!BI69="Y",'📝 Four-tier กรอก'!BJ69='📝 Four-tier กรอก'!BJ51,'📝 Four-tier กรอก'!BK69="Y"),"✅ Sound",IF(AND('📝 Four-tier กรอก'!BH69='📝 Four-tier กรอก'!BH51,'📝 Four-tier กรอก'!BI69="Y",'📝 Four-tier กรอก'!BJ69&lt;&gt;'📝 Four-tier กรอก'!BJ51,'📝 Four-tier กรอก'!BK69="Y"),"🎲 Guess",IF(AND('📝 Four-tier กรอก'!BH69&lt;&gt;'📝 Four-tier กรอก'!BH51,'📝 Four-tier กรอก'!BI69="Y",'📝 Four-tier กรอก'!BJ69&lt;&gt;'📝 Four-tier กรอก'!BJ51,'📝 Four-tier กรอก'!BK69="Y"),"❌ Misc.",IF(AND('📝 Four-tier กรอก'!BH69&lt;&gt;'📝 Four-tier กรอก'!BH51,'📝 Four-tier กรอก'!BI69="N",'📝 Four-tier กรอก'!BJ69&lt;&gt;'📝 Four-tier กรอก'!BJ51,'📝 Four-tier กรอก'!BK69="N"),"❓ NoK","🤔 Partial")))))</f>
        <v/>
      </c>
      <c r="S68" s="68">
        <f>IF(OR('📝 Four-tier กรอก'!BL69="",'📝 Four-tier กรอก'!BN69=""),"—",IF(AND('📝 Four-tier กรอก'!BL69='📝 Four-tier กรอก'!BL51,'📝 Four-tier กรอก'!BM69="Y",'📝 Four-tier กรอก'!BN69='📝 Four-tier กรอก'!BN51,'📝 Four-tier กรอก'!BO69="Y"),"✅ Sound",IF(AND('📝 Four-tier กรอก'!BL69='📝 Four-tier กรอก'!BL51,'📝 Four-tier กรอก'!BM69="Y",'📝 Four-tier กรอก'!BN69&lt;&gt;'📝 Four-tier กรอก'!BN51,'📝 Four-tier กรอก'!BO69="Y"),"🎲 Guess",IF(AND('📝 Four-tier กรอก'!BL69&lt;&gt;'📝 Four-tier กรอก'!BL51,'📝 Four-tier กรอก'!BM69="Y",'📝 Four-tier กรอก'!BN69&lt;&gt;'📝 Four-tier กรอก'!BN51,'📝 Four-tier กรอก'!BO69="Y"),"❌ Misc.",IF(AND('📝 Four-tier กรอก'!BL69&lt;&gt;'📝 Four-tier กรอก'!BL51,'📝 Four-tier กรอก'!BM69="N",'📝 Four-tier กรอก'!BN69&lt;&gt;'📝 Four-tier กรอก'!BN51,'📝 Four-tier กรอก'!BO69="N"),"❓ NoK","🤔 Partial")))))</f>
        <v/>
      </c>
      <c r="T68" s="68">
        <f>IF(OR('📝 Four-tier กรอก'!BP69="",'📝 Four-tier กรอก'!BR69=""),"—",IF(AND('📝 Four-tier กรอก'!BP69='📝 Four-tier กรอก'!BP51,'📝 Four-tier กรอก'!BQ69="Y",'📝 Four-tier กรอก'!BR69='📝 Four-tier กรอก'!BR51,'📝 Four-tier กรอก'!BS69="Y"),"✅ Sound",IF(AND('📝 Four-tier กรอก'!BP69='📝 Four-tier กรอก'!BP51,'📝 Four-tier กรอก'!BQ69="Y",'📝 Four-tier กรอก'!BR69&lt;&gt;'📝 Four-tier กรอก'!BR51,'📝 Four-tier กรอก'!BS69="Y"),"🎲 Guess",IF(AND('📝 Four-tier กรอก'!BP69&lt;&gt;'📝 Four-tier กรอก'!BP51,'📝 Four-tier กรอก'!BQ69="Y",'📝 Four-tier กรอก'!BR69&lt;&gt;'📝 Four-tier กรอก'!BR51,'📝 Four-tier กรอก'!BS69="Y"),"❌ Misc.",IF(AND('📝 Four-tier กรอก'!BP69&lt;&gt;'📝 Four-tier กรอก'!BP51,'📝 Four-tier กรอก'!BQ69="N",'📝 Four-tier กรอก'!BR69&lt;&gt;'📝 Four-tier กรอก'!BR51,'📝 Four-tier กรอก'!BS69="N"),"❓ NoK","🤔 Partial")))))</f>
        <v/>
      </c>
      <c r="U68" s="68">
        <f>IF(OR('📝 Four-tier กรอก'!BT69="",'📝 Four-tier กรอก'!BV69=""),"—",IF(AND('📝 Four-tier กรอก'!BT69='📝 Four-tier กรอก'!BT51,'📝 Four-tier กรอก'!BU69="Y",'📝 Four-tier กรอก'!BV69='📝 Four-tier กรอก'!BV51,'📝 Four-tier กรอก'!BW69="Y"),"✅ Sound",IF(AND('📝 Four-tier กรอก'!BT69='📝 Four-tier กรอก'!BT51,'📝 Four-tier กรอก'!BU69="Y",'📝 Four-tier กรอก'!BV69&lt;&gt;'📝 Four-tier กรอก'!BV51,'📝 Four-tier กรอก'!BW69="Y"),"🎲 Guess",IF(AND('📝 Four-tier กรอก'!BT69&lt;&gt;'📝 Four-tier กรอก'!BT51,'📝 Four-tier กรอก'!BU69="Y",'📝 Four-tier กรอก'!BV69&lt;&gt;'📝 Four-tier กรอก'!BV51,'📝 Four-tier กรอก'!BW69="Y"),"❌ Misc.",IF(AND('📝 Four-tier กรอก'!BT69&lt;&gt;'📝 Four-tier กรอก'!BT51,'📝 Four-tier กรอก'!BU69="N",'📝 Four-tier กรอก'!BV69&lt;&gt;'📝 Four-tier กรอก'!BV51,'📝 Four-tier กรอก'!BW69="N"),"❓ NoK","🤔 Partial")))))</f>
        <v/>
      </c>
      <c r="V68" s="68">
        <f>IF(OR('📝 Four-tier กรอก'!BX69="",'📝 Four-tier กรอก'!BZ69=""),"—",IF(AND('📝 Four-tier กรอก'!BX69='📝 Four-tier กรอก'!BX51,'📝 Four-tier กรอก'!BY69="Y",'📝 Four-tier กรอก'!BZ69='📝 Four-tier กรอก'!BZ51,'📝 Four-tier กรอก'!CA69="Y"),"✅ Sound",IF(AND('📝 Four-tier กรอก'!BX69='📝 Four-tier กรอก'!BX51,'📝 Four-tier กรอก'!BY69="Y",'📝 Four-tier กรอก'!BZ69&lt;&gt;'📝 Four-tier กรอก'!BZ51,'📝 Four-tier กรอก'!CA69="Y"),"🎲 Guess",IF(AND('📝 Four-tier กรอก'!BX69&lt;&gt;'📝 Four-tier กรอก'!BX51,'📝 Four-tier กรอก'!BY69="Y",'📝 Four-tier กรอก'!BZ69&lt;&gt;'📝 Four-tier กรอก'!BZ51,'📝 Four-tier กรอก'!CA69="Y"),"❌ Misc.",IF(AND('📝 Four-tier กรอก'!BX69&lt;&gt;'📝 Four-tier กรอก'!BX51,'📝 Four-tier กรอก'!BY69="N",'📝 Four-tier กรอก'!BZ69&lt;&gt;'📝 Four-tier กรอก'!BZ51,'📝 Four-tier กรอก'!CA69="N"),"❓ NoK","🤔 Partial")))))</f>
        <v/>
      </c>
      <c r="W68" s="68">
        <f>IF(OR('📝 Four-tier กรอก'!CB69="",'📝 Four-tier กรอก'!CD69=""),"—",IF(AND('📝 Four-tier กรอก'!CB69='📝 Four-tier กรอก'!CB51,'📝 Four-tier กรอก'!CC69="Y",'📝 Four-tier กรอก'!CD69='📝 Four-tier กรอก'!CD51,'📝 Four-tier กรอก'!CE69="Y"),"✅ Sound",IF(AND('📝 Four-tier กรอก'!CB69='📝 Four-tier กรอก'!CB51,'📝 Four-tier กรอก'!CC69="Y",'📝 Four-tier กรอก'!CD69&lt;&gt;'📝 Four-tier กรอก'!CD51,'📝 Four-tier กรอก'!CE69="Y"),"🎲 Guess",IF(AND('📝 Four-tier กรอก'!CB69&lt;&gt;'📝 Four-tier กรอก'!CB51,'📝 Four-tier กรอก'!CC69="Y",'📝 Four-tier กรอก'!CD69&lt;&gt;'📝 Four-tier กรอก'!CD51,'📝 Four-tier กรอก'!CE69="Y"),"❌ Misc.",IF(AND('📝 Four-tier กรอก'!CB69&lt;&gt;'📝 Four-tier กรอก'!CB51,'📝 Four-tier กรอก'!CC69="N",'📝 Four-tier กรอก'!CD69&lt;&gt;'📝 Four-tier กรอก'!CD51,'📝 Four-tier กรอก'!CE69="N"),"❓ NoK","🤔 Partial")))))</f>
        <v/>
      </c>
      <c r="X68" s="37">
        <f>COUNTIF(D68:W68,"✅ Sound")</f>
        <v/>
      </c>
      <c r="Y68" s="37">
        <f>COUNTIF(D68:W68,"❌ Misc.")</f>
        <v/>
      </c>
      <c r="Z68" s="37">
        <f>COUNTIF(D68:W68,"🎲 Guess")</f>
        <v/>
      </c>
      <c r="AA68" s="37">
        <f>COUNTIF(D68:W68,"❓ NoK")</f>
        <v/>
      </c>
    </row>
    <row r="69" ht="18" customHeight="1">
      <c r="B69" s="46">
        <f>'📝 Four-tier กรอก'!B70</f>
        <v/>
      </c>
      <c r="C69" s="47">
        <f>'📝 Four-tier กรอก'!C70</f>
        <v/>
      </c>
      <c r="D69" s="67">
        <f>IF(OR('📝 Four-tier กรอก'!D70="",'📝 Four-tier กรอก'!F70=""),"—",IF(AND('📝 Four-tier กรอก'!D70='📝 Four-tier กรอก'!D51,'📝 Four-tier กรอก'!E70="Y",'📝 Four-tier กรอก'!F70='📝 Four-tier กรอก'!F51,'📝 Four-tier กรอก'!G70="Y"),"✅ Sound",IF(AND('📝 Four-tier กรอก'!D70='📝 Four-tier กรอก'!D51,'📝 Four-tier กรอก'!E70="Y",'📝 Four-tier กรอก'!F70&lt;&gt;'📝 Four-tier กรอก'!F51,'📝 Four-tier กรอก'!G70="Y"),"🎲 Guess",IF(AND('📝 Four-tier กรอก'!D70&lt;&gt;'📝 Four-tier กรอก'!D51,'📝 Four-tier กรอก'!E70="Y",'📝 Four-tier กรอก'!F70&lt;&gt;'📝 Four-tier กรอก'!F51,'📝 Four-tier กรอก'!G70="Y"),"❌ Misc.",IF(AND('📝 Four-tier กรอก'!D70&lt;&gt;'📝 Four-tier กรอก'!D51,'📝 Four-tier กรอก'!E70="N",'📝 Four-tier กรอก'!F70&lt;&gt;'📝 Four-tier กรอก'!F51,'📝 Four-tier กรอก'!G70="N"),"❓ NoK","🤔 Partial")))))</f>
        <v/>
      </c>
      <c r="E69" s="67">
        <f>IF(OR('📝 Four-tier กรอก'!H70="",'📝 Four-tier กรอก'!J70=""),"—",IF(AND('📝 Four-tier กรอก'!H70='📝 Four-tier กรอก'!H51,'📝 Four-tier กรอก'!I70="Y",'📝 Four-tier กรอก'!J70='📝 Four-tier กรอก'!J51,'📝 Four-tier กรอก'!K70="Y"),"✅ Sound",IF(AND('📝 Four-tier กรอก'!H70='📝 Four-tier กรอก'!H51,'📝 Four-tier กรอก'!I70="Y",'📝 Four-tier กรอก'!J70&lt;&gt;'📝 Four-tier กรอก'!J51,'📝 Four-tier กรอก'!K70="Y"),"🎲 Guess",IF(AND('📝 Four-tier กรอก'!H70&lt;&gt;'📝 Four-tier กรอก'!H51,'📝 Four-tier กรอก'!I70="Y",'📝 Four-tier กรอก'!J70&lt;&gt;'📝 Four-tier กรอก'!J51,'📝 Four-tier กรอก'!K70="Y"),"❌ Misc.",IF(AND('📝 Four-tier กรอก'!H70&lt;&gt;'📝 Four-tier กรอก'!H51,'📝 Four-tier กรอก'!I70="N",'📝 Four-tier กรอก'!J70&lt;&gt;'📝 Four-tier กรอก'!J51,'📝 Four-tier กรอก'!K70="N"),"❓ NoK","🤔 Partial")))))</f>
        <v/>
      </c>
      <c r="F69" s="67">
        <f>IF(OR('📝 Four-tier กรอก'!L70="",'📝 Four-tier กรอก'!N70=""),"—",IF(AND('📝 Four-tier กรอก'!L70='📝 Four-tier กรอก'!L51,'📝 Four-tier กรอก'!M70="Y",'📝 Four-tier กรอก'!N70='📝 Four-tier กรอก'!N51,'📝 Four-tier กรอก'!O70="Y"),"✅ Sound",IF(AND('📝 Four-tier กรอก'!L70='📝 Four-tier กรอก'!L51,'📝 Four-tier กรอก'!M70="Y",'📝 Four-tier กรอก'!N70&lt;&gt;'📝 Four-tier กรอก'!N51,'📝 Four-tier กรอก'!O70="Y"),"🎲 Guess",IF(AND('📝 Four-tier กรอก'!L70&lt;&gt;'📝 Four-tier กรอก'!L51,'📝 Four-tier กรอก'!M70="Y",'📝 Four-tier กรอก'!N70&lt;&gt;'📝 Four-tier กรอก'!N51,'📝 Four-tier กรอก'!O70="Y"),"❌ Misc.",IF(AND('📝 Four-tier กรอก'!L70&lt;&gt;'📝 Four-tier กรอก'!L51,'📝 Four-tier กรอก'!M70="N",'📝 Four-tier กรอก'!N70&lt;&gt;'📝 Four-tier กรอก'!N51,'📝 Four-tier กรอก'!O70="N"),"❓ NoK","🤔 Partial")))))</f>
        <v/>
      </c>
      <c r="G69" s="67">
        <f>IF(OR('📝 Four-tier กรอก'!P70="",'📝 Four-tier กรอก'!R70=""),"—",IF(AND('📝 Four-tier กรอก'!P70='📝 Four-tier กรอก'!P51,'📝 Four-tier กรอก'!Q70="Y",'📝 Four-tier กรอก'!R70='📝 Four-tier กรอก'!R51,'📝 Four-tier กรอก'!S70="Y"),"✅ Sound",IF(AND('📝 Four-tier กรอก'!P70='📝 Four-tier กรอก'!P51,'📝 Four-tier กรอก'!Q70="Y",'📝 Four-tier กรอก'!R70&lt;&gt;'📝 Four-tier กรอก'!R51,'📝 Four-tier กรอก'!S70="Y"),"🎲 Guess",IF(AND('📝 Four-tier กรอก'!P70&lt;&gt;'📝 Four-tier กรอก'!P51,'📝 Four-tier กรอก'!Q70="Y",'📝 Four-tier กรอก'!R70&lt;&gt;'📝 Four-tier กรอก'!R51,'📝 Four-tier กรอก'!S70="Y"),"❌ Misc.",IF(AND('📝 Four-tier กรอก'!P70&lt;&gt;'📝 Four-tier กรอก'!P51,'📝 Four-tier กรอก'!Q70="N",'📝 Four-tier กรอก'!R70&lt;&gt;'📝 Four-tier กรอก'!R51,'📝 Four-tier กรอก'!S70="N"),"❓ NoK","🤔 Partial")))))</f>
        <v/>
      </c>
      <c r="H69" s="67">
        <f>IF(OR('📝 Four-tier กรอก'!T70="",'📝 Four-tier กรอก'!V70=""),"—",IF(AND('📝 Four-tier กรอก'!T70='📝 Four-tier กรอก'!T51,'📝 Four-tier กรอก'!U70="Y",'📝 Four-tier กรอก'!V70='📝 Four-tier กรอก'!V51,'📝 Four-tier กรอก'!W70="Y"),"✅ Sound",IF(AND('📝 Four-tier กรอก'!T70='📝 Four-tier กรอก'!T51,'📝 Four-tier กรอก'!U70="Y",'📝 Four-tier กรอก'!V70&lt;&gt;'📝 Four-tier กรอก'!V51,'📝 Four-tier กรอก'!W70="Y"),"🎲 Guess",IF(AND('📝 Four-tier กรอก'!T70&lt;&gt;'📝 Four-tier กรอก'!T51,'📝 Four-tier กรอก'!U70="Y",'📝 Four-tier กรอก'!V70&lt;&gt;'📝 Four-tier กรอก'!V51,'📝 Four-tier กรอก'!W70="Y"),"❌ Misc.",IF(AND('📝 Four-tier กรอก'!T70&lt;&gt;'📝 Four-tier กรอก'!T51,'📝 Four-tier กรอก'!U70="N",'📝 Four-tier กรอก'!V70&lt;&gt;'📝 Four-tier กรอก'!V51,'📝 Four-tier กรอก'!W70="N"),"❓ NoK","🤔 Partial")))))</f>
        <v/>
      </c>
      <c r="I69" s="67">
        <f>IF(OR('📝 Four-tier กรอก'!X70="",'📝 Four-tier กรอก'!Z70=""),"—",IF(AND('📝 Four-tier กรอก'!X70='📝 Four-tier กรอก'!X51,'📝 Four-tier กรอก'!Y70="Y",'📝 Four-tier กรอก'!Z70='📝 Four-tier กรอก'!Z51,'📝 Four-tier กรอก'!AA70="Y"),"✅ Sound",IF(AND('📝 Four-tier กรอก'!X70='📝 Four-tier กรอก'!X51,'📝 Four-tier กรอก'!Y70="Y",'📝 Four-tier กรอก'!Z70&lt;&gt;'📝 Four-tier กรอก'!Z51,'📝 Four-tier กรอก'!AA70="Y"),"🎲 Guess",IF(AND('📝 Four-tier กรอก'!X70&lt;&gt;'📝 Four-tier กรอก'!X51,'📝 Four-tier กรอก'!Y70="Y",'📝 Four-tier กรอก'!Z70&lt;&gt;'📝 Four-tier กรอก'!Z51,'📝 Four-tier กรอก'!AA70="Y"),"❌ Misc.",IF(AND('📝 Four-tier กรอก'!X70&lt;&gt;'📝 Four-tier กรอก'!X51,'📝 Four-tier กรอก'!Y70="N",'📝 Four-tier กรอก'!Z70&lt;&gt;'📝 Four-tier กรอก'!Z51,'📝 Four-tier กรอก'!AA70="N"),"❓ NoK","🤔 Partial")))))</f>
        <v/>
      </c>
      <c r="J69" s="67">
        <f>IF(OR('📝 Four-tier กรอก'!AB70="",'📝 Four-tier กรอก'!AD70=""),"—",IF(AND('📝 Four-tier กรอก'!AB70='📝 Four-tier กรอก'!AB51,'📝 Four-tier กรอก'!AC70="Y",'📝 Four-tier กรอก'!AD70='📝 Four-tier กรอก'!AD51,'📝 Four-tier กรอก'!AE70="Y"),"✅ Sound",IF(AND('📝 Four-tier กรอก'!AB70='📝 Four-tier กรอก'!AB51,'📝 Four-tier กรอก'!AC70="Y",'📝 Four-tier กรอก'!AD70&lt;&gt;'📝 Four-tier กรอก'!AD51,'📝 Four-tier กรอก'!AE70="Y"),"🎲 Guess",IF(AND('📝 Four-tier กรอก'!AB70&lt;&gt;'📝 Four-tier กรอก'!AB51,'📝 Four-tier กรอก'!AC70="Y",'📝 Four-tier กรอก'!AD70&lt;&gt;'📝 Four-tier กรอก'!AD51,'📝 Four-tier กรอก'!AE70="Y"),"❌ Misc.",IF(AND('📝 Four-tier กรอก'!AB70&lt;&gt;'📝 Four-tier กรอก'!AB51,'📝 Four-tier กรอก'!AC70="N",'📝 Four-tier กรอก'!AD70&lt;&gt;'📝 Four-tier กรอก'!AD51,'📝 Four-tier กรอก'!AE70="N"),"❓ NoK","🤔 Partial")))))</f>
        <v/>
      </c>
      <c r="K69" s="67">
        <f>IF(OR('📝 Four-tier กรอก'!AF70="",'📝 Four-tier กรอก'!AH70=""),"—",IF(AND('📝 Four-tier กรอก'!AF70='📝 Four-tier กรอก'!AF51,'📝 Four-tier กรอก'!AG70="Y",'📝 Four-tier กรอก'!AH70='📝 Four-tier กรอก'!AH51,'📝 Four-tier กรอก'!AI70="Y"),"✅ Sound",IF(AND('📝 Four-tier กรอก'!AF70='📝 Four-tier กรอก'!AF51,'📝 Four-tier กรอก'!AG70="Y",'📝 Four-tier กรอก'!AH70&lt;&gt;'📝 Four-tier กรอก'!AH51,'📝 Four-tier กรอก'!AI70="Y"),"🎲 Guess",IF(AND('📝 Four-tier กรอก'!AF70&lt;&gt;'📝 Four-tier กรอก'!AF51,'📝 Four-tier กรอก'!AG70="Y",'📝 Four-tier กรอก'!AH70&lt;&gt;'📝 Four-tier กรอก'!AH51,'📝 Four-tier กรอก'!AI70="Y"),"❌ Misc.",IF(AND('📝 Four-tier กรอก'!AF70&lt;&gt;'📝 Four-tier กรอก'!AF51,'📝 Four-tier กรอก'!AG70="N",'📝 Four-tier กรอก'!AH70&lt;&gt;'📝 Four-tier กรอก'!AH51,'📝 Four-tier กรอก'!AI70="N"),"❓ NoK","🤔 Partial")))))</f>
        <v/>
      </c>
      <c r="L69" s="67">
        <f>IF(OR('📝 Four-tier กรอก'!AJ70="",'📝 Four-tier กรอก'!AL70=""),"—",IF(AND('📝 Four-tier กรอก'!AJ70='📝 Four-tier กรอก'!AJ51,'📝 Four-tier กรอก'!AK70="Y",'📝 Four-tier กรอก'!AL70='📝 Four-tier กรอก'!AL51,'📝 Four-tier กรอก'!AM70="Y"),"✅ Sound",IF(AND('📝 Four-tier กรอก'!AJ70='📝 Four-tier กรอก'!AJ51,'📝 Four-tier กรอก'!AK70="Y",'📝 Four-tier กรอก'!AL70&lt;&gt;'📝 Four-tier กรอก'!AL51,'📝 Four-tier กรอก'!AM70="Y"),"🎲 Guess",IF(AND('📝 Four-tier กรอก'!AJ70&lt;&gt;'📝 Four-tier กรอก'!AJ51,'📝 Four-tier กรอก'!AK70="Y",'📝 Four-tier กรอก'!AL70&lt;&gt;'📝 Four-tier กรอก'!AL51,'📝 Four-tier กรอก'!AM70="Y"),"❌ Misc.",IF(AND('📝 Four-tier กรอก'!AJ70&lt;&gt;'📝 Four-tier กรอก'!AJ51,'📝 Four-tier กรอก'!AK70="N",'📝 Four-tier กรอก'!AL70&lt;&gt;'📝 Four-tier กรอก'!AL51,'📝 Four-tier กรอก'!AM70="N"),"❓ NoK","🤔 Partial")))))</f>
        <v/>
      </c>
      <c r="M69" s="67">
        <f>IF(OR('📝 Four-tier กรอก'!AN70="",'📝 Four-tier กรอก'!AP70=""),"—",IF(AND('📝 Four-tier กรอก'!AN70='📝 Four-tier กรอก'!AN51,'📝 Four-tier กรอก'!AO70="Y",'📝 Four-tier กรอก'!AP70='📝 Four-tier กรอก'!AP51,'📝 Four-tier กรอก'!AQ70="Y"),"✅ Sound",IF(AND('📝 Four-tier กรอก'!AN70='📝 Four-tier กรอก'!AN51,'📝 Four-tier กรอก'!AO70="Y",'📝 Four-tier กรอก'!AP70&lt;&gt;'📝 Four-tier กรอก'!AP51,'📝 Four-tier กรอก'!AQ70="Y"),"🎲 Guess",IF(AND('📝 Four-tier กรอก'!AN70&lt;&gt;'📝 Four-tier กรอก'!AN51,'📝 Four-tier กรอก'!AO70="Y",'📝 Four-tier กรอก'!AP70&lt;&gt;'📝 Four-tier กรอก'!AP51,'📝 Four-tier กรอก'!AQ70="Y"),"❌ Misc.",IF(AND('📝 Four-tier กรอก'!AN70&lt;&gt;'📝 Four-tier กรอก'!AN51,'📝 Four-tier กรอก'!AO70="N",'📝 Four-tier กรอก'!AP70&lt;&gt;'📝 Four-tier กรอก'!AP51,'📝 Four-tier กรอก'!AQ70="N"),"❓ NoK","🤔 Partial")))))</f>
        <v/>
      </c>
      <c r="N69" s="67">
        <f>IF(OR('📝 Four-tier กรอก'!AR70="",'📝 Four-tier กรอก'!AT70=""),"—",IF(AND('📝 Four-tier กรอก'!AR70='📝 Four-tier กรอก'!AR51,'📝 Four-tier กรอก'!AS70="Y",'📝 Four-tier กรอก'!AT70='📝 Four-tier กรอก'!AT51,'📝 Four-tier กรอก'!AU70="Y"),"✅ Sound",IF(AND('📝 Four-tier กรอก'!AR70='📝 Four-tier กรอก'!AR51,'📝 Four-tier กรอก'!AS70="Y",'📝 Four-tier กรอก'!AT70&lt;&gt;'📝 Four-tier กรอก'!AT51,'📝 Four-tier กรอก'!AU70="Y"),"🎲 Guess",IF(AND('📝 Four-tier กรอก'!AR70&lt;&gt;'📝 Four-tier กรอก'!AR51,'📝 Four-tier กรอก'!AS70="Y",'📝 Four-tier กรอก'!AT70&lt;&gt;'📝 Four-tier กรอก'!AT51,'📝 Four-tier กรอก'!AU70="Y"),"❌ Misc.",IF(AND('📝 Four-tier กรอก'!AR70&lt;&gt;'📝 Four-tier กรอก'!AR51,'📝 Four-tier กรอก'!AS70="N",'📝 Four-tier กรอก'!AT70&lt;&gt;'📝 Four-tier กรอก'!AT51,'📝 Four-tier กรอก'!AU70="N"),"❓ NoK","🤔 Partial")))))</f>
        <v/>
      </c>
      <c r="O69" s="67">
        <f>IF(OR('📝 Four-tier กรอก'!AV70="",'📝 Four-tier กรอก'!AX70=""),"—",IF(AND('📝 Four-tier กรอก'!AV70='📝 Four-tier กรอก'!AV51,'📝 Four-tier กรอก'!AW70="Y",'📝 Four-tier กรอก'!AX70='📝 Four-tier กรอก'!AX51,'📝 Four-tier กรอก'!AY70="Y"),"✅ Sound",IF(AND('📝 Four-tier กรอก'!AV70='📝 Four-tier กรอก'!AV51,'📝 Four-tier กรอก'!AW70="Y",'📝 Four-tier กรอก'!AX70&lt;&gt;'📝 Four-tier กรอก'!AX51,'📝 Four-tier กรอก'!AY70="Y"),"🎲 Guess",IF(AND('📝 Four-tier กรอก'!AV70&lt;&gt;'📝 Four-tier กรอก'!AV51,'📝 Four-tier กรอก'!AW70="Y",'📝 Four-tier กรอก'!AX70&lt;&gt;'📝 Four-tier กรอก'!AX51,'📝 Four-tier กรอก'!AY70="Y"),"❌ Misc.",IF(AND('📝 Four-tier กรอก'!AV70&lt;&gt;'📝 Four-tier กรอก'!AV51,'📝 Four-tier กรอก'!AW70="N",'📝 Four-tier กรอก'!AX70&lt;&gt;'📝 Four-tier กรอก'!AX51,'📝 Four-tier กรอก'!AY70="N"),"❓ NoK","🤔 Partial")))))</f>
        <v/>
      </c>
      <c r="P69" s="67">
        <f>IF(OR('📝 Four-tier กรอก'!AZ70="",'📝 Four-tier กรอก'!BB70=""),"—",IF(AND('📝 Four-tier กรอก'!AZ70='📝 Four-tier กรอก'!AZ51,'📝 Four-tier กรอก'!BA70="Y",'📝 Four-tier กรอก'!BB70='📝 Four-tier กรอก'!BB51,'📝 Four-tier กรอก'!BC70="Y"),"✅ Sound",IF(AND('📝 Four-tier กรอก'!AZ70='📝 Four-tier กรอก'!AZ51,'📝 Four-tier กรอก'!BA70="Y",'📝 Four-tier กรอก'!BB70&lt;&gt;'📝 Four-tier กรอก'!BB51,'📝 Four-tier กรอก'!BC70="Y"),"🎲 Guess",IF(AND('📝 Four-tier กรอก'!AZ70&lt;&gt;'📝 Four-tier กรอก'!AZ51,'📝 Four-tier กรอก'!BA70="Y",'📝 Four-tier กรอก'!BB70&lt;&gt;'📝 Four-tier กรอก'!BB51,'📝 Four-tier กรอก'!BC70="Y"),"❌ Misc.",IF(AND('📝 Four-tier กรอก'!AZ70&lt;&gt;'📝 Four-tier กรอก'!AZ51,'📝 Four-tier กรอก'!BA70="N",'📝 Four-tier กรอก'!BB70&lt;&gt;'📝 Four-tier กรอก'!BB51,'📝 Four-tier กรอก'!BC70="N"),"❓ NoK","🤔 Partial")))))</f>
        <v/>
      </c>
      <c r="Q69" s="67">
        <f>IF(OR('📝 Four-tier กรอก'!BD70="",'📝 Four-tier กรอก'!BF70=""),"—",IF(AND('📝 Four-tier กรอก'!BD70='📝 Four-tier กรอก'!BD51,'📝 Four-tier กรอก'!BE70="Y",'📝 Four-tier กรอก'!BF70='📝 Four-tier กรอก'!BF51,'📝 Four-tier กรอก'!BG70="Y"),"✅ Sound",IF(AND('📝 Four-tier กรอก'!BD70='📝 Four-tier กรอก'!BD51,'📝 Four-tier กรอก'!BE70="Y",'📝 Four-tier กรอก'!BF70&lt;&gt;'📝 Four-tier กรอก'!BF51,'📝 Four-tier กรอก'!BG70="Y"),"🎲 Guess",IF(AND('📝 Four-tier กรอก'!BD70&lt;&gt;'📝 Four-tier กรอก'!BD51,'📝 Four-tier กรอก'!BE70="Y",'📝 Four-tier กรอก'!BF70&lt;&gt;'📝 Four-tier กรอก'!BF51,'📝 Four-tier กรอก'!BG70="Y"),"❌ Misc.",IF(AND('📝 Four-tier กรอก'!BD70&lt;&gt;'📝 Four-tier กรอก'!BD51,'📝 Four-tier กรอก'!BE70="N",'📝 Four-tier กรอก'!BF70&lt;&gt;'📝 Four-tier กรอก'!BF51,'📝 Four-tier กรอก'!BG70="N"),"❓ NoK","🤔 Partial")))))</f>
        <v/>
      </c>
      <c r="R69" s="67">
        <f>IF(OR('📝 Four-tier กรอก'!BH70="",'📝 Four-tier กรอก'!BJ70=""),"—",IF(AND('📝 Four-tier กรอก'!BH70='📝 Four-tier กรอก'!BH51,'📝 Four-tier กรอก'!BI70="Y",'📝 Four-tier กรอก'!BJ70='📝 Four-tier กรอก'!BJ51,'📝 Four-tier กรอก'!BK70="Y"),"✅ Sound",IF(AND('📝 Four-tier กรอก'!BH70='📝 Four-tier กรอก'!BH51,'📝 Four-tier กรอก'!BI70="Y",'📝 Four-tier กรอก'!BJ70&lt;&gt;'📝 Four-tier กรอก'!BJ51,'📝 Four-tier กรอก'!BK70="Y"),"🎲 Guess",IF(AND('📝 Four-tier กรอก'!BH70&lt;&gt;'📝 Four-tier กรอก'!BH51,'📝 Four-tier กรอก'!BI70="Y",'📝 Four-tier กรอก'!BJ70&lt;&gt;'📝 Four-tier กรอก'!BJ51,'📝 Four-tier กรอก'!BK70="Y"),"❌ Misc.",IF(AND('📝 Four-tier กรอก'!BH70&lt;&gt;'📝 Four-tier กรอก'!BH51,'📝 Four-tier กรอก'!BI70="N",'📝 Four-tier กรอก'!BJ70&lt;&gt;'📝 Four-tier กรอก'!BJ51,'📝 Four-tier กรอก'!BK70="N"),"❓ NoK","🤔 Partial")))))</f>
        <v/>
      </c>
      <c r="S69" s="67">
        <f>IF(OR('📝 Four-tier กรอก'!BL70="",'📝 Four-tier กรอก'!BN70=""),"—",IF(AND('📝 Four-tier กรอก'!BL70='📝 Four-tier กรอก'!BL51,'📝 Four-tier กรอก'!BM70="Y",'📝 Four-tier กรอก'!BN70='📝 Four-tier กรอก'!BN51,'📝 Four-tier กรอก'!BO70="Y"),"✅ Sound",IF(AND('📝 Four-tier กรอก'!BL70='📝 Four-tier กรอก'!BL51,'📝 Four-tier กรอก'!BM70="Y",'📝 Four-tier กรอก'!BN70&lt;&gt;'📝 Four-tier กรอก'!BN51,'📝 Four-tier กรอก'!BO70="Y"),"🎲 Guess",IF(AND('📝 Four-tier กรอก'!BL70&lt;&gt;'📝 Four-tier กรอก'!BL51,'📝 Four-tier กรอก'!BM70="Y",'📝 Four-tier กรอก'!BN70&lt;&gt;'📝 Four-tier กรอก'!BN51,'📝 Four-tier กรอก'!BO70="Y"),"❌ Misc.",IF(AND('📝 Four-tier กรอก'!BL70&lt;&gt;'📝 Four-tier กรอก'!BL51,'📝 Four-tier กรอก'!BM70="N",'📝 Four-tier กรอก'!BN70&lt;&gt;'📝 Four-tier กรอก'!BN51,'📝 Four-tier กรอก'!BO70="N"),"❓ NoK","🤔 Partial")))))</f>
        <v/>
      </c>
      <c r="T69" s="67">
        <f>IF(OR('📝 Four-tier กรอก'!BP70="",'📝 Four-tier กรอก'!BR70=""),"—",IF(AND('📝 Four-tier กรอก'!BP70='📝 Four-tier กรอก'!BP51,'📝 Four-tier กรอก'!BQ70="Y",'📝 Four-tier กรอก'!BR70='📝 Four-tier กรอก'!BR51,'📝 Four-tier กรอก'!BS70="Y"),"✅ Sound",IF(AND('📝 Four-tier กรอก'!BP70='📝 Four-tier กรอก'!BP51,'📝 Four-tier กรอก'!BQ70="Y",'📝 Four-tier กรอก'!BR70&lt;&gt;'📝 Four-tier กรอก'!BR51,'📝 Four-tier กรอก'!BS70="Y"),"🎲 Guess",IF(AND('📝 Four-tier กรอก'!BP70&lt;&gt;'📝 Four-tier กรอก'!BP51,'📝 Four-tier กรอก'!BQ70="Y",'📝 Four-tier กรอก'!BR70&lt;&gt;'📝 Four-tier กรอก'!BR51,'📝 Four-tier กรอก'!BS70="Y"),"❌ Misc.",IF(AND('📝 Four-tier กรอก'!BP70&lt;&gt;'📝 Four-tier กรอก'!BP51,'📝 Four-tier กรอก'!BQ70="N",'📝 Four-tier กรอก'!BR70&lt;&gt;'📝 Four-tier กรอก'!BR51,'📝 Four-tier กรอก'!BS70="N"),"❓ NoK","🤔 Partial")))))</f>
        <v/>
      </c>
      <c r="U69" s="67">
        <f>IF(OR('📝 Four-tier กรอก'!BT70="",'📝 Four-tier กรอก'!BV70=""),"—",IF(AND('📝 Four-tier กรอก'!BT70='📝 Four-tier กรอก'!BT51,'📝 Four-tier กรอก'!BU70="Y",'📝 Four-tier กรอก'!BV70='📝 Four-tier กรอก'!BV51,'📝 Four-tier กรอก'!BW70="Y"),"✅ Sound",IF(AND('📝 Four-tier กรอก'!BT70='📝 Four-tier กรอก'!BT51,'📝 Four-tier กรอก'!BU70="Y",'📝 Four-tier กรอก'!BV70&lt;&gt;'📝 Four-tier กรอก'!BV51,'📝 Four-tier กรอก'!BW70="Y"),"🎲 Guess",IF(AND('📝 Four-tier กรอก'!BT70&lt;&gt;'📝 Four-tier กรอก'!BT51,'📝 Four-tier กรอก'!BU70="Y",'📝 Four-tier กรอก'!BV70&lt;&gt;'📝 Four-tier กรอก'!BV51,'📝 Four-tier กรอก'!BW70="Y"),"❌ Misc.",IF(AND('📝 Four-tier กรอก'!BT70&lt;&gt;'📝 Four-tier กรอก'!BT51,'📝 Four-tier กรอก'!BU70="N",'📝 Four-tier กรอก'!BV70&lt;&gt;'📝 Four-tier กรอก'!BV51,'📝 Four-tier กรอก'!BW70="N"),"❓ NoK","🤔 Partial")))))</f>
        <v/>
      </c>
      <c r="V69" s="67">
        <f>IF(OR('📝 Four-tier กรอก'!BX70="",'📝 Four-tier กรอก'!BZ70=""),"—",IF(AND('📝 Four-tier กรอก'!BX70='📝 Four-tier กรอก'!BX51,'📝 Four-tier กรอก'!BY70="Y",'📝 Four-tier กรอก'!BZ70='📝 Four-tier กรอก'!BZ51,'📝 Four-tier กรอก'!CA70="Y"),"✅ Sound",IF(AND('📝 Four-tier กรอก'!BX70='📝 Four-tier กรอก'!BX51,'📝 Four-tier กรอก'!BY70="Y",'📝 Four-tier กรอก'!BZ70&lt;&gt;'📝 Four-tier กรอก'!BZ51,'📝 Four-tier กรอก'!CA70="Y"),"🎲 Guess",IF(AND('📝 Four-tier กรอก'!BX70&lt;&gt;'📝 Four-tier กรอก'!BX51,'📝 Four-tier กรอก'!BY70="Y",'📝 Four-tier กรอก'!BZ70&lt;&gt;'📝 Four-tier กรอก'!BZ51,'📝 Four-tier กรอก'!CA70="Y"),"❌ Misc.",IF(AND('📝 Four-tier กรอก'!BX70&lt;&gt;'📝 Four-tier กรอก'!BX51,'📝 Four-tier กรอก'!BY70="N",'📝 Four-tier กรอก'!BZ70&lt;&gt;'📝 Four-tier กรอก'!BZ51,'📝 Four-tier กรอก'!CA70="N"),"❓ NoK","🤔 Partial")))))</f>
        <v/>
      </c>
      <c r="W69" s="67">
        <f>IF(OR('📝 Four-tier กรอก'!CB70="",'📝 Four-tier กรอก'!CD70=""),"—",IF(AND('📝 Four-tier กรอก'!CB70='📝 Four-tier กรอก'!CB51,'📝 Four-tier กรอก'!CC70="Y",'📝 Four-tier กรอก'!CD70='📝 Four-tier กรอก'!CD51,'📝 Four-tier กรอก'!CE70="Y"),"✅ Sound",IF(AND('📝 Four-tier กรอก'!CB70='📝 Four-tier กรอก'!CB51,'📝 Four-tier กรอก'!CC70="Y",'📝 Four-tier กรอก'!CD70&lt;&gt;'📝 Four-tier กรอก'!CD51,'📝 Four-tier กรอก'!CE70="Y"),"🎲 Guess",IF(AND('📝 Four-tier กรอก'!CB70&lt;&gt;'📝 Four-tier กรอก'!CB51,'📝 Four-tier กรอก'!CC70="Y",'📝 Four-tier กรอก'!CD70&lt;&gt;'📝 Four-tier กรอก'!CD51,'📝 Four-tier กรอก'!CE70="Y"),"❌ Misc.",IF(AND('📝 Four-tier กรอก'!CB70&lt;&gt;'📝 Four-tier กรอก'!CB51,'📝 Four-tier กรอก'!CC70="N",'📝 Four-tier กรอก'!CD70&lt;&gt;'📝 Four-tier กรอก'!CD51,'📝 Four-tier กรอก'!CE70="N"),"❓ NoK","🤔 Partial")))))</f>
        <v/>
      </c>
      <c r="X69" s="37">
        <f>COUNTIF(D69:W69,"✅ Sound")</f>
        <v/>
      </c>
      <c r="Y69" s="37">
        <f>COUNTIF(D69:W69,"❌ Misc.")</f>
        <v/>
      </c>
      <c r="Z69" s="37">
        <f>COUNTIF(D69:W69,"🎲 Guess")</f>
        <v/>
      </c>
      <c r="AA69" s="37">
        <f>COUNTIF(D69:W69,"❓ NoK")</f>
        <v/>
      </c>
    </row>
    <row r="70" ht="18" customHeight="1">
      <c r="B70" s="46">
        <f>'📝 Four-tier กรอก'!B71</f>
        <v/>
      </c>
      <c r="C70" s="51">
        <f>'📝 Four-tier กรอก'!C71</f>
        <v/>
      </c>
      <c r="D70" s="68">
        <f>IF(OR('📝 Four-tier กรอก'!D71="",'📝 Four-tier กรอก'!F71=""),"—",IF(AND('📝 Four-tier กรอก'!D71='📝 Four-tier กรอก'!D51,'📝 Four-tier กรอก'!E71="Y",'📝 Four-tier กรอก'!F71='📝 Four-tier กรอก'!F51,'📝 Four-tier กรอก'!G71="Y"),"✅ Sound",IF(AND('📝 Four-tier กรอก'!D71='📝 Four-tier กรอก'!D51,'📝 Four-tier กรอก'!E71="Y",'📝 Four-tier กรอก'!F71&lt;&gt;'📝 Four-tier กรอก'!F51,'📝 Four-tier กรอก'!G71="Y"),"🎲 Guess",IF(AND('📝 Four-tier กรอก'!D71&lt;&gt;'📝 Four-tier กรอก'!D51,'📝 Four-tier กรอก'!E71="Y",'📝 Four-tier กรอก'!F71&lt;&gt;'📝 Four-tier กรอก'!F51,'📝 Four-tier กรอก'!G71="Y"),"❌ Misc.",IF(AND('📝 Four-tier กรอก'!D71&lt;&gt;'📝 Four-tier กรอก'!D51,'📝 Four-tier กรอก'!E71="N",'📝 Four-tier กรอก'!F71&lt;&gt;'📝 Four-tier กรอก'!F51,'📝 Four-tier กรอก'!G71="N"),"❓ NoK","🤔 Partial")))))</f>
        <v/>
      </c>
      <c r="E70" s="68">
        <f>IF(OR('📝 Four-tier กรอก'!H71="",'📝 Four-tier กรอก'!J71=""),"—",IF(AND('📝 Four-tier กรอก'!H71='📝 Four-tier กรอก'!H51,'📝 Four-tier กรอก'!I71="Y",'📝 Four-tier กรอก'!J71='📝 Four-tier กรอก'!J51,'📝 Four-tier กรอก'!K71="Y"),"✅ Sound",IF(AND('📝 Four-tier กรอก'!H71='📝 Four-tier กรอก'!H51,'📝 Four-tier กรอก'!I71="Y",'📝 Four-tier กรอก'!J71&lt;&gt;'📝 Four-tier กรอก'!J51,'📝 Four-tier กรอก'!K71="Y"),"🎲 Guess",IF(AND('📝 Four-tier กรอก'!H71&lt;&gt;'📝 Four-tier กรอก'!H51,'📝 Four-tier กรอก'!I71="Y",'📝 Four-tier กรอก'!J71&lt;&gt;'📝 Four-tier กรอก'!J51,'📝 Four-tier กรอก'!K71="Y"),"❌ Misc.",IF(AND('📝 Four-tier กรอก'!H71&lt;&gt;'📝 Four-tier กรอก'!H51,'📝 Four-tier กรอก'!I71="N",'📝 Four-tier กรอก'!J71&lt;&gt;'📝 Four-tier กรอก'!J51,'📝 Four-tier กรอก'!K71="N"),"❓ NoK","🤔 Partial")))))</f>
        <v/>
      </c>
      <c r="F70" s="68">
        <f>IF(OR('📝 Four-tier กรอก'!L71="",'📝 Four-tier กรอก'!N71=""),"—",IF(AND('📝 Four-tier กรอก'!L71='📝 Four-tier กรอก'!L51,'📝 Four-tier กรอก'!M71="Y",'📝 Four-tier กรอก'!N71='📝 Four-tier กรอก'!N51,'📝 Four-tier กรอก'!O71="Y"),"✅ Sound",IF(AND('📝 Four-tier กรอก'!L71='📝 Four-tier กรอก'!L51,'📝 Four-tier กรอก'!M71="Y",'📝 Four-tier กรอก'!N71&lt;&gt;'📝 Four-tier กรอก'!N51,'📝 Four-tier กรอก'!O71="Y"),"🎲 Guess",IF(AND('📝 Four-tier กรอก'!L71&lt;&gt;'📝 Four-tier กรอก'!L51,'📝 Four-tier กรอก'!M71="Y",'📝 Four-tier กรอก'!N71&lt;&gt;'📝 Four-tier กรอก'!N51,'📝 Four-tier กรอก'!O71="Y"),"❌ Misc.",IF(AND('📝 Four-tier กรอก'!L71&lt;&gt;'📝 Four-tier กรอก'!L51,'📝 Four-tier กรอก'!M71="N",'📝 Four-tier กรอก'!N71&lt;&gt;'📝 Four-tier กรอก'!N51,'📝 Four-tier กรอก'!O71="N"),"❓ NoK","🤔 Partial")))))</f>
        <v/>
      </c>
      <c r="G70" s="68">
        <f>IF(OR('📝 Four-tier กรอก'!P71="",'📝 Four-tier กรอก'!R71=""),"—",IF(AND('📝 Four-tier กรอก'!P71='📝 Four-tier กรอก'!P51,'📝 Four-tier กรอก'!Q71="Y",'📝 Four-tier กรอก'!R71='📝 Four-tier กรอก'!R51,'📝 Four-tier กรอก'!S71="Y"),"✅ Sound",IF(AND('📝 Four-tier กรอก'!P71='📝 Four-tier กรอก'!P51,'📝 Four-tier กรอก'!Q71="Y",'📝 Four-tier กรอก'!R71&lt;&gt;'📝 Four-tier กรอก'!R51,'📝 Four-tier กรอก'!S71="Y"),"🎲 Guess",IF(AND('📝 Four-tier กรอก'!P71&lt;&gt;'📝 Four-tier กรอก'!P51,'📝 Four-tier กรอก'!Q71="Y",'📝 Four-tier กรอก'!R71&lt;&gt;'📝 Four-tier กรอก'!R51,'📝 Four-tier กรอก'!S71="Y"),"❌ Misc.",IF(AND('📝 Four-tier กรอก'!P71&lt;&gt;'📝 Four-tier กรอก'!P51,'📝 Four-tier กรอก'!Q71="N",'📝 Four-tier กรอก'!R71&lt;&gt;'📝 Four-tier กรอก'!R51,'📝 Four-tier กรอก'!S71="N"),"❓ NoK","🤔 Partial")))))</f>
        <v/>
      </c>
      <c r="H70" s="68">
        <f>IF(OR('📝 Four-tier กรอก'!T71="",'📝 Four-tier กรอก'!V71=""),"—",IF(AND('📝 Four-tier กรอก'!T71='📝 Four-tier กรอก'!T51,'📝 Four-tier กรอก'!U71="Y",'📝 Four-tier กรอก'!V71='📝 Four-tier กรอก'!V51,'📝 Four-tier กรอก'!W71="Y"),"✅ Sound",IF(AND('📝 Four-tier กรอก'!T71='📝 Four-tier กรอก'!T51,'📝 Four-tier กรอก'!U71="Y",'📝 Four-tier กรอก'!V71&lt;&gt;'📝 Four-tier กรอก'!V51,'📝 Four-tier กรอก'!W71="Y"),"🎲 Guess",IF(AND('📝 Four-tier กรอก'!T71&lt;&gt;'📝 Four-tier กรอก'!T51,'📝 Four-tier กรอก'!U71="Y",'📝 Four-tier กรอก'!V71&lt;&gt;'📝 Four-tier กรอก'!V51,'📝 Four-tier กรอก'!W71="Y"),"❌ Misc.",IF(AND('📝 Four-tier กรอก'!T71&lt;&gt;'📝 Four-tier กรอก'!T51,'📝 Four-tier กรอก'!U71="N",'📝 Four-tier กรอก'!V71&lt;&gt;'📝 Four-tier กรอก'!V51,'📝 Four-tier กรอก'!W71="N"),"❓ NoK","🤔 Partial")))))</f>
        <v/>
      </c>
      <c r="I70" s="68">
        <f>IF(OR('📝 Four-tier กรอก'!X71="",'📝 Four-tier กรอก'!Z71=""),"—",IF(AND('📝 Four-tier กรอก'!X71='📝 Four-tier กรอก'!X51,'📝 Four-tier กรอก'!Y71="Y",'📝 Four-tier กรอก'!Z71='📝 Four-tier กรอก'!Z51,'📝 Four-tier กรอก'!AA71="Y"),"✅ Sound",IF(AND('📝 Four-tier กรอก'!X71='📝 Four-tier กรอก'!X51,'📝 Four-tier กรอก'!Y71="Y",'📝 Four-tier กรอก'!Z71&lt;&gt;'📝 Four-tier กรอก'!Z51,'📝 Four-tier กรอก'!AA71="Y"),"🎲 Guess",IF(AND('📝 Four-tier กรอก'!X71&lt;&gt;'📝 Four-tier กรอก'!X51,'📝 Four-tier กรอก'!Y71="Y",'📝 Four-tier กรอก'!Z71&lt;&gt;'📝 Four-tier กรอก'!Z51,'📝 Four-tier กรอก'!AA71="Y"),"❌ Misc.",IF(AND('📝 Four-tier กรอก'!X71&lt;&gt;'📝 Four-tier กรอก'!X51,'📝 Four-tier กรอก'!Y71="N",'📝 Four-tier กรอก'!Z71&lt;&gt;'📝 Four-tier กรอก'!Z51,'📝 Four-tier กรอก'!AA71="N"),"❓ NoK","🤔 Partial")))))</f>
        <v/>
      </c>
      <c r="J70" s="68">
        <f>IF(OR('📝 Four-tier กรอก'!AB71="",'📝 Four-tier กรอก'!AD71=""),"—",IF(AND('📝 Four-tier กรอก'!AB71='📝 Four-tier กรอก'!AB51,'📝 Four-tier กรอก'!AC71="Y",'📝 Four-tier กรอก'!AD71='📝 Four-tier กรอก'!AD51,'📝 Four-tier กรอก'!AE71="Y"),"✅ Sound",IF(AND('📝 Four-tier กรอก'!AB71='📝 Four-tier กรอก'!AB51,'📝 Four-tier กรอก'!AC71="Y",'📝 Four-tier กรอก'!AD71&lt;&gt;'📝 Four-tier กรอก'!AD51,'📝 Four-tier กรอก'!AE71="Y"),"🎲 Guess",IF(AND('📝 Four-tier กรอก'!AB71&lt;&gt;'📝 Four-tier กรอก'!AB51,'📝 Four-tier กรอก'!AC71="Y",'📝 Four-tier กรอก'!AD71&lt;&gt;'📝 Four-tier กรอก'!AD51,'📝 Four-tier กรอก'!AE71="Y"),"❌ Misc.",IF(AND('📝 Four-tier กรอก'!AB71&lt;&gt;'📝 Four-tier กรอก'!AB51,'📝 Four-tier กรอก'!AC71="N",'📝 Four-tier กรอก'!AD71&lt;&gt;'📝 Four-tier กรอก'!AD51,'📝 Four-tier กรอก'!AE71="N"),"❓ NoK","🤔 Partial")))))</f>
        <v/>
      </c>
      <c r="K70" s="68">
        <f>IF(OR('📝 Four-tier กรอก'!AF71="",'📝 Four-tier กรอก'!AH71=""),"—",IF(AND('📝 Four-tier กรอก'!AF71='📝 Four-tier กรอก'!AF51,'📝 Four-tier กรอก'!AG71="Y",'📝 Four-tier กรอก'!AH71='📝 Four-tier กรอก'!AH51,'📝 Four-tier กรอก'!AI71="Y"),"✅ Sound",IF(AND('📝 Four-tier กรอก'!AF71='📝 Four-tier กรอก'!AF51,'📝 Four-tier กรอก'!AG71="Y",'📝 Four-tier กรอก'!AH71&lt;&gt;'📝 Four-tier กรอก'!AH51,'📝 Four-tier กรอก'!AI71="Y"),"🎲 Guess",IF(AND('📝 Four-tier กรอก'!AF71&lt;&gt;'📝 Four-tier กรอก'!AF51,'📝 Four-tier กรอก'!AG71="Y",'📝 Four-tier กรอก'!AH71&lt;&gt;'📝 Four-tier กรอก'!AH51,'📝 Four-tier กรอก'!AI71="Y"),"❌ Misc.",IF(AND('📝 Four-tier กรอก'!AF71&lt;&gt;'📝 Four-tier กรอก'!AF51,'📝 Four-tier กรอก'!AG71="N",'📝 Four-tier กรอก'!AH71&lt;&gt;'📝 Four-tier กรอก'!AH51,'📝 Four-tier กรอก'!AI71="N"),"❓ NoK","🤔 Partial")))))</f>
        <v/>
      </c>
      <c r="L70" s="68">
        <f>IF(OR('📝 Four-tier กรอก'!AJ71="",'📝 Four-tier กรอก'!AL71=""),"—",IF(AND('📝 Four-tier กรอก'!AJ71='📝 Four-tier กรอก'!AJ51,'📝 Four-tier กรอก'!AK71="Y",'📝 Four-tier กรอก'!AL71='📝 Four-tier กรอก'!AL51,'📝 Four-tier กรอก'!AM71="Y"),"✅ Sound",IF(AND('📝 Four-tier กรอก'!AJ71='📝 Four-tier กรอก'!AJ51,'📝 Four-tier กรอก'!AK71="Y",'📝 Four-tier กรอก'!AL71&lt;&gt;'📝 Four-tier กรอก'!AL51,'📝 Four-tier กรอก'!AM71="Y"),"🎲 Guess",IF(AND('📝 Four-tier กรอก'!AJ71&lt;&gt;'📝 Four-tier กรอก'!AJ51,'📝 Four-tier กรอก'!AK71="Y",'📝 Four-tier กรอก'!AL71&lt;&gt;'📝 Four-tier กรอก'!AL51,'📝 Four-tier กรอก'!AM71="Y"),"❌ Misc.",IF(AND('📝 Four-tier กรอก'!AJ71&lt;&gt;'📝 Four-tier กรอก'!AJ51,'📝 Four-tier กรอก'!AK71="N",'📝 Four-tier กรอก'!AL71&lt;&gt;'📝 Four-tier กรอก'!AL51,'📝 Four-tier กรอก'!AM71="N"),"❓ NoK","🤔 Partial")))))</f>
        <v/>
      </c>
      <c r="M70" s="68">
        <f>IF(OR('📝 Four-tier กรอก'!AN71="",'📝 Four-tier กรอก'!AP71=""),"—",IF(AND('📝 Four-tier กรอก'!AN71='📝 Four-tier กรอก'!AN51,'📝 Four-tier กรอก'!AO71="Y",'📝 Four-tier กรอก'!AP71='📝 Four-tier กรอก'!AP51,'📝 Four-tier กรอก'!AQ71="Y"),"✅ Sound",IF(AND('📝 Four-tier กรอก'!AN71='📝 Four-tier กรอก'!AN51,'📝 Four-tier กรอก'!AO71="Y",'📝 Four-tier กรอก'!AP71&lt;&gt;'📝 Four-tier กรอก'!AP51,'📝 Four-tier กรอก'!AQ71="Y"),"🎲 Guess",IF(AND('📝 Four-tier กรอก'!AN71&lt;&gt;'📝 Four-tier กรอก'!AN51,'📝 Four-tier กรอก'!AO71="Y",'📝 Four-tier กรอก'!AP71&lt;&gt;'📝 Four-tier กรอก'!AP51,'📝 Four-tier กรอก'!AQ71="Y"),"❌ Misc.",IF(AND('📝 Four-tier กรอก'!AN71&lt;&gt;'📝 Four-tier กรอก'!AN51,'📝 Four-tier กรอก'!AO71="N",'📝 Four-tier กรอก'!AP71&lt;&gt;'📝 Four-tier กรอก'!AP51,'📝 Four-tier กรอก'!AQ71="N"),"❓ NoK","🤔 Partial")))))</f>
        <v/>
      </c>
      <c r="N70" s="68">
        <f>IF(OR('📝 Four-tier กรอก'!AR71="",'📝 Four-tier กรอก'!AT71=""),"—",IF(AND('📝 Four-tier กรอก'!AR71='📝 Four-tier กรอก'!AR51,'📝 Four-tier กรอก'!AS71="Y",'📝 Four-tier กรอก'!AT71='📝 Four-tier กรอก'!AT51,'📝 Four-tier กรอก'!AU71="Y"),"✅ Sound",IF(AND('📝 Four-tier กรอก'!AR71='📝 Four-tier กรอก'!AR51,'📝 Four-tier กรอก'!AS71="Y",'📝 Four-tier กรอก'!AT71&lt;&gt;'📝 Four-tier กรอก'!AT51,'📝 Four-tier กรอก'!AU71="Y"),"🎲 Guess",IF(AND('📝 Four-tier กรอก'!AR71&lt;&gt;'📝 Four-tier กรอก'!AR51,'📝 Four-tier กรอก'!AS71="Y",'📝 Four-tier กรอก'!AT71&lt;&gt;'📝 Four-tier กรอก'!AT51,'📝 Four-tier กรอก'!AU71="Y"),"❌ Misc.",IF(AND('📝 Four-tier กรอก'!AR71&lt;&gt;'📝 Four-tier กรอก'!AR51,'📝 Four-tier กรอก'!AS71="N",'📝 Four-tier กรอก'!AT71&lt;&gt;'📝 Four-tier กรอก'!AT51,'📝 Four-tier กรอก'!AU71="N"),"❓ NoK","🤔 Partial")))))</f>
        <v/>
      </c>
      <c r="O70" s="68">
        <f>IF(OR('📝 Four-tier กรอก'!AV71="",'📝 Four-tier กรอก'!AX71=""),"—",IF(AND('📝 Four-tier กรอก'!AV71='📝 Four-tier กรอก'!AV51,'📝 Four-tier กรอก'!AW71="Y",'📝 Four-tier กรอก'!AX71='📝 Four-tier กรอก'!AX51,'📝 Four-tier กรอก'!AY71="Y"),"✅ Sound",IF(AND('📝 Four-tier กรอก'!AV71='📝 Four-tier กรอก'!AV51,'📝 Four-tier กรอก'!AW71="Y",'📝 Four-tier กรอก'!AX71&lt;&gt;'📝 Four-tier กรอก'!AX51,'📝 Four-tier กรอก'!AY71="Y"),"🎲 Guess",IF(AND('📝 Four-tier กรอก'!AV71&lt;&gt;'📝 Four-tier กรอก'!AV51,'📝 Four-tier กรอก'!AW71="Y",'📝 Four-tier กรอก'!AX71&lt;&gt;'📝 Four-tier กรอก'!AX51,'📝 Four-tier กรอก'!AY71="Y"),"❌ Misc.",IF(AND('📝 Four-tier กรอก'!AV71&lt;&gt;'📝 Four-tier กรอก'!AV51,'📝 Four-tier กรอก'!AW71="N",'📝 Four-tier กรอก'!AX71&lt;&gt;'📝 Four-tier กรอก'!AX51,'📝 Four-tier กรอก'!AY71="N"),"❓ NoK","🤔 Partial")))))</f>
        <v/>
      </c>
      <c r="P70" s="68">
        <f>IF(OR('📝 Four-tier กรอก'!AZ71="",'📝 Four-tier กรอก'!BB71=""),"—",IF(AND('📝 Four-tier กรอก'!AZ71='📝 Four-tier กรอก'!AZ51,'📝 Four-tier กรอก'!BA71="Y",'📝 Four-tier กรอก'!BB71='📝 Four-tier กรอก'!BB51,'📝 Four-tier กรอก'!BC71="Y"),"✅ Sound",IF(AND('📝 Four-tier กรอก'!AZ71='📝 Four-tier กรอก'!AZ51,'📝 Four-tier กรอก'!BA71="Y",'📝 Four-tier กรอก'!BB71&lt;&gt;'📝 Four-tier กรอก'!BB51,'📝 Four-tier กรอก'!BC71="Y"),"🎲 Guess",IF(AND('📝 Four-tier กรอก'!AZ71&lt;&gt;'📝 Four-tier กรอก'!AZ51,'📝 Four-tier กรอก'!BA71="Y",'📝 Four-tier กรอก'!BB71&lt;&gt;'📝 Four-tier กรอก'!BB51,'📝 Four-tier กรอก'!BC71="Y"),"❌ Misc.",IF(AND('📝 Four-tier กรอก'!AZ71&lt;&gt;'📝 Four-tier กรอก'!AZ51,'📝 Four-tier กรอก'!BA71="N",'📝 Four-tier กรอก'!BB71&lt;&gt;'📝 Four-tier กรอก'!BB51,'📝 Four-tier กรอก'!BC71="N"),"❓ NoK","🤔 Partial")))))</f>
        <v/>
      </c>
      <c r="Q70" s="68">
        <f>IF(OR('📝 Four-tier กรอก'!BD71="",'📝 Four-tier กรอก'!BF71=""),"—",IF(AND('📝 Four-tier กรอก'!BD71='📝 Four-tier กรอก'!BD51,'📝 Four-tier กรอก'!BE71="Y",'📝 Four-tier กรอก'!BF71='📝 Four-tier กรอก'!BF51,'📝 Four-tier กรอก'!BG71="Y"),"✅ Sound",IF(AND('📝 Four-tier กรอก'!BD71='📝 Four-tier กรอก'!BD51,'📝 Four-tier กรอก'!BE71="Y",'📝 Four-tier กรอก'!BF71&lt;&gt;'📝 Four-tier กรอก'!BF51,'📝 Four-tier กรอก'!BG71="Y"),"🎲 Guess",IF(AND('📝 Four-tier กรอก'!BD71&lt;&gt;'📝 Four-tier กรอก'!BD51,'📝 Four-tier กรอก'!BE71="Y",'📝 Four-tier กรอก'!BF71&lt;&gt;'📝 Four-tier กรอก'!BF51,'📝 Four-tier กรอก'!BG71="Y"),"❌ Misc.",IF(AND('📝 Four-tier กรอก'!BD71&lt;&gt;'📝 Four-tier กรอก'!BD51,'📝 Four-tier กรอก'!BE71="N",'📝 Four-tier กรอก'!BF71&lt;&gt;'📝 Four-tier กรอก'!BF51,'📝 Four-tier กรอก'!BG71="N"),"❓ NoK","🤔 Partial")))))</f>
        <v/>
      </c>
      <c r="R70" s="68">
        <f>IF(OR('📝 Four-tier กรอก'!BH71="",'📝 Four-tier กรอก'!BJ71=""),"—",IF(AND('📝 Four-tier กรอก'!BH71='📝 Four-tier กรอก'!BH51,'📝 Four-tier กรอก'!BI71="Y",'📝 Four-tier กรอก'!BJ71='📝 Four-tier กรอก'!BJ51,'📝 Four-tier กรอก'!BK71="Y"),"✅ Sound",IF(AND('📝 Four-tier กรอก'!BH71='📝 Four-tier กรอก'!BH51,'📝 Four-tier กรอก'!BI71="Y",'📝 Four-tier กรอก'!BJ71&lt;&gt;'📝 Four-tier กรอก'!BJ51,'📝 Four-tier กรอก'!BK71="Y"),"🎲 Guess",IF(AND('📝 Four-tier กรอก'!BH71&lt;&gt;'📝 Four-tier กรอก'!BH51,'📝 Four-tier กรอก'!BI71="Y",'📝 Four-tier กรอก'!BJ71&lt;&gt;'📝 Four-tier กรอก'!BJ51,'📝 Four-tier กรอก'!BK71="Y"),"❌ Misc.",IF(AND('📝 Four-tier กรอก'!BH71&lt;&gt;'📝 Four-tier กรอก'!BH51,'📝 Four-tier กรอก'!BI71="N",'📝 Four-tier กรอก'!BJ71&lt;&gt;'📝 Four-tier กรอก'!BJ51,'📝 Four-tier กรอก'!BK71="N"),"❓ NoK","🤔 Partial")))))</f>
        <v/>
      </c>
      <c r="S70" s="68">
        <f>IF(OR('📝 Four-tier กรอก'!BL71="",'📝 Four-tier กรอก'!BN71=""),"—",IF(AND('📝 Four-tier กรอก'!BL71='📝 Four-tier กรอก'!BL51,'📝 Four-tier กรอก'!BM71="Y",'📝 Four-tier กรอก'!BN71='📝 Four-tier กรอก'!BN51,'📝 Four-tier กรอก'!BO71="Y"),"✅ Sound",IF(AND('📝 Four-tier กรอก'!BL71='📝 Four-tier กรอก'!BL51,'📝 Four-tier กรอก'!BM71="Y",'📝 Four-tier กรอก'!BN71&lt;&gt;'📝 Four-tier กรอก'!BN51,'📝 Four-tier กรอก'!BO71="Y"),"🎲 Guess",IF(AND('📝 Four-tier กรอก'!BL71&lt;&gt;'📝 Four-tier กรอก'!BL51,'📝 Four-tier กรอก'!BM71="Y",'📝 Four-tier กรอก'!BN71&lt;&gt;'📝 Four-tier กรอก'!BN51,'📝 Four-tier กรอก'!BO71="Y"),"❌ Misc.",IF(AND('📝 Four-tier กรอก'!BL71&lt;&gt;'📝 Four-tier กรอก'!BL51,'📝 Four-tier กรอก'!BM71="N",'📝 Four-tier กรอก'!BN71&lt;&gt;'📝 Four-tier กรอก'!BN51,'📝 Four-tier กรอก'!BO71="N"),"❓ NoK","🤔 Partial")))))</f>
        <v/>
      </c>
      <c r="T70" s="68">
        <f>IF(OR('📝 Four-tier กรอก'!BP71="",'📝 Four-tier กรอก'!BR71=""),"—",IF(AND('📝 Four-tier กรอก'!BP71='📝 Four-tier กรอก'!BP51,'📝 Four-tier กรอก'!BQ71="Y",'📝 Four-tier กรอก'!BR71='📝 Four-tier กรอก'!BR51,'📝 Four-tier กรอก'!BS71="Y"),"✅ Sound",IF(AND('📝 Four-tier กรอก'!BP71='📝 Four-tier กรอก'!BP51,'📝 Four-tier กรอก'!BQ71="Y",'📝 Four-tier กรอก'!BR71&lt;&gt;'📝 Four-tier กรอก'!BR51,'📝 Four-tier กรอก'!BS71="Y"),"🎲 Guess",IF(AND('📝 Four-tier กรอก'!BP71&lt;&gt;'📝 Four-tier กรอก'!BP51,'📝 Four-tier กรอก'!BQ71="Y",'📝 Four-tier กรอก'!BR71&lt;&gt;'📝 Four-tier กรอก'!BR51,'📝 Four-tier กรอก'!BS71="Y"),"❌ Misc.",IF(AND('📝 Four-tier กรอก'!BP71&lt;&gt;'📝 Four-tier กรอก'!BP51,'📝 Four-tier กรอก'!BQ71="N",'📝 Four-tier กรอก'!BR71&lt;&gt;'📝 Four-tier กรอก'!BR51,'📝 Four-tier กรอก'!BS71="N"),"❓ NoK","🤔 Partial")))))</f>
        <v/>
      </c>
      <c r="U70" s="68">
        <f>IF(OR('📝 Four-tier กรอก'!BT71="",'📝 Four-tier กรอก'!BV71=""),"—",IF(AND('📝 Four-tier กรอก'!BT71='📝 Four-tier กรอก'!BT51,'📝 Four-tier กรอก'!BU71="Y",'📝 Four-tier กรอก'!BV71='📝 Four-tier กรอก'!BV51,'📝 Four-tier กรอก'!BW71="Y"),"✅ Sound",IF(AND('📝 Four-tier กรอก'!BT71='📝 Four-tier กรอก'!BT51,'📝 Four-tier กรอก'!BU71="Y",'📝 Four-tier กรอก'!BV71&lt;&gt;'📝 Four-tier กรอก'!BV51,'📝 Four-tier กรอก'!BW71="Y"),"🎲 Guess",IF(AND('📝 Four-tier กรอก'!BT71&lt;&gt;'📝 Four-tier กรอก'!BT51,'📝 Four-tier กรอก'!BU71="Y",'📝 Four-tier กรอก'!BV71&lt;&gt;'📝 Four-tier กรอก'!BV51,'📝 Four-tier กรอก'!BW71="Y"),"❌ Misc.",IF(AND('📝 Four-tier กรอก'!BT71&lt;&gt;'📝 Four-tier กรอก'!BT51,'📝 Four-tier กรอก'!BU71="N",'📝 Four-tier กรอก'!BV71&lt;&gt;'📝 Four-tier กรอก'!BV51,'📝 Four-tier กรอก'!BW71="N"),"❓ NoK","🤔 Partial")))))</f>
        <v/>
      </c>
      <c r="V70" s="68">
        <f>IF(OR('📝 Four-tier กรอก'!BX71="",'📝 Four-tier กรอก'!BZ71=""),"—",IF(AND('📝 Four-tier กรอก'!BX71='📝 Four-tier กรอก'!BX51,'📝 Four-tier กรอก'!BY71="Y",'📝 Four-tier กรอก'!BZ71='📝 Four-tier กรอก'!BZ51,'📝 Four-tier กรอก'!CA71="Y"),"✅ Sound",IF(AND('📝 Four-tier กรอก'!BX71='📝 Four-tier กรอก'!BX51,'📝 Four-tier กรอก'!BY71="Y",'📝 Four-tier กรอก'!BZ71&lt;&gt;'📝 Four-tier กรอก'!BZ51,'📝 Four-tier กรอก'!CA71="Y"),"🎲 Guess",IF(AND('📝 Four-tier กรอก'!BX71&lt;&gt;'📝 Four-tier กรอก'!BX51,'📝 Four-tier กรอก'!BY71="Y",'📝 Four-tier กรอก'!BZ71&lt;&gt;'📝 Four-tier กรอก'!BZ51,'📝 Four-tier กรอก'!CA71="Y"),"❌ Misc.",IF(AND('📝 Four-tier กรอก'!BX71&lt;&gt;'📝 Four-tier กรอก'!BX51,'📝 Four-tier กรอก'!BY71="N",'📝 Four-tier กรอก'!BZ71&lt;&gt;'📝 Four-tier กรอก'!BZ51,'📝 Four-tier กรอก'!CA71="N"),"❓ NoK","🤔 Partial")))))</f>
        <v/>
      </c>
      <c r="W70" s="68">
        <f>IF(OR('📝 Four-tier กรอก'!CB71="",'📝 Four-tier กรอก'!CD71=""),"—",IF(AND('📝 Four-tier กรอก'!CB71='📝 Four-tier กรอก'!CB51,'📝 Four-tier กรอก'!CC71="Y",'📝 Four-tier กรอก'!CD71='📝 Four-tier กรอก'!CD51,'📝 Four-tier กรอก'!CE71="Y"),"✅ Sound",IF(AND('📝 Four-tier กรอก'!CB71='📝 Four-tier กรอก'!CB51,'📝 Four-tier กรอก'!CC71="Y",'📝 Four-tier กรอก'!CD71&lt;&gt;'📝 Four-tier กรอก'!CD51,'📝 Four-tier กรอก'!CE71="Y"),"🎲 Guess",IF(AND('📝 Four-tier กรอก'!CB71&lt;&gt;'📝 Four-tier กรอก'!CB51,'📝 Four-tier กรอก'!CC71="Y",'📝 Four-tier กรอก'!CD71&lt;&gt;'📝 Four-tier กรอก'!CD51,'📝 Four-tier กรอก'!CE71="Y"),"❌ Misc.",IF(AND('📝 Four-tier กรอก'!CB71&lt;&gt;'📝 Four-tier กรอก'!CB51,'📝 Four-tier กรอก'!CC71="N",'📝 Four-tier กรอก'!CD71&lt;&gt;'📝 Four-tier กรอก'!CD51,'📝 Four-tier กรอก'!CE71="N"),"❓ NoK","🤔 Partial")))))</f>
        <v/>
      </c>
      <c r="X70" s="37">
        <f>COUNTIF(D70:W70,"✅ Sound")</f>
        <v/>
      </c>
      <c r="Y70" s="37">
        <f>COUNTIF(D70:W70,"❌ Misc.")</f>
        <v/>
      </c>
      <c r="Z70" s="37">
        <f>COUNTIF(D70:W70,"🎲 Guess")</f>
        <v/>
      </c>
      <c r="AA70" s="37">
        <f>COUNTIF(D70:W70,"❓ NoK")</f>
        <v/>
      </c>
    </row>
    <row r="71" ht="18" customHeight="1">
      <c r="B71" s="46">
        <f>'📝 Four-tier กรอก'!B72</f>
        <v/>
      </c>
      <c r="C71" s="47">
        <f>'📝 Four-tier กรอก'!C72</f>
        <v/>
      </c>
      <c r="D71" s="67">
        <f>IF(OR('📝 Four-tier กรอก'!D72="",'📝 Four-tier กรอก'!F72=""),"—",IF(AND('📝 Four-tier กรอก'!D72='📝 Four-tier กรอก'!D51,'📝 Four-tier กรอก'!E72="Y",'📝 Four-tier กรอก'!F72='📝 Four-tier กรอก'!F51,'📝 Four-tier กรอก'!G72="Y"),"✅ Sound",IF(AND('📝 Four-tier กรอก'!D72='📝 Four-tier กรอก'!D51,'📝 Four-tier กรอก'!E72="Y",'📝 Four-tier กรอก'!F72&lt;&gt;'📝 Four-tier กรอก'!F51,'📝 Four-tier กรอก'!G72="Y"),"🎲 Guess",IF(AND('📝 Four-tier กรอก'!D72&lt;&gt;'📝 Four-tier กรอก'!D51,'📝 Four-tier กรอก'!E72="Y",'📝 Four-tier กรอก'!F72&lt;&gt;'📝 Four-tier กรอก'!F51,'📝 Four-tier กรอก'!G72="Y"),"❌ Misc.",IF(AND('📝 Four-tier กรอก'!D72&lt;&gt;'📝 Four-tier กรอก'!D51,'📝 Four-tier กรอก'!E72="N",'📝 Four-tier กรอก'!F72&lt;&gt;'📝 Four-tier กรอก'!F51,'📝 Four-tier กรอก'!G72="N"),"❓ NoK","🤔 Partial")))))</f>
        <v/>
      </c>
      <c r="E71" s="67">
        <f>IF(OR('📝 Four-tier กรอก'!H72="",'📝 Four-tier กรอก'!J72=""),"—",IF(AND('📝 Four-tier กรอก'!H72='📝 Four-tier กรอก'!H51,'📝 Four-tier กรอก'!I72="Y",'📝 Four-tier กรอก'!J72='📝 Four-tier กรอก'!J51,'📝 Four-tier กรอก'!K72="Y"),"✅ Sound",IF(AND('📝 Four-tier กรอก'!H72='📝 Four-tier กรอก'!H51,'📝 Four-tier กรอก'!I72="Y",'📝 Four-tier กรอก'!J72&lt;&gt;'📝 Four-tier กรอก'!J51,'📝 Four-tier กรอก'!K72="Y"),"🎲 Guess",IF(AND('📝 Four-tier กรอก'!H72&lt;&gt;'📝 Four-tier กรอก'!H51,'📝 Four-tier กรอก'!I72="Y",'📝 Four-tier กรอก'!J72&lt;&gt;'📝 Four-tier กรอก'!J51,'📝 Four-tier กรอก'!K72="Y"),"❌ Misc.",IF(AND('📝 Four-tier กรอก'!H72&lt;&gt;'📝 Four-tier กรอก'!H51,'📝 Four-tier กรอก'!I72="N",'📝 Four-tier กรอก'!J72&lt;&gt;'📝 Four-tier กรอก'!J51,'📝 Four-tier กรอก'!K72="N"),"❓ NoK","🤔 Partial")))))</f>
        <v/>
      </c>
      <c r="F71" s="67">
        <f>IF(OR('📝 Four-tier กรอก'!L72="",'📝 Four-tier กรอก'!N72=""),"—",IF(AND('📝 Four-tier กรอก'!L72='📝 Four-tier กรอก'!L51,'📝 Four-tier กรอก'!M72="Y",'📝 Four-tier กรอก'!N72='📝 Four-tier กรอก'!N51,'📝 Four-tier กรอก'!O72="Y"),"✅ Sound",IF(AND('📝 Four-tier กรอก'!L72='📝 Four-tier กรอก'!L51,'📝 Four-tier กรอก'!M72="Y",'📝 Four-tier กรอก'!N72&lt;&gt;'📝 Four-tier กรอก'!N51,'📝 Four-tier กรอก'!O72="Y"),"🎲 Guess",IF(AND('📝 Four-tier กรอก'!L72&lt;&gt;'📝 Four-tier กรอก'!L51,'📝 Four-tier กรอก'!M72="Y",'📝 Four-tier กรอก'!N72&lt;&gt;'📝 Four-tier กรอก'!N51,'📝 Four-tier กรอก'!O72="Y"),"❌ Misc.",IF(AND('📝 Four-tier กรอก'!L72&lt;&gt;'📝 Four-tier กรอก'!L51,'📝 Four-tier กรอก'!M72="N",'📝 Four-tier กรอก'!N72&lt;&gt;'📝 Four-tier กรอก'!N51,'📝 Four-tier กรอก'!O72="N"),"❓ NoK","🤔 Partial")))))</f>
        <v/>
      </c>
      <c r="G71" s="67">
        <f>IF(OR('📝 Four-tier กรอก'!P72="",'📝 Four-tier กรอก'!R72=""),"—",IF(AND('📝 Four-tier กรอก'!P72='📝 Four-tier กรอก'!P51,'📝 Four-tier กรอก'!Q72="Y",'📝 Four-tier กรอก'!R72='📝 Four-tier กรอก'!R51,'📝 Four-tier กรอก'!S72="Y"),"✅ Sound",IF(AND('📝 Four-tier กรอก'!P72='📝 Four-tier กรอก'!P51,'📝 Four-tier กรอก'!Q72="Y",'📝 Four-tier กรอก'!R72&lt;&gt;'📝 Four-tier กรอก'!R51,'📝 Four-tier กรอก'!S72="Y"),"🎲 Guess",IF(AND('📝 Four-tier กรอก'!P72&lt;&gt;'📝 Four-tier กรอก'!P51,'📝 Four-tier กรอก'!Q72="Y",'📝 Four-tier กรอก'!R72&lt;&gt;'📝 Four-tier กรอก'!R51,'📝 Four-tier กรอก'!S72="Y"),"❌ Misc.",IF(AND('📝 Four-tier กรอก'!P72&lt;&gt;'📝 Four-tier กรอก'!P51,'📝 Four-tier กรอก'!Q72="N",'📝 Four-tier กรอก'!R72&lt;&gt;'📝 Four-tier กรอก'!R51,'📝 Four-tier กรอก'!S72="N"),"❓ NoK","🤔 Partial")))))</f>
        <v/>
      </c>
      <c r="H71" s="67">
        <f>IF(OR('📝 Four-tier กรอก'!T72="",'📝 Four-tier กรอก'!V72=""),"—",IF(AND('📝 Four-tier กรอก'!T72='📝 Four-tier กรอก'!T51,'📝 Four-tier กรอก'!U72="Y",'📝 Four-tier กรอก'!V72='📝 Four-tier กรอก'!V51,'📝 Four-tier กรอก'!W72="Y"),"✅ Sound",IF(AND('📝 Four-tier กรอก'!T72='📝 Four-tier กรอก'!T51,'📝 Four-tier กรอก'!U72="Y",'📝 Four-tier กรอก'!V72&lt;&gt;'📝 Four-tier กรอก'!V51,'📝 Four-tier กรอก'!W72="Y"),"🎲 Guess",IF(AND('📝 Four-tier กรอก'!T72&lt;&gt;'📝 Four-tier กรอก'!T51,'📝 Four-tier กรอก'!U72="Y",'📝 Four-tier กรอก'!V72&lt;&gt;'📝 Four-tier กรอก'!V51,'📝 Four-tier กรอก'!W72="Y"),"❌ Misc.",IF(AND('📝 Four-tier กรอก'!T72&lt;&gt;'📝 Four-tier กรอก'!T51,'📝 Four-tier กรอก'!U72="N",'📝 Four-tier กรอก'!V72&lt;&gt;'📝 Four-tier กรอก'!V51,'📝 Four-tier กรอก'!W72="N"),"❓ NoK","🤔 Partial")))))</f>
        <v/>
      </c>
      <c r="I71" s="67">
        <f>IF(OR('📝 Four-tier กรอก'!X72="",'📝 Four-tier กรอก'!Z72=""),"—",IF(AND('📝 Four-tier กรอก'!X72='📝 Four-tier กรอก'!X51,'📝 Four-tier กรอก'!Y72="Y",'📝 Four-tier กรอก'!Z72='📝 Four-tier กรอก'!Z51,'📝 Four-tier กรอก'!AA72="Y"),"✅ Sound",IF(AND('📝 Four-tier กรอก'!X72='📝 Four-tier กรอก'!X51,'📝 Four-tier กรอก'!Y72="Y",'📝 Four-tier กรอก'!Z72&lt;&gt;'📝 Four-tier กรอก'!Z51,'📝 Four-tier กรอก'!AA72="Y"),"🎲 Guess",IF(AND('📝 Four-tier กรอก'!X72&lt;&gt;'📝 Four-tier กรอก'!X51,'📝 Four-tier กรอก'!Y72="Y",'📝 Four-tier กรอก'!Z72&lt;&gt;'📝 Four-tier กรอก'!Z51,'📝 Four-tier กรอก'!AA72="Y"),"❌ Misc.",IF(AND('📝 Four-tier กรอก'!X72&lt;&gt;'📝 Four-tier กรอก'!X51,'📝 Four-tier กรอก'!Y72="N",'📝 Four-tier กรอก'!Z72&lt;&gt;'📝 Four-tier กรอก'!Z51,'📝 Four-tier กรอก'!AA72="N"),"❓ NoK","🤔 Partial")))))</f>
        <v/>
      </c>
      <c r="J71" s="67">
        <f>IF(OR('📝 Four-tier กรอก'!AB72="",'📝 Four-tier กรอก'!AD72=""),"—",IF(AND('📝 Four-tier กรอก'!AB72='📝 Four-tier กรอก'!AB51,'📝 Four-tier กรอก'!AC72="Y",'📝 Four-tier กรอก'!AD72='📝 Four-tier กรอก'!AD51,'📝 Four-tier กรอก'!AE72="Y"),"✅ Sound",IF(AND('📝 Four-tier กรอก'!AB72='📝 Four-tier กรอก'!AB51,'📝 Four-tier กรอก'!AC72="Y",'📝 Four-tier กรอก'!AD72&lt;&gt;'📝 Four-tier กรอก'!AD51,'📝 Four-tier กรอก'!AE72="Y"),"🎲 Guess",IF(AND('📝 Four-tier กรอก'!AB72&lt;&gt;'📝 Four-tier กรอก'!AB51,'📝 Four-tier กรอก'!AC72="Y",'📝 Four-tier กรอก'!AD72&lt;&gt;'📝 Four-tier กรอก'!AD51,'📝 Four-tier กรอก'!AE72="Y"),"❌ Misc.",IF(AND('📝 Four-tier กรอก'!AB72&lt;&gt;'📝 Four-tier กรอก'!AB51,'📝 Four-tier กรอก'!AC72="N",'📝 Four-tier กรอก'!AD72&lt;&gt;'📝 Four-tier กรอก'!AD51,'📝 Four-tier กรอก'!AE72="N"),"❓ NoK","🤔 Partial")))))</f>
        <v/>
      </c>
      <c r="K71" s="67">
        <f>IF(OR('📝 Four-tier กรอก'!AF72="",'📝 Four-tier กรอก'!AH72=""),"—",IF(AND('📝 Four-tier กรอก'!AF72='📝 Four-tier กรอก'!AF51,'📝 Four-tier กรอก'!AG72="Y",'📝 Four-tier กรอก'!AH72='📝 Four-tier กรอก'!AH51,'📝 Four-tier กรอก'!AI72="Y"),"✅ Sound",IF(AND('📝 Four-tier กรอก'!AF72='📝 Four-tier กรอก'!AF51,'📝 Four-tier กรอก'!AG72="Y",'📝 Four-tier กรอก'!AH72&lt;&gt;'📝 Four-tier กรอก'!AH51,'📝 Four-tier กรอก'!AI72="Y"),"🎲 Guess",IF(AND('📝 Four-tier กรอก'!AF72&lt;&gt;'📝 Four-tier กรอก'!AF51,'📝 Four-tier กรอก'!AG72="Y",'📝 Four-tier กรอก'!AH72&lt;&gt;'📝 Four-tier กรอก'!AH51,'📝 Four-tier กรอก'!AI72="Y"),"❌ Misc.",IF(AND('📝 Four-tier กรอก'!AF72&lt;&gt;'📝 Four-tier กรอก'!AF51,'📝 Four-tier กรอก'!AG72="N",'📝 Four-tier กรอก'!AH72&lt;&gt;'📝 Four-tier กรอก'!AH51,'📝 Four-tier กรอก'!AI72="N"),"❓ NoK","🤔 Partial")))))</f>
        <v/>
      </c>
      <c r="L71" s="67">
        <f>IF(OR('📝 Four-tier กรอก'!AJ72="",'📝 Four-tier กรอก'!AL72=""),"—",IF(AND('📝 Four-tier กรอก'!AJ72='📝 Four-tier กรอก'!AJ51,'📝 Four-tier กรอก'!AK72="Y",'📝 Four-tier กรอก'!AL72='📝 Four-tier กรอก'!AL51,'📝 Four-tier กรอก'!AM72="Y"),"✅ Sound",IF(AND('📝 Four-tier กรอก'!AJ72='📝 Four-tier กรอก'!AJ51,'📝 Four-tier กรอก'!AK72="Y",'📝 Four-tier กรอก'!AL72&lt;&gt;'📝 Four-tier กรอก'!AL51,'📝 Four-tier กรอก'!AM72="Y"),"🎲 Guess",IF(AND('📝 Four-tier กรอก'!AJ72&lt;&gt;'📝 Four-tier กรอก'!AJ51,'📝 Four-tier กรอก'!AK72="Y",'📝 Four-tier กรอก'!AL72&lt;&gt;'📝 Four-tier กรอก'!AL51,'📝 Four-tier กรอก'!AM72="Y"),"❌ Misc.",IF(AND('📝 Four-tier กรอก'!AJ72&lt;&gt;'📝 Four-tier กรอก'!AJ51,'📝 Four-tier กรอก'!AK72="N",'📝 Four-tier กรอก'!AL72&lt;&gt;'📝 Four-tier กรอก'!AL51,'📝 Four-tier กรอก'!AM72="N"),"❓ NoK","🤔 Partial")))))</f>
        <v/>
      </c>
      <c r="M71" s="67">
        <f>IF(OR('📝 Four-tier กรอก'!AN72="",'📝 Four-tier กรอก'!AP72=""),"—",IF(AND('📝 Four-tier กรอก'!AN72='📝 Four-tier กรอก'!AN51,'📝 Four-tier กรอก'!AO72="Y",'📝 Four-tier กรอก'!AP72='📝 Four-tier กรอก'!AP51,'📝 Four-tier กรอก'!AQ72="Y"),"✅ Sound",IF(AND('📝 Four-tier กรอก'!AN72='📝 Four-tier กรอก'!AN51,'📝 Four-tier กรอก'!AO72="Y",'📝 Four-tier กรอก'!AP72&lt;&gt;'📝 Four-tier กรอก'!AP51,'📝 Four-tier กรอก'!AQ72="Y"),"🎲 Guess",IF(AND('📝 Four-tier กรอก'!AN72&lt;&gt;'📝 Four-tier กรอก'!AN51,'📝 Four-tier กรอก'!AO72="Y",'📝 Four-tier กรอก'!AP72&lt;&gt;'📝 Four-tier กรอก'!AP51,'📝 Four-tier กรอก'!AQ72="Y"),"❌ Misc.",IF(AND('📝 Four-tier กรอก'!AN72&lt;&gt;'📝 Four-tier กรอก'!AN51,'📝 Four-tier กรอก'!AO72="N",'📝 Four-tier กรอก'!AP72&lt;&gt;'📝 Four-tier กรอก'!AP51,'📝 Four-tier กรอก'!AQ72="N"),"❓ NoK","🤔 Partial")))))</f>
        <v/>
      </c>
      <c r="N71" s="67">
        <f>IF(OR('📝 Four-tier กรอก'!AR72="",'📝 Four-tier กรอก'!AT72=""),"—",IF(AND('📝 Four-tier กรอก'!AR72='📝 Four-tier กรอก'!AR51,'📝 Four-tier กรอก'!AS72="Y",'📝 Four-tier กรอก'!AT72='📝 Four-tier กรอก'!AT51,'📝 Four-tier กรอก'!AU72="Y"),"✅ Sound",IF(AND('📝 Four-tier กรอก'!AR72='📝 Four-tier กรอก'!AR51,'📝 Four-tier กรอก'!AS72="Y",'📝 Four-tier กรอก'!AT72&lt;&gt;'📝 Four-tier กรอก'!AT51,'📝 Four-tier กรอก'!AU72="Y"),"🎲 Guess",IF(AND('📝 Four-tier กรอก'!AR72&lt;&gt;'📝 Four-tier กรอก'!AR51,'📝 Four-tier กรอก'!AS72="Y",'📝 Four-tier กรอก'!AT72&lt;&gt;'📝 Four-tier กรอก'!AT51,'📝 Four-tier กรอก'!AU72="Y"),"❌ Misc.",IF(AND('📝 Four-tier กรอก'!AR72&lt;&gt;'📝 Four-tier กรอก'!AR51,'📝 Four-tier กรอก'!AS72="N",'📝 Four-tier กรอก'!AT72&lt;&gt;'📝 Four-tier กรอก'!AT51,'📝 Four-tier กรอก'!AU72="N"),"❓ NoK","🤔 Partial")))))</f>
        <v/>
      </c>
      <c r="O71" s="67">
        <f>IF(OR('📝 Four-tier กรอก'!AV72="",'📝 Four-tier กรอก'!AX72=""),"—",IF(AND('📝 Four-tier กรอก'!AV72='📝 Four-tier กรอก'!AV51,'📝 Four-tier กรอก'!AW72="Y",'📝 Four-tier กรอก'!AX72='📝 Four-tier กรอก'!AX51,'📝 Four-tier กรอก'!AY72="Y"),"✅ Sound",IF(AND('📝 Four-tier กรอก'!AV72='📝 Four-tier กรอก'!AV51,'📝 Four-tier กรอก'!AW72="Y",'📝 Four-tier กรอก'!AX72&lt;&gt;'📝 Four-tier กรอก'!AX51,'📝 Four-tier กรอก'!AY72="Y"),"🎲 Guess",IF(AND('📝 Four-tier กรอก'!AV72&lt;&gt;'📝 Four-tier กรอก'!AV51,'📝 Four-tier กรอก'!AW72="Y",'📝 Four-tier กรอก'!AX72&lt;&gt;'📝 Four-tier กรอก'!AX51,'📝 Four-tier กรอก'!AY72="Y"),"❌ Misc.",IF(AND('📝 Four-tier กรอก'!AV72&lt;&gt;'📝 Four-tier กรอก'!AV51,'📝 Four-tier กรอก'!AW72="N",'📝 Four-tier กรอก'!AX72&lt;&gt;'📝 Four-tier กรอก'!AX51,'📝 Four-tier กรอก'!AY72="N"),"❓ NoK","🤔 Partial")))))</f>
        <v/>
      </c>
      <c r="P71" s="67">
        <f>IF(OR('📝 Four-tier กรอก'!AZ72="",'📝 Four-tier กรอก'!BB72=""),"—",IF(AND('📝 Four-tier กรอก'!AZ72='📝 Four-tier กรอก'!AZ51,'📝 Four-tier กรอก'!BA72="Y",'📝 Four-tier กรอก'!BB72='📝 Four-tier กรอก'!BB51,'📝 Four-tier กรอก'!BC72="Y"),"✅ Sound",IF(AND('📝 Four-tier กรอก'!AZ72='📝 Four-tier กรอก'!AZ51,'📝 Four-tier กรอก'!BA72="Y",'📝 Four-tier กรอก'!BB72&lt;&gt;'📝 Four-tier กรอก'!BB51,'📝 Four-tier กรอก'!BC72="Y"),"🎲 Guess",IF(AND('📝 Four-tier กรอก'!AZ72&lt;&gt;'📝 Four-tier กรอก'!AZ51,'📝 Four-tier กรอก'!BA72="Y",'📝 Four-tier กรอก'!BB72&lt;&gt;'📝 Four-tier กรอก'!BB51,'📝 Four-tier กรอก'!BC72="Y"),"❌ Misc.",IF(AND('📝 Four-tier กรอก'!AZ72&lt;&gt;'📝 Four-tier กรอก'!AZ51,'📝 Four-tier กรอก'!BA72="N",'📝 Four-tier กรอก'!BB72&lt;&gt;'📝 Four-tier กรอก'!BB51,'📝 Four-tier กรอก'!BC72="N"),"❓ NoK","🤔 Partial")))))</f>
        <v/>
      </c>
      <c r="Q71" s="67">
        <f>IF(OR('📝 Four-tier กรอก'!BD72="",'📝 Four-tier กรอก'!BF72=""),"—",IF(AND('📝 Four-tier กรอก'!BD72='📝 Four-tier กรอก'!BD51,'📝 Four-tier กรอก'!BE72="Y",'📝 Four-tier กรอก'!BF72='📝 Four-tier กรอก'!BF51,'📝 Four-tier กรอก'!BG72="Y"),"✅ Sound",IF(AND('📝 Four-tier กรอก'!BD72='📝 Four-tier กรอก'!BD51,'📝 Four-tier กรอก'!BE72="Y",'📝 Four-tier กรอก'!BF72&lt;&gt;'📝 Four-tier กรอก'!BF51,'📝 Four-tier กรอก'!BG72="Y"),"🎲 Guess",IF(AND('📝 Four-tier กรอก'!BD72&lt;&gt;'📝 Four-tier กรอก'!BD51,'📝 Four-tier กรอก'!BE72="Y",'📝 Four-tier กรอก'!BF72&lt;&gt;'📝 Four-tier กรอก'!BF51,'📝 Four-tier กรอก'!BG72="Y"),"❌ Misc.",IF(AND('📝 Four-tier กรอก'!BD72&lt;&gt;'📝 Four-tier กรอก'!BD51,'📝 Four-tier กรอก'!BE72="N",'📝 Four-tier กรอก'!BF72&lt;&gt;'📝 Four-tier กรอก'!BF51,'📝 Four-tier กรอก'!BG72="N"),"❓ NoK","🤔 Partial")))))</f>
        <v/>
      </c>
      <c r="R71" s="67">
        <f>IF(OR('📝 Four-tier กรอก'!BH72="",'📝 Four-tier กรอก'!BJ72=""),"—",IF(AND('📝 Four-tier กรอก'!BH72='📝 Four-tier กรอก'!BH51,'📝 Four-tier กรอก'!BI72="Y",'📝 Four-tier กรอก'!BJ72='📝 Four-tier กรอก'!BJ51,'📝 Four-tier กรอก'!BK72="Y"),"✅ Sound",IF(AND('📝 Four-tier กรอก'!BH72='📝 Four-tier กรอก'!BH51,'📝 Four-tier กรอก'!BI72="Y",'📝 Four-tier กรอก'!BJ72&lt;&gt;'📝 Four-tier กรอก'!BJ51,'📝 Four-tier กรอก'!BK72="Y"),"🎲 Guess",IF(AND('📝 Four-tier กรอก'!BH72&lt;&gt;'📝 Four-tier กรอก'!BH51,'📝 Four-tier กรอก'!BI72="Y",'📝 Four-tier กรอก'!BJ72&lt;&gt;'📝 Four-tier กรอก'!BJ51,'📝 Four-tier กรอก'!BK72="Y"),"❌ Misc.",IF(AND('📝 Four-tier กรอก'!BH72&lt;&gt;'📝 Four-tier กรอก'!BH51,'📝 Four-tier กรอก'!BI72="N",'📝 Four-tier กรอก'!BJ72&lt;&gt;'📝 Four-tier กรอก'!BJ51,'📝 Four-tier กรอก'!BK72="N"),"❓ NoK","🤔 Partial")))))</f>
        <v/>
      </c>
      <c r="S71" s="67">
        <f>IF(OR('📝 Four-tier กรอก'!BL72="",'📝 Four-tier กรอก'!BN72=""),"—",IF(AND('📝 Four-tier กรอก'!BL72='📝 Four-tier กรอก'!BL51,'📝 Four-tier กรอก'!BM72="Y",'📝 Four-tier กรอก'!BN72='📝 Four-tier กรอก'!BN51,'📝 Four-tier กรอก'!BO72="Y"),"✅ Sound",IF(AND('📝 Four-tier กรอก'!BL72='📝 Four-tier กรอก'!BL51,'📝 Four-tier กรอก'!BM72="Y",'📝 Four-tier กรอก'!BN72&lt;&gt;'📝 Four-tier กรอก'!BN51,'📝 Four-tier กรอก'!BO72="Y"),"🎲 Guess",IF(AND('📝 Four-tier กรอก'!BL72&lt;&gt;'📝 Four-tier กรอก'!BL51,'📝 Four-tier กรอก'!BM72="Y",'📝 Four-tier กรอก'!BN72&lt;&gt;'📝 Four-tier กรอก'!BN51,'📝 Four-tier กรอก'!BO72="Y"),"❌ Misc.",IF(AND('📝 Four-tier กรอก'!BL72&lt;&gt;'📝 Four-tier กรอก'!BL51,'📝 Four-tier กรอก'!BM72="N",'📝 Four-tier กรอก'!BN72&lt;&gt;'📝 Four-tier กรอก'!BN51,'📝 Four-tier กรอก'!BO72="N"),"❓ NoK","🤔 Partial")))))</f>
        <v/>
      </c>
      <c r="T71" s="67">
        <f>IF(OR('📝 Four-tier กรอก'!BP72="",'📝 Four-tier กรอก'!BR72=""),"—",IF(AND('📝 Four-tier กรอก'!BP72='📝 Four-tier กรอก'!BP51,'📝 Four-tier กรอก'!BQ72="Y",'📝 Four-tier กรอก'!BR72='📝 Four-tier กรอก'!BR51,'📝 Four-tier กรอก'!BS72="Y"),"✅ Sound",IF(AND('📝 Four-tier กรอก'!BP72='📝 Four-tier กรอก'!BP51,'📝 Four-tier กรอก'!BQ72="Y",'📝 Four-tier กรอก'!BR72&lt;&gt;'📝 Four-tier กรอก'!BR51,'📝 Four-tier กรอก'!BS72="Y"),"🎲 Guess",IF(AND('📝 Four-tier กรอก'!BP72&lt;&gt;'📝 Four-tier กรอก'!BP51,'📝 Four-tier กรอก'!BQ72="Y",'📝 Four-tier กรอก'!BR72&lt;&gt;'📝 Four-tier กรอก'!BR51,'📝 Four-tier กรอก'!BS72="Y"),"❌ Misc.",IF(AND('📝 Four-tier กรอก'!BP72&lt;&gt;'📝 Four-tier กรอก'!BP51,'📝 Four-tier กรอก'!BQ72="N",'📝 Four-tier กรอก'!BR72&lt;&gt;'📝 Four-tier กรอก'!BR51,'📝 Four-tier กรอก'!BS72="N"),"❓ NoK","🤔 Partial")))))</f>
        <v/>
      </c>
      <c r="U71" s="67">
        <f>IF(OR('📝 Four-tier กรอก'!BT72="",'📝 Four-tier กรอก'!BV72=""),"—",IF(AND('📝 Four-tier กรอก'!BT72='📝 Four-tier กรอก'!BT51,'📝 Four-tier กรอก'!BU72="Y",'📝 Four-tier กรอก'!BV72='📝 Four-tier กรอก'!BV51,'📝 Four-tier กรอก'!BW72="Y"),"✅ Sound",IF(AND('📝 Four-tier กรอก'!BT72='📝 Four-tier กรอก'!BT51,'📝 Four-tier กรอก'!BU72="Y",'📝 Four-tier กรอก'!BV72&lt;&gt;'📝 Four-tier กรอก'!BV51,'📝 Four-tier กรอก'!BW72="Y"),"🎲 Guess",IF(AND('📝 Four-tier กรอก'!BT72&lt;&gt;'📝 Four-tier กรอก'!BT51,'📝 Four-tier กรอก'!BU72="Y",'📝 Four-tier กรอก'!BV72&lt;&gt;'📝 Four-tier กรอก'!BV51,'📝 Four-tier กรอก'!BW72="Y"),"❌ Misc.",IF(AND('📝 Four-tier กรอก'!BT72&lt;&gt;'📝 Four-tier กรอก'!BT51,'📝 Four-tier กรอก'!BU72="N",'📝 Four-tier กรอก'!BV72&lt;&gt;'📝 Four-tier กรอก'!BV51,'📝 Four-tier กรอก'!BW72="N"),"❓ NoK","🤔 Partial")))))</f>
        <v/>
      </c>
      <c r="V71" s="67">
        <f>IF(OR('📝 Four-tier กรอก'!BX72="",'📝 Four-tier กรอก'!BZ72=""),"—",IF(AND('📝 Four-tier กรอก'!BX72='📝 Four-tier กรอก'!BX51,'📝 Four-tier กรอก'!BY72="Y",'📝 Four-tier กรอก'!BZ72='📝 Four-tier กรอก'!BZ51,'📝 Four-tier กรอก'!CA72="Y"),"✅ Sound",IF(AND('📝 Four-tier กรอก'!BX72='📝 Four-tier กรอก'!BX51,'📝 Four-tier กรอก'!BY72="Y",'📝 Four-tier กรอก'!BZ72&lt;&gt;'📝 Four-tier กรอก'!BZ51,'📝 Four-tier กรอก'!CA72="Y"),"🎲 Guess",IF(AND('📝 Four-tier กรอก'!BX72&lt;&gt;'📝 Four-tier กรอก'!BX51,'📝 Four-tier กรอก'!BY72="Y",'📝 Four-tier กรอก'!BZ72&lt;&gt;'📝 Four-tier กรอก'!BZ51,'📝 Four-tier กรอก'!CA72="Y"),"❌ Misc.",IF(AND('📝 Four-tier กรอก'!BX72&lt;&gt;'📝 Four-tier กรอก'!BX51,'📝 Four-tier กรอก'!BY72="N",'📝 Four-tier กรอก'!BZ72&lt;&gt;'📝 Four-tier กรอก'!BZ51,'📝 Four-tier กรอก'!CA72="N"),"❓ NoK","🤔 Partial")))))</f>
        <v/>
      </c>
      <c r="W71" s="67">
        <f>IF(OR('📝 Four-tier กรอก'!CB72="",'📝 Four-tier กรอก'!CD72=""),"—",IF(AND('📝 Four-tier กรอก'!CB72='📝 Four-tier กรอก'!CB51,'📝 Four-tier กรอก'!CC72="Y",'📝 Four-tier กรอก'!CD72='📝 Four-tier กรอก'!CD51,'📝 Four-tier กรอก'!CE72="Y"),"✅ Sound",IF(AND('📝 Four-tier กรอก'!CB72='📝 Four-tier กรอก'!CB51,'📝 Four-tier กรอก'!CC72="Y",'📝 Four-tier กรอก'!CD72&lt;&gt;'📝 Four-tier กรอก'!CD51,'📝 Four-tier กรอก'!CE72="Y"),"🎲 Guess",IF(AND('📝 Four-tier กรอก'!CB72&lt;&gt;'📝 Four-tier กรอก'!CB51,'📝 Four-tier กรอก'!CC72="Y",'📝 Four-tier กรอก'!CD72&lt;&gt;'📝 Four-tier กรอก'!CD51,'📝 Four-tier กรอก'!CE72="Y"),"❌ Misc.",IF(AND('📝 Four-tier กรอก'!CB72&lt;&gt;'📝 Four-tier กรอก'!CB51,'📝 Four-tier กรอก'!CC72="N",'📝 Four-tier กรอก'!CD72&lt;&gt;'📝 Four-tier กรอก'!CD51,'📝 Four-tier กรอก'!CE72="N"),"❓ NoK","🤔 Partial")))))</f>
        <v/>
      </c>
      <c r="X71" s="37">
        <f>COUNTIF(D71:W71,"✅ Sound")</f>
        <v/>
      </c>
      <c r="Y71" s="37">
        <f>COUNTIF(D71:W71,"❌ Misc.")</f>
        <v/>
      </c>
      <c r="Z71" s="37">
        <f>COUNTIF(D71:W71,"🎲 Guess")</f>
        <v/>
      </c>
      <c r="AA71" s="37">
        <f>COUNTIF(D71:W71,"❓ NoK")</f>
        <v/>
      </c>
    </row>
    <row r="72" ht="18" customHeight="1">
      <c r="B72" s="46">
        <f>'📝 Four-tier กรอก'!B73</f>
        <v/>
      </c>
      <c r="C72" s="51">
        <f>'📝 Four-tier กรอก'!C73</f>
        <v/>
      </c>
      <c r="D72" s="68">
        <f>IF(OR('📝 Four-tier กรอก'!D73="",'📝 Four-tier กรอก'!F73=""),"—",IF(AND('📝 Four-tier กรอก'!D73='📝 Four-tier กรอก'!D51,'📝 Four-tier กรอก'!E73="Y",'📝 Four-tier กรอก'!F73='📝 Four-tier กรอก'!F51,'📝 Four-tier กรอก'!G73="Y"),"✅ Sound",IF(AND('📝 Four-tier กรอก'!D73='📝 Four-tier กรอก'!D51,'📝 Four-tier กรอก'!E73="Y",'📝 Four-tier กรอก'!F73&lt;&gt;'📝 Four-tier กรอก'!F51,'📝 Four-tier กรอก'!G73="Y"),"🎲 Guess",IF(AND('📝 Four-tier กรอก'!D73&lt;&gt;'📝 Four-tier กรอก'!D51,'📝 Four-tier กรอก'!E73="Y",'📝 Four-tier กรอก'!F73&lt;&gt;'📝 Four-tier กรอก'!F51,'📝 Four-tier กรอก'!G73="Y"),"❌ Misc.",IF(AND('📝 Four-tier กรอก'!D73&lt;&gt;'📝 Four-tier กรอก'!D51,'📝 Four-tier กรอก'!E73="N",'📝 Four-tier กรอก'!F73&lt;&gt;'📝 Four-tier กรอก'!F51,'📝 Four-tier กรอก'!G73="N"),"❓ NoK","🤔 Partial")))))</f>
        <v/>
      </c>
      <c r="E72" s="68">
        <f>IF(OR('📝 Four-tier กรอก'!H73="",'📝 Four-tier กรอก'!J73=""),"—",IF(AND('📝 Four-tier กรอก'!H73='📝 Four-tier กรอก'!H51,'📝 Four-tier กรอก'!I73="Y",'📝 Four-tier กรอก'!J73='📝 Four-tier กรอก'!J51,'📝 Four-tier กรอก'!K73="Y"),"✅ Sound",IF(AND('📝 Four-tier กรอก'!H73='📝 Four-tier กรอก'!H51,'📝 Four-tier กรอก'!I73="Y",'📝 Four-tier กรอก'!J73&lt;&gt;'📝 Four-tier กรอก'!J51,'📝 Four-tier กรอก'!K73="Y"),"🎲 Guess",IF(AND('📝 Four-tier กรอก'!H73&lt;&gt;'📝 Four-tier กรอก'!H51,'📝 Four-tier กรอก'!I73="Y",'📝 Four-tier กรอก'!J73&lt;&gt;'📝 Four-tier กรอก'!J51,'📝 Four-tier กรอก'!K73="Y"),"❌ Misc.",IF(AND('📝 Four-tier กรอก'!H73&lt;&gt;'📝 Four-tier กรอก'!H51,'📝 Four-tier กรอก'!I73="N",'📝 Four-tier กรอก'!J73&lt;&gt;'📝 Four-tier กรอก'!J51,'📝 Four-tier กรอก'!K73="N"),"❓ NoK","🤔 Partial")))))</f>
        <v/>
      </c>
      <c r="F72" s="68">
        <f>IF(OR('📝 Four-tier กรอก'!L73="",'📝 Four-tier กรอก'!N73=""),"—",IF(AND('📝 Four-tier กรอก'!L73='📝 Four-tier กรอก'!L51,'📝 Four-tier กรอก'!M73="Y",'📝 Four-tier กรอก'!N73='📝 Four-tier กรอก'!N51,'📝 Four-tier กรอก'!O73="Y"),"✅ Sound",IF(AND('📝 Four-tier กรอก'!L73='📝 Four-tier กรอก'!L51,'📝 Four-tier กรอก'!M73="Y",'📝 Four-tier กรอก'!N73&lt;&gt;'📝 Four-tier กรอก'!N51,'📝 Four-tier กรอก'!O73="Y"),"🎲 Guess",IF(AND('📝 Four-tier กรอก'!L73&lt;&gt;'📝 Four-tier กรอก'!L51,'📝 Four-tier กรอก'!M73="Y",'📝 Four-tier กรอก'!N73&lt;&gt;'📝 Four-tier กรอก'!N51,'📝 Four-tier กรอก'!O73="Y"),"❌ Misc.",IF(AND('📝 Four-tier กรอก'!L73&lt;&gt;'📝 Four-tier กรอก'!L51,'📝 Four-tier กรอก'!M73="N",'📝 Four-tier กรอก'!N73&lt;&gt;'📝 Four-tier กรอก'!N51,'📝 Four-tier กรอก'!O73="N"),"❓ NoK","🤔 Partial")))))</f>
        <v/>
      </c>
      <c r="G72" s="68">
        <f>IF(OR('📝 Four-tier กรอก'!P73="",'📝 Four-tier กรอก'!R73=""),"—",IF(AND('📝 Four-tier กรอก'!P73='📝 Four-tier กรอก'!P51,'📝 Four-tier กรอก'!Q73="Y",'📝 Four-tier กรอก'!R73='📝 Four-tier กรอก'!R51,'📝 Four-tier กรอก'!S73="Y"),"✅ Sound",IF(AND('📝 Four-tier กรอก'!P73='📝 Four-tier กรอก'!P51,'📝 Four-tier กรอก'!Q73="Y",'📝 Four-tier กรอก'!R73&lt;&gt;'📝 Four-tier กรอก'!R51,'📝 Four-tier กรอก'!S73="Y"),"🎲 Guess",IF(AND('📝 Four-tier กรอก'!P73&lt;&gt;'📝 Four-tier กรอก'!P51,'📝 Four-tier กรอก'!Q73="Y",'📝 Four-tier กรอก'!R73&lt;&gt;'📝 Four-tier กรอก'!R51,'📝 Four-tier กรอก'!S73="Y"),"❌ Misc.",IF(AND('📝 Four-tier กรอก'!P73&lt;&gt;'📝 Four-tier กรอก'!P51,'📝 Four-tier กรอก'!Q73="N",'📝 Four-tier กรอก'!R73&lt;&gt;'📝 Four-tier กรอก'!R51,'📝 Four-tier กรอก'!S73="N"),"❓ NoK","🤔 Partial")))))</f>
        <v/>
      </c>
      <c r="H72" s="68">
        <f>IF(OR('📝 Four-tier กรอก'!T73="",'📝 Four-tier กรอก'!V73=""),"—",IF(AND('📝 Four-tier กรอก'!T73='📝 Four-tier กรอก'!T51,'📝 Four-tier กรอก'!U73="Y",'📝 Four-tier กรอก'!V73='📝 Four-tier กรอก'!V51,'📝 Four-tier กรอก'!W73="Y"),"✅ Sound",IF(AND('📝 Four-tier กรอก'!T73='📝 Four-tier กรอก'!T51,'📝 Four-tier กรอก'!U73="Y",'📝 Four-tier กรอก'!V73&lt;&gt;'📝 Four-tier กรอก'!V51,'📝 Four-tier กรอก'!W73="Y"),"🎲 Guess",IF(AND('📝 Four-tier กรอก'!T73&lt;&gt;'📝 Four-tier กรอก'!T51,'📝 Four-tier กรอก'!U73="Y",'📝 Four-tier กรอก'!V73&lt;&gt;'📝 Four-tier กรอก'!V51,'📝 Four-tier กรอก'!W73="Y"),"❌ Misc.",IF(AND('📝 Four-tier กรอก'!T73&lt;&gt;'📝 Four-tier กรอก'!T51,'📝 Four-tier กรอก'!U73="N",'📝 Four-tier กรอก'!V73&lt;&gt;'📝 Four-tier กรอก'!V51,'📝 Four-tier กรอก'!W73="N"),"❓ NoK","🤔 Partial")))))</f>
        <v/>
      </c>
      <c r="I72" s="68">
        <f>IF(OR('📝 Four-tier กรอก'!X73="",'📝 Four-tier กรอก'!Z73=""),"—",IF(AND('📝 Four-tier กรอก'!X73='📝 Four-tier กรอก'!X51,'📝 Four-tier กรอก'!Y73="Y",'📝 Four-tier กรอก'!Z73='📝 Four-tier กรอก'!Z51,'📝 Four-tier กรอก'!AA73="Y"),"✅ Sound",IF(AND('📝 Four-tier กรอก'!X73='📝 Four-tier กรอก'!X51,'📝 Four-tier กรอก'!Y73="Y",'📝 Four-tier กรอก'!Z73&lt;&gt;'📝 Four-tier กรอก'!Z51,'📝 Four-tier กรอก'!AA73="Y"),"🎲 Guess",IF(AND('📝 Four-tier กรอก'!X73&lt;&gt;'📝 Four-tier กรอก'!X51,'📝 Four-tier กรอก'!Y73="Y",'📝 Four-tier กรอก'!Z73&lt;&gt;'📝 Four-tier กรอก'!Z51,'📝 Four-tier กรอก'!AA73="Y"),"❌ Misc.",IF(AND('📝 Four-tier กรอก'!X73&lt;&gt;'📝 Four-tier กรอก'!X51,'📝 Four-tier กรอก'!Y73="N",'📝 Four-tier กรอก'!Z73&lt;&gt;'📝 Four-tier กรอก'!Z51,'📝 Four-tier กรอก'!AA73="N"),"❓ NoK","🤔 Partial")))))</f>
        <v/>
      </c>
      <c r="J72" s="68">
        <f>IF(OR('📝 Four-tier กรอก'!AB73="",'📝 Four-tier กรอก'!AD73=""),"—",IF(AND('📝 Four-tier กรอก'!AB73='📝 Four-tier กรอก'!AB51,'📝 Four-tier กรอก'!AC73="Y",'📝 Four-tier กรอก'!AD73='📝 Four-tier กรอก'!AD51,'📝 Four-tier กรอก'!AE73="Y"),"✅ Sound",IF(AND('📝 Four-tier กรอก'!AB73='📝 Four-tier กรอก'!AB51,'📝 Four-tier กรอก'!AC73="Y",'📝 Four-tier กรอก'!AD73&lt;&gt;'📝 Four-tier กรอก'!AD51,'📝 Four-tier กรอก'!AE73="Y"),"🎲 Guess",IF(AND('📝 Four-tier กรอก'!AB73&lt;&gt;'📝 Four-tier กรอก'!AB51,'📝 Four-tier กรอก'!AC73="Y",'📝 Four-tier กรอก'!AD73&lt;&gt;'📝 Four-tier กรอก'!AD51,'📝 Four-tier กรอก'!AE73="Y"),"❌ Misc.",IF(AND('📝 Four-tier กรอก'!AB73&lt;&gt;'📝 Four-tier กรอก'!AB51,'📝 Four-tier กรอก'!AC73="N",'📝 Four-tier กรอก'!AD73&lt;&gt;'📝 Four-tier กรอก'!AD51,'📝 Four-tier กรอก'!AE73="N"),"❓ NoK","🤔 Partial")))))</f>
        <v/>
      </c>
      <c r="K72" s="68">
        <f>IF(OR('📝 Four-tier กรอก'!AF73="",'📝 Four-tier กรอก'!AH73=""),"—",IF(AND('📝 Four-tier กรอก'!AF73='📝 Four-tier กรอก'!AF51,'📝 Four-tier กรอก'!AG73="Y",'📝 Four-tier กรอก'!AH73='📝 Four-tier กรอก'!AH51,'📝 Four-tier กรอก'!AI73="Y"),"✅ Sound",IF(AND('📝 Four-tier กรอก'!AF73='📝 Four-tier กรอก'!AF51,'📝 Four-tier กรอก'!AG73="Y",'📝 Four-tier กรอก'!AH73&lt;&gt;'📝 Four-tier กรอก'!AH51,'📝 Four-tier กรอก'!AI73="Y"),"🎲 Guess",IF(AND('📝 Four-tier กรอก'!AF73&lt;&gt;'📝 Four-tier กรอก'!AF51,'📝 Four-tier กรอก'!AG73="Y",'📝 Four-tier กรอก'!AH73&lt;&gt;'📝 Four-tier กรอก'!AH51,'📝 Four-tier กรอก'!AI73="Y"),"❌ Misc.",IF(AND('📝 Four-tier กรอก'!AF73&lt;&gt;'📝 Four-tier กรอก'!AF51,'📝 Four-tier กรอก'!AG73="N",'📝 Four-tier กรอก'!AH73&lt;&gt;'📝 Four-tier กรอก'!AH51,'📝 Four-tier กรอก'!AI73="N"),"❓ NoK","🤔 Partial")))))</f>
        <v/>
      </c>
      <c r="L72" s="68">
        <f>IF(OR('📝 Four-tier กรอก'!AJ73="",'📝 Four-tier กรอก'!AL73=""),"—",IF(AND('📝 Four-tier กรอก'!AJ73='📝 Four-tier กรอก'!AJ51,'📝 Four-tier กรอก'!AK73="Y",'📝 Four-tier กรอก'!AL73='📝 Four-tier กรอก'!AL51,'📝 Four-tier กรอก'!AM73="Y"),"✅ Sound",IF(AND('📝 Four-tier กรอก'!AJ73='📝 Four-tier กรอก'!AJ51,'📝 Four-tier กรอก'!AK73="Y",'📝 Four-tier กรอก'!AL73&lt;&gt;'📝 Four-tier กรอก'!AL51,'📝 Four-tier กรอก'!AM73="Y"),"🎲 Guess",IF(AND('📝 Four-tier กรอก'!AJ73&lt;&gt;'📝 Four-tier กรอก'!AJ51,'📝 Four-tier กรอก'!AK73="Y",'📝 Four-tier กรอก'!AL73&lt;&gt;'📝 Four-tier กรอก'!AL51,'📝 Four-tier กรอก'!AM73="Y"),"❌ Misc.",IF(AND('📝 Four-tier กรอก'!AJ73&lt;&gt;'📝 Four-tier กรอก'!AJ51,'📝 Four-tier กรอก'!AK73="N",'📝 Four-tier กรอก'!AL73&lt;&gt;'📝 Four-tier กรอก'!AL51,'📝 Four-tier กรอก'!AM73="N"),"❓ NoK","🤔 Partial")))))</f>
        <v/>
      </c>
      <c r="M72" s="68">
        <f>IF(OR('📝 Four-tier กรอก'!AN73="",'📝 Four-tier กรอก'!AP73=""),"—",IF(AND('📝 Four-tier กรอก'!AN73='📝 Four-tier กรอก'!AN51,'📝 Four-tier กรอก'!AO73="Y",'📝 Four-tier กรอก'!AP73='📝 Four-tier กรอก'!AP51,'📝 Four-tier กรอก'!AQ73="Y"),"✅ Sound",IF(AND('📝 Four-tier กรอก'!AN73='📝 Four-tier กรอก'!AN51,'📝 Four-tier กรอก'!AO73="Y",'📝 Four-tier กรอก'!AP73&lt;&gt;'📝 Four-tier กรอก'!AP51,'📝 Four-tier กรอก'!AQ73="Y"),"🎲 Guess",IF(AND('📝 Four-tier กรอก'!AN73&lt;&gt;'📝 Four-tier กรอก'!AN51,'📝 Four-tier กรอก'!AO73="Y",'📝 Four-tier กรอก'!AP73&lt;&gt;'📝 Four-tier กรอก'!AP51,'📝 Four-tier กรอก'!AQ73="Y"),"❌ Misc.",IF(AND('📝 Four-tier กรอก'!AN73&lt;&gt;'📝 Four-tier กรอก'!AN51,'📝 Four-tier กรอก'!AO73="N",'📝 Four-tier กรอก'!AP73&lt;&gt;'📝 Four-tier กรอก'!AP51,'📝 Four-tier กรอก'!AQ73="N"),"❓ NoK","🤔 Partial")))))</f>
        <v/>
      </c>
      <c r="N72" s="68">
        <f>IF(OR('📝 Four-tier กรอก'!AR73="",'📝 Four-tier กรอก'!AT73=""),"—",IF(AND('📝 Four-tier กรอก'!AR73='📝 Four-tier กรอก'!AR51,'📝 Four-tier กรอก'!AS73="Y",'📝 Four-tier กรอก'!AT73='📝 Four-tier กรอก'!AT51,'📝 Four-tier กรอก'!AU73="Y"),"✅ Sound",IF(AND('📝 Four-tier กรอก'!AR73='📝 Four-tier กรอก'!AR51,'📝 Four-tier กรอก'!AS73="Y",'📝 Four-tier กรอก'!AT73&lt;&gt;'📝 Four-tier กรอก'!AT51,'📝 Four-tier กรอก'!AU73="Y"),"🎲 Guess",IF(AND('📝 Four-tier กรอก'!AR73&lt;&gt;'📝 Four-tier กรอก'!AR51,'📝 Four-tier กรอก'!AS73="Y",'📝 Four-tier กรอก'!AT73&lt;&gt;'📝 Four-tier กรอก'!AT51,'📝 Four-tier กรอก'!AU73="Y"),"❌ Misc.",IF(AND('📝 Four-tier กรอก'!AR73&lt;&gt;'📝 Four-tier กรอก'!AR51,'📝 Four-tier กรอก'!AS73="N",'📝 Four-tier กรอก'!AT73&lt;&gt;'📝 Four-tier กรอก'!AT51,'📝 Four-tier กรอก'!AU73="N"),"❓ NoK","🤔 Partial")))))</f>
        <v/>
      </c>
      <c r="O72" s="68">
        <f>IF(OR('📝 Four-tier กรอก'!AV73="",'📝 Four-tier กรอก'!AX73=""),"—",IF(AND('📝 Four-tier กรอก'!AV73='📝 Four-tier กรอก'!AV51,'📝 Four-tier กรอก'!AW73="Y",'📝 Four-tier กรอก'!AX73='📝 Four-tier กรอก'!AX51,'📝 Four-tier กรอก'!AY73="Y"),"✅ Sound",IF(AND('📝 Four-tier กรอก'!AV73='📝 Four-tier กรอก'!AV51,'📝 Four-tier กรอก'!AW73="Y",'📝 Four-tier กรอก'!AX73&lt;&gt;'📝 Four-tier กรอก'!AX51,'📝 Four-tier กรอก'!AY73="Y"),"🎲 Guess",IF(AND('📝 Four-tier กรอก'!AV73&lt;&gt;'📝 Four-tier กรอก'!AV51,'📝 Four-tier กรอก'!AW73="Y",'📝 Four-tier กรอก'!AX73&lt;&gt;'📝 Four-tier กรอก'!AX51,'📝 Four-tier กรอก'!AY73="Y"),"❌ Misc.",IF(AND('📝 Four-tier กรอก'!AV73&lt;&gt;'📝 Four-tier กรอก'!AV51,'📝 Four-tier กรอก'!AW73="N",'📝 Four-tier กรอก'!AX73&lt;&gt;'📝 Four-tier กรอก'!AX51,'📝 Four-tier กรอก'!AY73="N"),"❓ NoK","🤔 Partial")))))</f>
        <v/>
      </c>
      <c r="P72" s="68">
        <f>IF(OR('📝 Four-tier กรอก'!AZ73="",'📝 Four-tier กรอก'!BB73=""),"—",IF(AND('📝 Four-tier กรอก'!AZ73='📝 Four-tier กรอก'!AZ51,'📝 Four-tier กรอก'!BA73="Y",'📝 Four-tier กรอก'!BB73='📝 Four-tier กรอก'!BB51,'📝 Four-tier กรอก'!BC73="Y"),"✅ Sound",IF(AND('📝 Four-tier กรอก'!AZ73='📝 Four-tier กรอก'!AZ51,'📝 Four-tier กรอก'!BA73="Y",'📝 Four-tier กรอก'!BB73&lt;&gt;'📝 Four-tier กรอก'!BB51,'📝 Four-tier กรอก'!BC73="Y"),"🎲 Guess",IF(AND('📝 Four-tier กรอก'!AZ73&lt;&gt;'📝 Four-tier กรอก'!AZ51,'📝 Four-tier กรอก'!BA73="Y",'📝 Four-tier กรอก'!BB73&lt;&gt;'📝 Four-tier กรอก'!BB51,'📝 Four-tier กรอก'!BC73="Y"),"❌ Misc.",IF(AND('📝 Four-tier กรอก'!AZ73&lt;&gt;'📝 Four-tier กรอก'!AZ51,'📝 Four-tier กรอก'!BA73="N",'📝 Four-tier กรอก'!BB73&lt;&gt;'📝 Four-tier กรอก'!BB51,'📝 Four-tier กรอก'!BC73="N"),"❓ NoK","🤔 Partial")))))</f>
        <v/>
      </c>
      <c r="Q72" s="68">
        <f>IF(OR('📝 Four-tier กรอก'!BD73="",'📝 Four-tier กรอก'!BF73=""),"—",IF(AND('📝 Four-tier กรอก'!BD73='📝 Four-tier กรอก'!BD51,'📝 Four-tier กรอก'!BE73="Y",'📝 Four-tier กรอก'!BF73='📝 Four-tier กรอก'!BF51,'📝 Four-tier กรอก'!BG73="Y"),"✅ Sound",IF(AND('📝 Four-tier กรอก'!BD73='📝 Four-tier กรอก'!BD51,'📝 Four-tier กรอก'!BE73="Y",'📝 Four-tier กรอก'!BF73&lt;&gt;'📝 Four-tier กรอก'!BF51,'📝 Four-tier กรอก'!BG73="Y"),"🎲 Guess",IF(AND('📝 Four-tier กรอก'!BD73&lt;&gt;'📝 Four-tier กรอก'!BD51,'📝 Four-tier กรอก'!BE73="Y",'📝 Four-tier กรอก'!BF73&lt;&gt;'📝 Four-tier กรอก'!BF51,'📝 Four-tier กรอก'!BG73="Y"),"❌ Misc.",IF(AND('📝 Four-tier กรอก'!BD73&lt;&gt;'📝 Four-tier กรอก'!BD51,'📝 Four-tier กรอก'!BE73="N",'📝 Four-tier กรอก'!BF73&lt;&gt;'📝 Four-tier กรอก'!BF51,'📝 Four-tier กรอก'!BG73="N"),"❓ NoK","🤔 Partial")))))</f>
        <v/>
      </c>
      <c r="R72" s="68">
        <f>IF(OR('📝 Four-tier กรอก'!BH73="",'📝 Four-tier กรอก'!BJ73=""),"—",IF(AND('📝 Four-tier กรอก'!BH73='📝 Four-tier กรอก'!BH51,'📝 Four-tier กรอก'!BI73="Y",'📝 Four-tier กรอก'!BJ73='📝 Four-tier กรอก'!BJ51,'📝 Four-tier กรอก'!BK73="Y"),"✅ Sound",IF(AND('📝 Four-tier กรอก'!BH73='📝 Four-tier กรอก'!BH51,'📝 Four-tier กรอก'!BI73="Y",'📝 Four-tier กรอก'!BJ73&lt;&gt;'📝 Four-tier กรอก'!BJ51,'📝 Four-tier กรอก'!BK73="Y"),"🎲 Guess",IF(AND('📝 Four-tier กรอก'!BH73&lt;&gt;'📝 Four-tier กรอก'!BH51,'📝 Four-tier กรอก'!BI73="Y",'📝 Four-tier กรอก'!BJ73&lt;&gt;'📝 Four-tier กรอก'!BJ51,'📝 Four-tier กรอก'!BK73="Y"),"❌ Misc.",IF(AND('📝 Four-tier กรอก'!BH73&lt;&gt;'📝 Four-tier กรอก'!BH51,'📝 Four-tier กรอก'!BI73="N",'📝 Four-tier กรอก'!BJ73&lt;&gt;'📝 Four-tier กรอก'!BJ51,'📝 Four-tier กรอก'!BK73="N"),"❓ NoK","🤔 Partial")))))</f>
        <v/>
      </c>
      <c r="S72" s="68">
        <f>IF(OR('📝 Four-tier กรอก'!BL73="",'📝 Four-tier กรอก'!BN73=""),"—",IF(AND('📝 Four-tier กรอก'!BL73='📝 Four-tier กรอก'!BL51,'📝 Four-tier กรอก'!BM73="Y",'📝 Four-tier กรอก'!BN73='📝 Four-tier กรอก'!BN51,'📝 Four-tier กรอก'!BO73="Y"),"✅ Sound",IF(AND('📝 Four-tier กรอก'!BL73='📝 Four-tier กรอก'!BL51,'📝 Four-tier กรอก'!BM73="Y",'📝 Four-tier กรอก'!BN73&lt;&gt;'📝 Four-tier กรอก'!BN51,'📝 Four-tier กรอก'!BO73="Y"),"🎲 Guess",IF(AND('📝 Four-tier กรอก'!BL73&lt;&gt;'📝 Four-tier กรอก'!BL51,'📝 Four-tier กรอก'!BM73="Y",'📝 Four-tier กรอก'!BN73&lt;&gt;'📝 Four-tier กรอก'!BN51,'📝 Four-tier กรอก'!BO73="Y"),"❌ Misc.",IF(AND('📝 Four-tier กรอก'!BL73&lt;&gt;'📝 Four-tier กรอก'!BL51,'📝 Four-tier กรอก'!BM73="N",'📝 Four-tier กรอก'!BN73&lt;&gt;'📝 Four-tier กรอก'!BN51,'📝 Four-tier กรอก'!BO73="N"),"❓ NoK","🤔 Partial")))))</f>
        <v/>
      </c>
      <c r="T72" s="68">
        <f>IF(OR('📝 Four-tier กรอก'!BP73="",'📝 Four-tier กรอก'!BR73=""),"—",IF(AND('📝 Four-tier กรอก'!BP73='📝 Four-tier กรอก'!BP51,'📝 Four-tier กรอก'!BQ73="Y",'📝 Four-tier กรอก'!BR73='📝 Four-tier กรอก'!BR51,'📝 Four-tier กรอก'!BS73="Y"),"✅ Sound",IF(AND('📝 Four-tier กรอก'!BP73='📝 Four-tier กรอก'!BP51,'📝 Four-tier กรอก'!BQ73="Y",'📝 Four-tier กรอก'!BR73&lt;&gt;'📝 Four-tier กรอก'!BR51,'📝 Four-tier กรอก'!BS73="Y"),"🎲 Guess",IF(AND('📝 Four-tier กรอก'!BP73&lt;&gt;'📝 Four-tier กรอก'!BP51,'📝 Four-tier กรอก'!BQ73="Y",'📝 Four-tier กรอก'!BR73&lt;&gt;'📝 Four-tier กรอก'!BR51,'📝 Four-tier กรอก'!BS73="Y"),"❌ Misc.",IF(AND('📝 Four-tier กรอก'!BP73&lt;&gt;'📝 Four-tier กรอก'!BP51,'📝 Four-tier กรอก'!BQ73="N",'📝 Four-tier กรอก'!BR73&lt;&gt;'📝 Four-tier กรอก'!BR51,'📝 Four-tier กรอก'!BS73="N"),"❓ NoK","🤔 Partial")))))</f>
        <v/>
      </c>
      <c r="U72" s="68">
        <f>IF(OR('📝 Four-tier กรอก'!BT73="",'📝 Four-tier กรอก'!BV73=""),"—",IF(AND('📝 Four-tier กรอก'!BT73='📝 Four-tier กรอก'!BT51,'📝 Four-tier กรอก'!BU73="Y",'📝 Four-tier กรอก'!BV73='📝 Four-tier กรอก'!BV51,'📝 Four-tier กรอก'!BW73="Y"),"✅ Sound",IF(AND('📝 Four-tier กรอก'!BT73='📝 Four-tier กรอก'!BT51,'📝 Four-tier กรอก'!BU73="Y",'📝 Four-tier กรอก'!BV73&lt;&gt;'📝 Four-tier กรอก'!BV51,'📝 Four-tier กรอก'!BW73="Y"),"🎲 Guess",IF(AND('📝 Four-tier กรอก'!BT73&lt;&gt;'📝 Four-tier กรอก'!BT51,'📝 Four-tier กรอก'!BU73="Y",'📝 Four-tier กรอก'!BV73&lt;&gt;'📝 Four-tier กรอก'!BV51,'📝 Four-tier กรอก'!BW73="Y"),"❌ Misc.",IF(AND('📝 Four-tier กรอก'!BT73&lt;&gt;'📝 Four-tier กรอก'!BT51,'📝 Four-tier กรอก'!BU73="N",'📝 Four-tier กรอก'!BV73&lt;&gt;'📝 Four-tier กรอก'!BV51,'📝 Four-tier กรอก'!BW73="N"),"❓ NoK","🤔 Partial")))))</f>
        <v/>
      </c>
      <c r="V72" s="68">
        <f>IF(OR('📝 Four-tier กรอก'!BX73="",'📝 Four-tier กรอก'!BZ73=""),"—",IF(AND('📝 Four-tier กรอก'!BX73='📝 Four-tier กรอก'!BX51,'📝 Four-tier กรอก'!BY73="Y",'📝 Four-tier กรอก'!BZ73='📝 Four-tier กรอก'!BZ51,'📝 Four-tier กรอก'!CA73="Y"),"✅ Sound",IF(AND('📝 Four-tier กรอก'!BX73='📝 Four-tier กรอก'!BX51,'📝 Four-tier กรอก'!BY73="Y",'📝 Four-tier กรอก'!BZ73&lt;&gt;'📝 Four-tier กรอก'!BZ51,'📝 Four-tier กรอก'!CA73="Y"),"🎲 Guess",IF(AND('📝 Four-tier กรอก'!BX73&lt;&gt;'📝 Four-tier กรอก'!BX51,'📝 Four-tier กรอก'!BY73="Y",'📝 Four-tier กรอก'!BZ73&lt;&gt;'📝 Four-tier กรอก'!BZ51,'📝 Four-tier กรอก'!CA73="Y"),"❌ Misc.",IF(AND('📝 Four-tier กรอก'!BX73&lt;&gt;'📝 Four-tier กรอก'!BX51,'📝 Four-tier กรอก'!BY73="N",'📝 Four-tier กรอก'!BZ73&lt;&gt;'📝 Four-tier กรอก'!BZ51,'📝 Four-tier กรอก'!CA73="N"),"❓ NoK","🤔 Partial")))))</f>
        <v/>
      </c>
      <c r="W72" s="68">
        <f>IF(OR('📝 Four-tier กรอก'!CB73="",'📝 Four-tier กรอก'!CD73=""),"—",IF(AND('📝 Four-tier กรอก'!CB73='📝 Four-tier กรอก'!CB51,'📝 Four-tier กรอก'!CC73="Y",'📝 Four-tier กรอก'!CD73='📝 Four-tier กรอก'!CD51,'📝 Four-tier กรอก'!CE73="Y"),"✅ Sound",IF(AND('📝 Four-tier กรอก'!CB73='📝 Four-tier กรอก'!CB51,'📝 Four-tier กรอก'!CC73="Y",'📝 Four-tier กรอก'!CD73&lt;&gt;'📝 Four-tier กรอก'!CD51,'📝 Four-tier กรอก'!CE73="Y"),"🎲 Guess",IF(AND('📝 Four-tier กรอก'!CB73&lt;&gt;'📝 Four-tier กรอก'!CB51,'📝 Four-tier กรอก'!CC73="Y",'📝 Four-tier กรอก'!CD73&lt;&gt;'📝 Four-tier กรอก'!CD51,'📝 Four-tier กรอก'!CE73="Y"),"❌ Misc.",IF(AND('📝 Four-tier กรอก'!CB73&lt;&gt;'📝 Four-tier กรอก'!CB51,'📝 Four-tier กรอก'!CC73="N",'📝 Four-tier กรอก'!CD73&lt;&gt;'📝 Four-tier กรอก'!CD51,'📝 Four-tier กรอก'!CE73="N"),"❓ NoK","🤔 Partial")))))</f>
        <v/>
      </c>
      <c r="X72" s="37">
        <f>COUNTIF(D72:W72,"✅ Sound")</f>
        <v/>
      </c>
      <c r="Y72" s="37">
        <f>COUNTIF(D72:W72,"❌ Misc.")</f>
        <v/>
      </c>
      <c r="Z72" s="37">
        <f>COUNTIF(D72:W72,"🎲 Guess")</f>
        <v/>
      </c>
      <c r="AA72" s="37">
        <f>COUNTIF(D72:W72,"❓ NoK")</f>
        <v/>
      </c>
    </row>
    <row r="73" ht="18" customHeight="1">
      <c r="B73" s="46">
        <f>'📝 Four-tier กรอก'!B74</f>
        <v/>
      </c>
      <c r="C73" s="47">
        <f>'📝 Four-tier กรอก'!C74</f>
        <v/>
      </c>
      <c r="D73" s="67">
        <f>IF(OR('📝 Four-tier กรอก'!D74="",'📝 Four-tier กรอก'!F74=""),"—",IF(AND('📝 Four-tier กรอก'!D74='📝 Four-tier กรอก'!D51,'📝 Four-tier กรอก'!E74="Y",'📝 Four-tier กรอก'!F74='📝 Four-tier กรอก'!F51,'📝 Four-tier กรอก'!G74="Y"),"✅ Sound",IF(AND('📝 Four-tier กรอก'!D74='📝 Four-tier กรอก'!D51,'📝 Four-tier กรอก'!E74="Y",'📝 Four-tier กรอก'!F74&lt;&gt;'📝 Four-tier กรอก'!F51,'📝 Four-tier กรอก'!G74="Y"),"🎲 Guess",IF(AND('📝 Four-tier กรอก'!D74&lt;&gt;'📝 Four-tier กรอก'!D51,'📝 Four-tier กรอก'!E74="Y",'📝 Four-tier กรอก'!F74&lt;&gt;'📝 Four-tier กรอก'!F51,'📝 Four-tier กรอก'!G74="Y"),"❌ Misc.",IF(AND('📝 Four-tier กรอก'!D74&lt;&gt;'📝 Four-tier กรอก'!D51,'📝 Four-tier กรอก'!E74="N",'📝 Four-tier กรอก'!F74&lt;&gt;'📝 Four-tier กรอก'!F51,'📝 Four-tier กรอก'!G74="N"),"❓ NoK","🤔 Partial")))))</f>
        <v/>
      </c>
      <c r="E73" s="67">
        <f>IF(OR('📝 Four-tier กรอก'!H74="",'📝 Four-tier กรอก'!J74=""),"—",IF(AND('📝 Four-tier กรอก'!H74='📝 Four-tier กรอก'!H51,'📝 Four-tier กรอก'!I74="Y",'📝 Four-tier กรอก'!J74='📝 Four-tier กรอก'!J51,'📝 Four-tier กรอก'!K74="Y"),"✅ Sound",IF(AND('📝 Four-tier กรอก'!H74='📝 Four-tier กรอก'!H51,'📝 Four-tier กรอก'!I74="Y",'📝 Four-tier กรอก'!J74&lt;&gt;'📝 Four-tier กรอก'!J51,'📝 Four-tier กรอก'!K74="Y"),"🎲 Guess",IF(AND('📝 Four-tier กรอก'!H74&lt;&gt;'📝 Four-tier กรอก'!H51,'📝 Four-tier กรอก'!I74="Y",'📝 Four-tier กรอก'!J74&lt;&gt;'📝 Four-tier กรอก'!J51,'📝 Four-tier กรอก'!K74="Y"),"❌ Misc.",IF(AND('📝 Four-tier กรอก'!H74&lt;&gt;'📝 Four-tier กรอก'!H51,'📝 Four-tier กรอก'!I74="N",'📝 Four-tier กรอก'!J74&lt;&gt;'📝 Four-tier กรอก'!J51,'📝 Four-tier กรอก'!K74="N"),"❓ NoK","🤔 Partial")))))</f>
        <v/>
      </c>
      <c r="F73" s="67">
        <f>IF(OR('📝 Four-tier กรอก'!L74="",'📝 Four-tier กรอก'!N74=""),"—",IF(AND('📝 Four-tier กรอก'!L74='📝 Four-tier กรอก'!L51,'📝 Four-tier กรอก'!M74="Y",'📝 Four-tier กรอก'!N74='📝 Four-tier กรอก'!N51,'📝 Four-tier กรอก'!O74="Y"),"✅ Sound",IF(AND('📝 Four-tier กรอก'!L74='📝 Four-tier กรอก'!L51,'📝 Four-tier กรอก'!M74="Y",'📝 Four-tier กรอก'!N74&lt;&gt;'📝 Four-tier กรอก'!N51,'📝 Four-tier กรอก'!O74="Y"),"🎲 Guess",IF(AND('📝 Four-tier กรอก'!L74&lt;&gt;'📝 Four-tier กรอก'!L51,'📝 Four-tier กรอก'!M74="Y",'📝 Four-tier กรอก'!N74&lt;&gt;'📝 Four-tier กรอก'!N51,'📝 Four-tier กรอก'!O74="Y"),"❌ Misc.",IF(AND('📝 Four-tier กรอก'!L74&lt;&gt;'📝 Four-tier กรอก'!L51,'📝 Four-tier กรอก'!M74="N",'📝 Four-tier กรอก'!N74&lt;&gt;'📝 Four-tier กรอก'!N51,'📝 Four-tier กรอก'!O74="N"),"❓ NoK","🤔 Partial")))))</f>
        <v/>
      </c>
      <c r="G73" s="67">
        <f>IF(OR('📝 Four-tier กรอก'!P74="",'📝 Four-tier กรอก'!R74=""),"—",IF(AND('📝 Four-tier กรอก'!P74='📝 Four-tier กรอก'!P51,'📝 Four-tier กรอก'!Q74="Y",'📝 Four-tier กรอก'!R74='📝 Four-tier กรอก'!R51,'📝 Four-tier กรอก'!S74="Y"),"✅ Sound",IF(AND('📝 Four-tier กรอก'!P74='📝 Four-tier กรอก'!P51,'📝 Four-tier กรอก'!Q74="Y",'📝 Four-tier กรอก'!R74&lt;&gt;'📝 Four-tier กรอก'!R51,'📝 Four-tier กรอก'!S74="Y"),"🎲 Guess",IF(AND('📝 Four-tier กรอก'!P74&lt;&gt;'📝 Four-tier กรอก'!P51,'📝 Four-tier กรอก'!Q74="Y",'📝 Four-tier กรอก'!R74&lt;&gt;'📝 Four-tier กรอก'!R51,'📝 Four-tier กรอก'!S74="Y"),"❌ Misc.",IF(AND('📝 Four-tier กรอก'!P74&lt;&gt;'📝 Four-tier กรอก'!P51,'📝 Four-tier กรอก'!Q74="N",'📝 Four-tier กรอก'!R74&lt;&gt;'📝 Four-tier กรอก'!R51,'📝 Four-tier กรอก'!S74="N"),"❓ NoK","🤔 Partial")))))</f>
        <v/>
      </c>
      <c r="H73" s="67">
        <f>IF(OR('📝 Four-tier กรอก'!T74="",'📝 Four-tier กรอก'!V74=""),"—",IF(AND('📝 Four-tier กรอก'!T74='📝 Four-tier กรอก'!T51,'📝 Four-tier กรอก'!U74="Y",'📝 Four-tier กรอก'!V74='📝 Four-tier กรอก'!V51,'📝 Four-tier กรอก'!W74="Y"),"✅ Sound",IF(AND('📝 Four-tier กรอก'!T74='📝 Four-tier กรอก'!T51,'📝 Four-tier กรอก'!U74="Y",'📝 Four-tier กรอก'!V74&lt;&gt;'📝 Four-tier กรอก'!V51,'📝 Four-tier กรอก'!W74="Y"),"🎲 Guess",IF(AND('📝 Four-tier กรอก'!T74&lt;&gt;'📝 Four-tier กรอก'!T51,'📝 Four-tier กรอก'!U74="Y",'📝 Four-tier กรอก'!V74&lt;&gt;'📝 Four-tier กรอก'!V51,'📝 Four-tier กรอก'!W74="Y"),"❌ Misc.",IF(AND('📝 Four-tier กรอก'!T74&lt;&gt;'📝 Four-tier กรอก'!T51,'📝 Four-tier กรอก'!U74="N",'📝 Four-tier กรอก'!V74&lt;&gt;'📝 Four-tier กรอก'!V51,'📝 Four-tier กรอก'!W74="N"),"❓ NoK","🤔 Partial")))))</f>
        <v/>
      </c>
      <c r="I73" s="67">
        <f>IF(OR('📝 Four-tier กรอก'!X74="",'📝 Four-tier กรอก'!Z74=""),"—",IF(AND('📝 Four-tier กรอก'!X74='📝 Four-tier กรอก'!X51,'📝 Four-tier กรอก'!Y74="Y",'📝 Four-tier กรอก'!Z74='📝 Four-tier กรอก'!Z51,'📝 Four-tier กรอก'!AA74="Y"),"✅ Sound",IF(AND('📝 Four-tier กรอก'!X74='📝 Four-tier กรอก'!X51,'📝 Four-tier กรอก'!Y74="Y",'📝 Four-tier กรอก'!Z74&lt;&gt;'📝 Four-tier กรอก'!Z51,'📝 Four-tier กรอก'!AA74="Y"),"🎲 Guess",IF(AND('📝 Four-tier กรอก'!X74&lt;&gt;'📝 Four-tier กรอก'!X51,'📝 Four-tier กรอก'!Y74="Y",'📝 Four-tier กรอก'!Z74&lt;&gt;'📝 Four-tier กรอก'!Z51,'📝 Four-tier กรอก'!AA74="Y"),"❌ Misc.",IF(AND('📝 Four-tier กรอก'!X74&lt;&gt;'📝 Four-tier กรอก'!X51,'📝 Four-tier กรอก'!Y74="N",'📝 Four-tier กรอก'!Z74&lt;&gt;'📝 Four-tier กรอก'!Z51,'📝 Four-tier กรอก'!AA74="N"),"❓ NoK","🤔 Partial")))))</f>
        <v/>
      </c>
      <c r="J73" s="67">
        <f>IF(OR('📝 Four-tier กรอก'!AB74="",'📝 Four-tier กรอก'!AD74=""),"—",IF(AND('📝 Four-tier กรอก'!AB74='📝 Four-tier กรอก'!AB51,'📝 Four-tier กรอก'!AC74="Y",'📝 Four-tier กรอก'!AD74='📝 Four-tier กรอก'!AD51,'📝 Four-tier กรอก'!AE74="Y"),"✅ Sound",IF(AND('📝 Four-tier กรอก'!AB74='📝 Four-tier กรอก'!AB51,'📝 Four-tier กรอก'!AC74="Y",'📝 Four-tier กรอก'!AD74&lt;&gt;'📝 Four-tier กรอก'!AD51,'📝 Four-tier กรอก'!AE74="Y"),"🎲 Guess",IF(AND('📝 Four-tier กรอก'!AB74&lt;&gt;'📝 Four-tier กรอก'!AB51,'📝 Four-tier กรอก'!AC74="Y",'📝 Four-tier กรอก'!AD74&lt;&gt;'📝 Four-tier กรอก'!AD51,'📝 Four-tier กรอก'!AE74="Y"),"❌ Misc.",IF(AND('📝 Four-tier กรอก'!AB74&lt;&gt;'📝 Four-tier กรอก'!AB51,'📝 Four-tier กรอก'!AC74="N",'📝 Four-tier กรอก'!AD74&lt;&gt;'📝 Four-tier กรอก'!AD51,'📝 Four-tier กรอก'!AE74="N"),"❓ NoK","🤔 Partial")))))</f>
        <v/>
      </c>
      <c r="K73" s="67">
        <f>IF(OR('📝 Four-tier กรอก'!AF74="",'📝 Four-tier กรอก'!AH74=""),"—",IF(AND('📝 Four-tier กรอก'!AF74='📝 Four-tier กรอก'!AF51,'📝 Four-tier กรอก'!AG74="Y",'📝 Four-tier กรอก'!AH74='📝 Four-tier กรอก'!AH51,'📝 Four-tier กรอก'!AI74="Y"),"✅ Sound",IF(AND('📝 Four-tier กรอก'!AF74='📝 Four-tier กรอก'!AF51,'📝 Four-tier กรอก'!AG74="Y",'📝 Four-tier กรอก'!AH74&lt;&gt;'📝 Four-tier กรอก'!AH51,'📝 Four-tier กรอก'!AI74="Y"),"🎲 Guess",IF(AND('📝 Four-tier กรอก'!AF74&lt;&gt;'📝 Four-tier กรอก'!AF51,'📝 Four-tier กรอก'!AG74="Y",'📝 Four-tier กรอก'!AH74&lt;&gt;'📝 Four-tier กรอก'!AH51,'📝 Four-tier กรอก'!AI74="Y"),"❌ Misc.",IF(AND('📝 Four-tier กรอก'!AF74&lt;&gt;'📝 Four-tier กรอก'!AF51,'📝 Four-tier กรอก'!AG74="N",'📝 Four-tier กรอก'!AH74&lt;&gt;'📝 Four-tier กรอก'!AH51,'📝 Four-tier กรอก'!AI74="N"),"❓ NoK","🤔 Partial")))))</f>
        <v/>
      </c>
      <c r="L73" s="67">
        <f>IF(OR('📝 Four-tier กรอก'!AJ74="",'📝 Four-tier กรอก'!AL74=""),"—",IF(AND('📝 Four-tier กรอก'!AJ74='📝 Four-tier กรอก'!AJ51,'📝 Four-tier กรอก'!AK74="Y",'📝 Four-tier กรอก'!AL74='📝 Four-tier กรอก'!AL51,'📝 Four-tier กรอก'!AM74="Y"),"✅ Sound",IF(AND('📝 Four-tier กรอก'!AJ74='📝 Four-tier กรอก'!AJ51,'📝 Four-tier กรอก'!AK74="Y",'📝 Four-tier กรอก'!AL74&lt;&gt;'📝 Four-tier กรอก'!AL51,'📝 Four-tier กรอก'!AM74="Y"),"🎲 Guess",IF(AND('📝 Four-tier กรอก'!AJ74&lt;&gt;'📝 Four-tier กรอก'!AJ51,'📝 Four-tier กรอก'!AK74="Y",'📝 Four-tier กรอก'!AL74&lt;&gt;'📝 Four-tier กรอก'!AL51,'📝 Four-tier กรอก'!AM74="Y"),"❌ Misc.",IF(AND('📝 Four-tier กรอก'!AJ74&lt;&gt;'📝 Four-tier กรอก'!AJ51,'📝 Four-tier กรอก'!AK74="N",'📝 Four-tier กรอก'!AL74&lt;&gt;'📝 Four-tier กรอก'!AL51,'📝 Four-tier กรอก'!AM74="N"),"❓ NoK","🤔 Partial")))))</f>
        <v/>
      </c>
      <c r="M73" s="67">
        <f>IF(OR('📝 Four-tier กรอก'!AN74="",'📝 Four-tier กรอก'!AP74=""),"—",IF(AND('📝 Four-tier กรอก'!AN74='📝 Four-tier กรอก'!AN51,'📝 Four-tier กรอก'!AO74="Y",'📝 Four-tier กรอก'!AP74='📝 Four-tier กรอก'!AP51,'📝 Four-tier กรอก'!AQ74="Y"),"✅ Sound",IF(AND('📝 Four-tier กรอก'!AN74='📝 Four-tier กรอก'!AN51,'📝 Four-tier กรอก'!AO74="Y",'📝 Four-tier กรอก'!AP74&lt;&gt;'📝 Four-tier กรอก'!AP51,'📝 Four-tier กรอก'!AQ74="Y"),"🎲 Guess",IF(AND('📝 Four-tier กรอก'!AN74&lt;&gt;'📝 Four-tier กรอก'!AN51,'📝 Four-tier กรอก'!AO74="Y",'📝 Four-tier กรอก'!AP74&lt;&gt;'📝 Four-tier กรอก'!AP51,'📝 Four-tier กรอก'!AQ74="Y"),"❌ Misc.",IF(AND('📝 Four-tier กรอก'!AN74&lt;&gt;'📝 Four-tier กรอก'!AN51,'📝 Four-tier กรอก'!AO74="N",'📝 Four-tier กรอก'!AP74&lt;&gt;'📝 Four-tier กรอก'!AP51,'📝 Four-tier กรอก'!AQ74="N"),"❓ NoK","🤔 Partial")))))</f>
        <v/>
      </c>
      <c r="N73" s="67">
        <f>IF(OR('📝 Four-tier กรอก'!AR74="",'📝 Four-tier กรอก'!AT74=""),"—",IF(AND('📝 Four-tier กรอก'!AR74='📝 Four-tier กรอก'!AR51,'📝 Four-tier กรอก'!AS74="Y",'📝 Four-tier กรอก'!AT74='📝 Four-tier กรอก'!AT51,'📝 Four-tier กรอก'!AU74="Y"),"✅ Sound",IF(AND('📝 Four-tier กรอก'!AR74='📝 Four-tier กรอก'!AR51,'📝 Four-tier กรอก'!AS74="Y",'📝 Four-tier กรอก'!AT74&lt;&gt;'📝 Four-tier กรอก'!AT51,'📝 Four-tier กรอก'!AU74="Y"),"🎲 Guess",IF(AND('📝 Four-tier กรอก'!AR74&lt;&gt;'📝 Four-tier กรอก'!AR51,'📝 Four-tier กรอก'!AS74="Y",'📝 Four-tier กรอก'!AT74&lt;&gt;'📝 Four-tier กรอก'!AT51,'📝 Four-tier กรอก'!AU74="Y"),"❌ Misc.",IF(AND('📝 Four-tier กรอก'!AR74&lt;&gt;'📝 Four-tier กรอก'!AR51,'📝 Four-tier กรอก'!AS74="N",'📝 Four-tier กรอก'!AT74&lt;&gt;'📝 Four-tier กรอก'!AT51,'📝 Four-tier กรอก'!AU74="N"),"❓ NoK","🤔 Partial")))))</f>
        <v/>
      </c>
      <c r="O73" s="67">
        <f>IF(OR('📝 Four-tier กรอก'!AV74="",'📝 Four-tier กรอก'!AX74=""),"—",IF(AND('📝 Four-tier กรอก'!AV74='📝 Four-tier กรอก'!AV51,'📝 Four-tier กรอก'!AW74="Y",'📝 Four-tier กรอก'!AX74='📝 Four-tier กรอก'!AX51,'📝 Four-tier กรอก'!AY74="Y"),"✅ Sound",IF(AND('📝 Four-tier กรอก'!AV74='📝 Four-tier กรอก'!AV51,'📝 Four-tier กรอก'!AW74="Y",'📝 Four-tier กรอก'!AX74&lt;&gt;'📝 Four-tier กรอก'!AX51,'📝 Four-tier กรอก'!AY74="Y"),"🎲 Guess",IF(AND('📝 Four-tier กรอก'!AV74&lt;&gt;'📝 Four-tier กรอก'!AV51,'📝 Four-tier กรอก'!AW74="Y",'📝 Four-tier กรอก'!AX74&lt;&gt;'📝 Four-tier กรอก'!AX51,'📝 Four-tier กรอก'!AY74="Y"),"❌ Misc.",IF(AND('📝 Four-tier กรอก'!AV74&lt;&gt;'📝 Four-tier กรอก'!AV51,'📝 Four-tier กรอก'!AW74="N",'📝 Four-tier กรอก'!AX74&lt;&gt;'📝 Four-tier กรอก'!AX51,'📝 Four-tier กรอก'!AY74="N"),"❓ NoK","🤔 Partial")))))</f>
        <v/>
      </c>
      <c r="P73" s="67">
        <f>IF(OR('📝 Four-tier กรอก'!AZ74="",'📝 Four-tier กรอก'!BB74=""),"—",IF(AND('📝 Four-tier กรอก'!AZ74='📝 Four-tier กรอก'!AZ51,'📝 Four-tier กรอก'!BA74="Y",'📝 Four-tier กรอก'!BB74='📝 Four-tier กรอก'!BB51,'📝 Four-tier กรอก'!BC74="Y"),"✅ Sound",IF(AND('📝 Four-tier กรอก'!AZ74='📝 Four-tier กรอก'!AZ51,'📝 Four-tier กรอก'!BA74="Y",'📝 Four-tier กรอก'!BB74&lt;&gt;'📝 Four-tier กรอก'!BB51,'📝 Four-tier กรอก'!BC74="Y"),"🎲 Guess",IF(AND('📝 Four-tier กรอก'!AZ74&lt;&gt;'📝 Four-tier กรอก'!AZ51,'📝 Four-tier กรอก'!BA74="Y",'📝 Four-tier กรอก'!BB74&lt;&gt;'📝 Four-tier กรอก'!BB51,'📝 Four-tier กรอก'!BC74="Y"),"❌ Misc.",IF(AND('📝 Four-tier กรอก'!AZ74&lt;&gt;'📝 Four-tier กรอก'!AZ51,'📝 Four-tier กรอก'!BA74="N",'📝 Four-tier กรอก'!BB74&lt;&gt;'📝 Four-tier กรอก'!BB51,'📝 Four-tier กรอก'!BC74="N"),"❓ NoK","🤔 Partial")))))</f>
        <v/>
      </c>
      <c r="Q73" s="67">
        <f>IF(OR('📝 Four-tier กรอก'!BD74="",'📝 Four-tier กรอก'!BF74=""),"—",IF(AND('📝 Four-tier กรอก'!BD74='📝 Four-tier กรอก'!BD51,'📝 Four-tier กรอก'!BE74="Y",'📝 Four-tier กรอก'!BF74='📝 Four-tier กรอก'!BF51,'📝 Four-tier กรอก'!BG74="Y"),"✅ Sound",IF(AND('📝 Four-tier กรอก'!BD74='📝 Four-tier กรอก'!BD51,'📝 Four-tier กรอก'!BE74="Y",'📝 Four-tier กรอก'!BF74&lt;&gt;'📝 Four-tier กรอก'!BF51,'📝 Four-tier กรอก'!BG74="Y"),"🎲 Guess",IF(AND('📝 Four-tier กรอก'!BD74&lt;&gt;'📝 Four-tier กรอก'!BD51,'📝 Four-tier กรอก'!BE74="Y",'📝 Four-tier กรอก'!BF74&lt;&gt;'📝 Four-tier กรอก'!BF51,'📝 Four-tier กรอก'!BG74="Y"),"❌ Misc.",IF(AND('📝 Four-tier กรอก'!BD74&lt;&gt;'📝 Four-tier กรอก'!BD51,'📝 Four-tier กรอก'!BE74="N",'📝 Four-tier กรอก'!BF74&lt;&gt;'📝 Four-tier กรอก'!BF51,'📝 Four-tier กรอก'!BG74="N"),"❓ NoK","🤔 Partial")))))</f>
        <v/>
      </c>
      <c r="R73" s="67">
        <f>IF(OR('📝 Four-tier กรอก'!BH74="",'📝 Four-tier กรอก'!BJ74=""),"—",IF(AND('📝 Four-tier กรอก'!BH74='📝 Four-tier กรอก'!BH51,'📝 Four-tier กรอก'!BI74="Y",'📝 Four-tier กรอก'!BJ74='📝 Four-tier กรอก'!BJ51,'📝 Four-tier กรอก'!BK74="Y"),"✅ Sound",IF(AND('📝 Four-tier กรอก'!BH74='📝 Four-tier กรอก'!BH51,'📝 Four-tier กรอก'!BI74="Y",'📝 Four-tier กรอก'!BJ74&lt;&gt;'📝 Four-tier กรอก'!BJ51,'📝 Four-tier กรอก'!BK74="Y"),"🎲 Guess",IF(AND('📝 Four-tier กรอก'!BH74&lt;&gt;'📝 Four-tier กรอก'!BH51,'📝 Four-tier กรอก'!BI74="Y",'📝 Four-tier กรอก'!BJ74&lt;&gt;'📝 Four-tier กรอก'!BJ51,'📝 Four-tier กรอก'!BK74="Y"),"❌ Misc.",IF(AND('📝 Four-tier กรอก'!BH74&lt;&gt;'📝 Four-tier กรอก'!BH51,'📝 Four-tier กรอก'!BI74="N",'📝 Four-tier กรอก'!BJ74&lt;&gt;'📝 Four-tier กรอก'!BJ51,'📝 Four-tier กรอก'!BK74="N"),"❓ NoK","🤔 Partial")))))</f>
        <v/>
      </c>
      <c r="S73" s="67">
        <f>IF(OR('📝 Four-tier กรอก'!BL74="",'📝 Four-tier กรอก'!BN74=""),"—",IF(AND('📝 Four-tier กรอก'!BL74='📝 Four-tier กรอก'!BL51,'📝 Four-tier กรอก'!BM74="Y",'📝 Four-tier กรอก'!BN74='📝 Four-tier กรอก'!BN51,'📝 Four-tier กรอก'!BO74="Y"),"✅ Sound",IF(AND('📝 Four-tier กรอก'!BL74='📝 Four-tier กรอก'!BL51,'📝 Four-tier กรอก'!BM74="Y",'📝 Four-tier กรอก'!BN74&lt;&gt;'📝 Four-tier กรอก'!BN51,'📝 Four-tier กรอก'!BO74="Y"),"🎲 Guess",IF(AND('📝 Four-tier กรอก'!BL74&lt;&gt;'📝 Four-tier กรอก'!BL51,'📝 Four-tier กรอก'!BM74="Y",'📝 Four-tier กรอก'!BN74&lt;&gt;'📝 Four-tier กรอก'!BN51,'📝 Four-tier กรอก'!BO74="Y"),"❌ Misc.",IF(AND('📝 Four-tier กรอก'!BL74&lt;&gt;'📝 Four-tier กรอก'!BL51,'📝 Four-tier กรอก'!BM74="N",'📝 Four-tier กรอก'!BN74&lt;&gt;'📝 Four-tier กรอก'!BN51,'📝 Four-tier กรอก'!BO74="N"),"❓ NoK","🤔 Partial")))))</f>
        <v/>
      </c>
      <c r="T73" s="67">
        <f>IF(OR('📝 Four-tier กรอก'!BP74="",'📝 Four-tier กรอก'!BR74=""),"—",IF(AND('📝 Four-tier กรอก'!BP74='📝 Four-tier กรอก'!BP51,'📝 Four-tier กรอก'!BQ74="Y",'📝 Four-tier กรอก'!BR74='📝 Four-tier กรอก'!BR51,'📝 Four-tier กรอก'!BS74="Y"),"✅ Sound",IF(AND('📝 Four-tier กรอก'!BP74='📝 Four-tier กรอก'!BP51,'📝 Four-tier กรอก'!BQ74="Y",'📝 Four-tier กรอก'!BR74&lt;&gt;'📝 Four-tier กรอก'!BR51,'📝 Four-tier กรอก'!BS74="Y"),"🎲 Guess",IF(AND('📝 Four-tier กรอก'!BP74&lt;&gt;'📝 Four-tier กรอก'!BP51,'📝 Four-tier กรอก'!BQ74="Y",'📝 Four-tier กรอก'!BR74&lt;&gt;'📝 Four-tier กรอก'!BR51,'📝 Four-tier กรอก'!BS74="Y"),"❌ Misc.",IF(AND('📝 Four-tier กรอก'!BP74&lt;&gt;'📝 Four-tier กรอก'!BP51,'📝 Four-tier กรอก'!BQ74="N",'📝 Four-tier กรอก'!BR74&lt;&gt;'📝 Four-tier กรอก'!BR51,'📝 Four-tier กรอก'!BS74="N"),"❓ NoK","🤔 Partial")))))</f>
        <v/>
      </c>
      <c r="U73" s="67">
        <f>IF(OR('📝 Four-tier กรอก'!BT74="",'📝 Four-tier กรอก'!BV74=""),"—",IF(AND('📝 Four-tier กรอก'!BT74='📝 Four-tier กรอก'!BT51,'📝 Four-tier กรอก'!BU74="Y",'📝 Four-tier กรอก'!BV74='📝 Four-tier กรอก'!BV51,'📝 Four-tier กรอก'!BW74="Y"),"✅ Sound",IF(AND('📝 Four-tier กรอก'!BT74='📝 Four-tier กรอก'!BT51,'📝 Four-tier กรอก'!BU74="Y",'📝 Four-tier กรอก'!BV74&lt;&gt;'📝 Four-tier กรอก'!BV51,'📝 Four-tier กรอก'!BW74="Y"),"🎲 Guess",IF(AND('📝 Four-tier กรอก'!BT74&lt;&gt;'📝 Four-tier กรอก'!BT51,'📝 Four-tier กรอก'!BU74="Y",'📝 Four-tier กรอก'!BV74&lt;&gt;'📝 Four-tier กรอก'!BV51,'📝 Four-tier กรอก'!BW74="Y"),"❌ Misc.",IF(AND('📝 Four-tier กรอก'!BT74&lt;&gt;'📝 Four-tier กรอก'!BT51,'📝 Four-tier กรอก'!BU74="N",'📝 Four-tier กรอก'!BV74&lt;&gt;'📝 Four-tier กรอก'!BV51,'📝 Four-tier กรอก'!BW74="N"),"❓ NoK","🤔 Partial")))))</f>
        <v/>
      </c>
      <c r="V73" s="67">
        <f>IF(OR('📝 Four-tier กรอก'!BX74="",'📝 Four-tier กรอก'!BZ74=""),"—",IF(AND('📝 Four-tier กรอก'!BX74='📝 Four-tier กรอก'!BX51,'📝 Four-tier กรอก'!BY74="Y",'📝 Four-tier กรอก'!BZ74='📝 Four-tier กรอก'!BZ51,'📝 Four-tier กรอก'!CA74="Y"),"✅ Sound",IF(AND('📝 Four-tier กรอก'!BX74='📝 Four-tier กรอก'!BX51,'📝 Four-tier กรอก'!BY74="Y",'📝 Four-tier กรอก'!BZ74&lt;&gt;'📝 Four-tier กรอก'!BZ51,'📝 Four-tier กรอก'!CA74="Y"),"🎲 Guess",IF(AND('📝 Four-tier กรอก'!BX74&lt;&gt;'📝 Four-tier กรอก'!BX51,'📝 Four-tier กรอก'!BY74="Y",'📝 Four-tier กรอก'!BZ74&lt;&gt;'📝 Four-tier กรอก'!BZ51,'📝 Four-tier กรอก'!CA74="Y"),"❌ Misc.",IF(AND('📝 Four-tier กรอก'!BX74&lt;&gt;'📝 Four-tier กรอก'!BX51,'📝 Four-tier กรอก'!BY74="N",'📝 Four-tier กรอก'!BZ74&lt;&gt;'📝 Four-tier กรอก'!BZ51,'📝 Four-tier กรอก'!CA74="N"),"❓ NoK","🤔 Partial")))))</f>
        <v/>
      </c>
      <c r="W73" s="67">
        <f>IF(OR('📝 Four-tier กรอก'!CB74="",'📝 Four-tier กรอก'!CD74=""),"—",IF(AND('📝 Four-tier กรอก'!CB74='📝 Four-tier กรอก'!CB51,'📝 Four-tier กรอก'!CC74="Y",'📝 Four-tier กรอก'!CD74='📝 Four-tier กรอก'!CD51,'📝 Four-tier กรอก'!CE74="Y"),"✅ Sound",IF(AND('📝 Four-tier กรอก'!CB74='📝 Four-tier กรอก'!CB51,'📝 Four-tier กรอก'!CC74="Y",'📝 Four-tier กรอก'!CD74&lt;&gt;'📝 Four-tier กรอก'!CD51,'📝 Four-tier กรอก'!CE74="Y"),"🎲 Guess",IF(AND('📝 Four-tier กรอก'!CB74&lt;&gt;'📝 Four-tier กรอก'!CB51,'📝 Four-tier กรอก'!CC74="Y",'📝 Four-tier กรอก'!CD74&lt;&gt;'📝 Four-tier กรอก'!CD51,'📝 Four-tier กรอก'!CE74="Y"),"❌ Misc.",IF(AND('📝 Four-tier กรอก'!CB74&lt;&gt;'📝 Four-tier กรอก'!CB51,'📝 Four-tier กรอก'!CC74="N",'📝 Four-tier กรอก'!CD74&lt;&gt;'📝 Four-tier กรอก'!CD51,'📝 Four-tier กรอก'!CE74="N"),"❓ NoK","🤔 Partial")))))</f>
        <v/>
      </c>
      <c r="X73" s="37">
        <f>COUNTIF(D73:W73,"✅ Sound")</f>
        <v/>
      </c>
      <c r="Y73" s="37">
        <f>COUNTIF(D73:W73,"❌ Misc.")</f>
        <v/>
      </c>
      <c r="Z73" s="37">
        <f>COUNTIF(D73:W73,"🎲 Guess")</f>
        <v/>
      </c>
      <c r="AA73" s="37">
        <f>COUNTIF(D73:W73,"❓ NoK")</f>
        <v/>
      </c>
    </row>
    <row r="74" ht="18" customHeight="1">
      <c r="B74" s="46">
        <f>'📝 Four-tier กรอก'!B75</f>
        <v/>
      </c>
      <c r="C74" s="51">
        <f>'📝 Four-tier กรอก'!C75</f>
        <v/>
      </c>
      <c r="D74" s="68">
        <f>IF(OR('📝 Four-tier กรอก'!D75="",'📝 Four-tier กรอก'!F75=""),"—",IF(AND('📝 Four-tier กรอก'!D75='📝 Four-tier กรอก'!D51,'📝 Four-tier กรอก'!E75="Y",'📝 Four-tier กรอก'!F75='📝 Four-tier กรอก'!F51,'📝 Four-tier กรอก'!G75="Y"),"✅ Sound",IF(AND('📝 Four-tier กรอก'!D75='📝 Four-tier กรอก'!D51,'📝 Four-tier กรอก'!E75="Y",'📝 Four-tier กรอก'!F75&lt;&gt;'📝 Four-tier กรอก'!F51,'📝 Four-tier กรอก'!G75="Y"),"🎲 Guess",IF(AND('📝 Four-tier กรอก'!D75&lt;&gt;'📝 Four-tier กรอก'!D51,'📝 Four-tier กรอก'!E75="Y",'📝 Four-tier กรอก'!F75&lt;&gt;'📝 Four-tier กรอก'!F51,'📝 Four-tier กรอก'!G75="Y"),"❌ Misc.",IF(AND('📝 Four-tier กรอก'!D75&lt;&gt;'📝 Four-tier กรอก'!D51,'📝 Four-tier กรอก'!E75="N",'📝 Four-tier กรอก'!F75&lt;&gt;'📝 Four-tier กรอก'!F51,'📝 Four-tier กรอก'!G75="N"),"❓ NoK","🤔 Partial")))))</f>
        <v/>
      </c>
      <c r="E74" s="68">
        <f>IF(OR('📝 Four-tier กรอก'!H75="",'📝 Four-tier กรอก'!J75=""),"—",IF(AND('📝 Four-tier กรอก'!H75='📝 Four-tier กรอก'!H51,'📝 Four-tier กรอก'!I75="Y",'📝 Four-tier กรอก'!J75='📝 Four-tier กรอก'!J51,'📝 Four-tier กรอก'!K75="Y"),"✅ Sound",IF(AND('📝 Four-tier กรอก'!H75='📝 Four-tier กรอก'!H51,'📝 Four-tier กรอก'!I75="Y",'📝 Four-tier กรอก'!J75&lt;&gt;'📝 Four-tier กรอก'!J51,'📝 Four-tier กรอก'!K75="Y"),"🎲 Guess",IF(AND('📝 Four-tier กรอก'!H75&lt;&gt;'📝 Four-tier กรอก'!H51,'📝 Four-tier กรอก'!I75="Y",'📝 Four-tier กรอก'!J75&lt;&gt;'📝 Four-tier กรอก'!J51,'📝 Four-tier กรอก'!K75="Y"),"❌ Misc.",IF(AND('📝 Four-tier กรอก'!H75&lt;&gt;'📝 Four-tier กรอก'!H51,'📝 Four-tier กรอก'!I75="N",'📝 Four-tier กรอก'!J75&lt;&gt;'📝 Four-tier กรอก'!J51,'📝 Four-tier กรอก'!K75="N"),"❓ NoK","🤔 Partial")))))</f>
        <v/>
      </c>
      <c r="F74" s="68">
        <f>IF(OR('📝 Four-tier กรอก'!L75="",'📝 Four-tier กรอก'!N75=""),"—",IF(AND('📝 Four-tier กรอก'!L75='📝 Four-tier กรอก'!L51,'📝 Four-tier กรอก'!M75="Y",'📝 Four-tier กรอก'!N75='📝 Four-tier กรอก'!N51,'📝 Four-tier กรอก'!O75="Y"),"✅ Sound",IF(AND('📝 Four-tier กรอก'!L75='📝 Four-tier กรอก'!L51,'📝 Four-tier กรอก'!M75="Y",'📝 Four-tier กรอก'!N75&lt;&gt;'📝 Four-tier กรอก'!N51,'📝 Four-tier กรอก'!O75="Y"),"🎲 Guess",IF(AND('📝 Four-tier กรอก'!L75&lt;&gt;'📝 Four-tier กรอก'!L51,'📝 Four-tier กรอก'!M75="Y",'📝 Four-tier กรอก'!N75&lt;&gt;'📝 Four-tier กรอก'!N51,'📝 Four-tier กรอก'!O75="Y"),"❌ Misc.",IF(AND('📝 Four-tier กรอก'!L75&lt;&gt;'📝 Four-tier กรอก'!L51,'📝 Four-tier กรอก'!M75="N",'📝 Four-tier กรอก'!N75&lt;&gt;'📝 Four-tier กรอก'!N51,'📝 Four-tier กรอก'!O75="N"),"❓ NoK","🤔 Partial")))))</f>
        <v/>
      </c>
      <c r="G74" s="68">
        <f>IF(OR('📝 Four-tier กรอก'!P75="",'📝 Four-tier กรอก'!R75=""),"—",IF(AND('📝 Four-tier กรอก'!P75='📝 Four-tier กรอก'!P51,'📝 Four-tier กรอก'!Q75="Y",'📝 Four-tier กรอก'!R75='📝 Four-tier กรอก'!R51,'📝 Four-tier กรอก'!S75="Y"),"✅ Sound",IF(AND('📝 Four-tier กรอก'!P75='📝 Four-tier กรอก'!P51,'📝 Four-tier กรอก'!Q75="Y",'📝 Four-tier กรอก'!R75&lt;&gt;'📝 Four-tier กรอก'!R51,'📝 Four-tier กรอก'!S75="Y"),"🎲 Guess",IF(AND('📝 Four-tier กรอก'!P75&lt;&gt;'📝 Four-tier กรอก'!P51,'📝 Four-tier กรอก'!Q75="Y",'📝 Four-tier กรอก'!R75&lt;&gt;'📝 Four-tier กรอก'!R51,'📝 Four-tier กรอก'!S75="Y"),"❌ Misc.",IF(AND('📝 Four-tier กรอก'!P75&lt;&gt;'📝 Four-tier กรอก'!P51,'📝 Four-tier กรอก'!Q75="N",'📝 Four-tier กรอก'!R75&lt;&gt;'📝 Four-tier กรอก'!R51,'📝 Four-tier กรอก'!S75="N"),"❓ NoK","🤔 Partial")))))</f>
        <v/>
      </c>
      <c r="H74" s="68">
        <f>IF(OR('📝 Four-tier กรอก'!T75="",'📝 Four-tier กรอก'!V75=""),"—",IF(AND('📝 Four-tier กรอก'!T75='📝 Four-tier กรอก'!T51,'📝 Four-tier กรอก'!U75="Y",'📝 Four-tier กรอก'!V75='📝 Four-tier กรอก'!V51,'📝 Four-tier กรอก'!W75="Y"),"✅ Sound",IF(AND('📝 Four-tier กรอก'!T75='📝 Four-tier กรอก'!T51,'📝 Four-tier กรอก'!U75="Y",'📝 Four-tier กรอก'!V75&lt;&gt;'📝 Four-tier กรอก'!V51,'📝 Four-tier กรอก'!W75="Y"),"🎲 Guess",IF(AND('📝 Four-tier กรอก'!T75&lt;&gt;'📝 Four-tier กรอก'!T51,'📝 Four-tier กรอก'!U75="Y",'📝 Four-tier กรอก'!V75&lt;&gt;'📝 Four-tier กรอก'!V51,'📝 Four-tier กรอก'!W75="Y"),"❌ Misc.",IF(AND('📝 Four-tier กรอก'!T75&lt;&gt;'📝 Four-tier กรอก'!T51,'📝 Four-tier กรอก'!U75="N",'📝 Four-tier กรอก'!V75&lt;&gt;'📝 Four-tier กรอก'!V51,'📝 Four-tier กรอก'!W75="N"),"❓ NoK","🤔 Partial")))))</f>
        <v/>
      </c>
      <c r="I74" s="68">
        <f>IF(OR('📝 Four-tier กรอก'!X75="",'📝 Four-tier กรอก'!Z75=""),"—",IF(AND('📝 Four-tier กรอก'!X75='📝 Four-tier กรอก'!X51,'📝 Four-tier กรอก'!Y75="Y",'📝 Four-tier กรอก'!Z75='📝 Four-tier กรอก'!Z51,'📝 Four-tier กรอก'!AA75="Y"),"✅ Sound",IF(AND('📝 Four-tier กรอก'!X75='📝 Four-tier กรอก'!X51,'📝 Four-tier กรอก'!Y75="Y",'📝 Four-tier กรอก'!Z75&lt;&gt;'📝 Four-tier กรอก'!Z51,'📝 Four-tier กรอก'!AA75="Y"),"🎲 Guess",IF(AND('📝 Four-tier กรอก'!X75&lt;&gt;'📝 Four-tier กรอก'!X51,'📝 Four-tier กรอก'!Y75="Y",'📝 Four-tier กรอก'!Z75&lt;&gt;'📝 Four-tier กรอก'!Z51,'📝 Four-tier กรอก'!AA75="Y"),"❌ Misc.",IF(AND('📝 Four-tier กรอก'!X75&lt;&gt;'📝 Four-tier กรอก'!X51,'📝 Four-tier กรอก'!Y75="N",'📝 Four-tier กรอก'!Z75&lt;&gt;'📝 Four-tier กรอก'!Z51,'📝 Four-tier กรอก'!AA75="N"),"❓ NoK","🤔 Partial")))))</f>
        <v/>
      </c>
      <c r="J74" s="68">
        <f>IF(OR('📝 Four-tier กรอก'!AB75="",'📝 Four-tier กรอก'!AD75=""),"—",IF(AND('📝 Four-tier กรอก'!AB75='📝 Four-tier กรอก'!AB51,'📝 Four-tier กรอก'!AC75="Y",'📝 Four-tier กรอก'!AD75='📝 Four-tier กรอก'!AD51,'📝 Four-tier กรอก'!AE75="Y"),"✅ Sound",IF(AND('📝 Four-tier กรอก'!AB75='📝 Four-tier กรอก'!AB51,'📝 Four-tier กรอก'!AC75="Y",'📝 Four-tier กรอก'!AD75&lt;&gt;'📝 Four-tier กรอก'!AD51,'📝 Four-tier กรอก'!AE75="Y"),"🎲 Guess",IF(AND('📝 Four-tier กรอก'!AB75&lt;&gt;'📝 Four-tier กรอก'!AB51,'📝 Four-tier กรอก'!AC75="Y",'📝 Four-tier กรอก'!AD75&lt;&gt;'📝 Four-tier กรอก'!AD51,'📝 Four-tier กรอก'!AE75="Y"),"❌ Misc.",IF(AND('📝 Four-tier กรอก'!AB75&lt;&gt;'📝 Four-tier กรอก'!AB51,'📝 Four-tier กรอก'!AC75="N",'📝 Four-tier กรอก'!AD75&lt;&gt;'📝 Four-tier กรอก'!AD51,'📝 Four-tier กรอก'!AE75="N"),"❓ NoK","🤔 Partial")))))</f>
        <v/>
      </c>
      <c r="K74" s="68">
        <f>IF(OR('📝 Four-tier กรอก'!AF75="",'📝 Four-tier กรอก'!AH75=""),"—",IF(AND('📝 Four-tier กรอก'!AF75='📝 Four-tier กรอก'!AF51,'📝 Four-tier กรอก'!AG75="Y",'📝 Four-tier กรอก'!AH75='📝 Four-tier กรอก'!AH51,'📝 Four-tier กรอก'!AI75="Y"),"✅ Sound",IF(AND('📝 Four-tier กรอก'!AF75='📝 Four-tier กรอก'!AF51,'📝 Four-tier กรอก'!AG75="Y",'📝 Four-tier กรอก'!AH75&lt;&gt;'📝 Four-tier กรอก'!AH51,'📝 Four-tier กรอก'!AI75="Y"),"🎲 Guess",IF(AND('📝 Four-tier กรอก'!AF75&lt;&gt;'📝 Four-tier กรอก'!AF51,'📝 Four-tier กรอก'!AG75="Y",'📝 Four-tier กรอก'!AH75&lt;&gt;'📝 Four-tier กรอก'!AH51,'📝 Four-tier กรอก'!AI75="Y"),"❌ Misc.",IF(AND('📝 Four-tier กรอก'!AF75&lt;&gt;'📝 Four-tier กรอก'!AF51,'📝 Four-tier กรอก'!AG75="N",'📝 Four-tier กรอก'!AH75&lt;&gt;'📝 Four-tier กรอก'!AH51,'📝 Four-tier กรอก'!AI75="N"),"❓ NoK","🤔 Partial")))))</f>
        <v/>
      </c>
      <c r="L74" s="68">
        <f>IF(OR('📝 Four-tier กรอก'!AJ75="",'📝 Four-tier กรอก'!AL75=""),"—",IF(AND('📝 Four-tier กรอก'!AJ75='📝 Four-tier กรอก'!AJ51,'📝 Four-tier กรอก'!AK75="Y",'📝 Four-tier กรอก'!AL75='📝 Four-tier กรอก'!AL51,'📝 Four-tier กรอก'!AM75="Y"),"✅ Sound",IF(AND('📝 Four-tier กรอก'!AJ75='📝 Four-tier กรอก'!AJ51,'📝 Four-tier กรอก'!AK75="Y",'📝 Four-tier กรอก'!AL75&lt;&gt;'📝 Four-tier กรอก'!AL51,'📝 Four-tier กรอก'!AM75="Y"),"🎲 Guess",IF(AND('📝 Four-tier กรอก'!AJ75&lt;&gt;'📝 Four-tier กรอก'!AJ51,'📝 Four-tier กรอก'!AK75="Y",'📝 Four-tier กรอก'!AL75&lt;&gt;'📝 Four-tier กรอก'!AL51,'📝 Four-tier กรอก'!AM75="Y"),"❌ Misc.",IF(AND('📝 Four-tier กรอก'!AJ75&lt;&gt;'📝 Four-tier กรอก'!AJ51,'📝 Four-tier กรอก'!AK75="N",'📝 Four-tier กรอก'!AL75&lt;&gt;'📝 Four-tier กรอก'!AL51,'📝 Four-tier กรอก'!AM75="N"),"❓ NoK","🤔 Partial")))))</f>
        <v/>
      </c>
      <c r="M74" s="68">
        <f>IF(OR('📝 Four-tier กรอก'!AN75="",'📝 Four-tier กรอก'!AP75=""),"—",IF(AND('📝 Four-tier กรอก'!AN75='📝 Four-tier กรอก'!AN51,'📝 Four-tier กรอก'!AO75="Y",'📝 Four-tier กรอก'!AP75='📝 Four-tier กรอก'!AP51,'📝 Four-tier กรอก'!AQ75="Y"),"✅ Sound",IF(AND('📝 Four-tier กรอก'!AN75='📝 Four-tier กรอก'!AN51,'📝 Four-tier กรอก'!AO75="Y",'📝 Four-tier กรอก'!AP75&lt;&gt;'📝 Four-tier กรอก'!AP51,'📝 Four-tier กรอก'!AQ75="Y"),"🎲 Guess",IF(AND('📝 Four-tier กรอก'!AN75&lt;&gt;'📝 Four-tier กรอก'!AN51,'📝 Four-tier กรอก'!AO75="Y",'📝 Four-tier กรอก'!AP75&lt;&gt;'📝 Four-tier กรอก'!AP51,'📝 Four-tier กรอก'!AQ75="Y"),"❌ Misc.",IF(AND('📝 Four-tier กรอก'!AN75&lt;&gt;'📝 Four-tier กรอก'!AN51,'📝 Four-tier กรอก'!AO75="N",'📝 Four-tier กรอก'!AP75&lt;&gt;'📝 Four-tier กรอก'!AP51,'📝 Four-tier กรอก'!AQ75="N"),"❓ NoK","🤔 Partial")))))</f>
        <v/>
      </c>
      <c r="N74" s="68">
        <f>IF(OR('📝 Four-tier กรอก'!AR75="",'📝 Four-tier กรอก'!AT75=""),"—",IF(AND('📝 Four-tier กรอก'!AR75='📝 Four-tier กรอก'!AR51,'📝 Four-tier กรอก'!AS75="Y",'📝 Four-tier กรอก'!AT75='📝 Four-tier กรอก'!AT51,'📝 Four-tier กรอก'!AU75="Y"),"✅ Sound",IF(AND('📝 Four-tier กรอก'!AR75='📝 Four-tier กรอก'!AR51,'📝 Four-tier กรอก'!AS75="Y",'📝 Four-tier กรอก'!AT75&lt;&gt;'📝 Four-tier กรอก'!AT51,'📝 Four-tier กรอก'!AU75="Y"),"🎲 Guess",IF(AND('📝 Four-tier กรอก'!AR75&lt;&gt;'📝 Four-tier กรอก'!AR51,'📝 Four-tier กรอก'!AS75="Y",'📝 Four-tier กรอก'!AT75&lt;&gt;'📝 Four-tier กรอก'!AT51,'📝 Four-tier กรอก'!AU75="Y"),"❌ Misc.",IF(AND('📝 Four-tier กรอก'!AR75&lt;&gt;'📝 Four-tier กรอก'!AR51,'📝 Four-tier กรอก'!AS75="N",'📝 Four-tier กรอก'!AT75&lt;&gt;'📝 Four-tier กรอก'!AT51,'📝 Four-tier กรอก'!AU75="N"),"❓ NoK","🤔 Partial")))))</f>
        <v/>
      </c>
      <c r="O74" s="68">
        <f>IF(OR('📝 Four-tier กรอก'!AV75="",'📝 Four-tier กรอก'!AX75=""),"—",IF(AND('📝 Four-tier กรอก'!AV75='📝 Four-tier กรอก'!AV51,'📝 Four-tier กรอก'!AW75="Y",'📝 Four-tier กรอก'!AX75='📝 Four-tier กรอก'!AX51,'📝 Four-tier กรอก'!AY75="Y"),"✅ Sound",IF(AND('📝 Four-tier กรอก'!AV75='📝 Four-tier กรอก'!AV51,'📝 Four-tier กรอก'!AW75="Y",'📝 Four-tier กรอก'!AX75&lt;&gt;'📝 Four-tier กรอก'!AX51,'📝 Four-tier กรอก'!AY75="Y"),"🎲 Guess",IF(AND('📝 Four-tier กรอก'!AV75&lt;&gt;'📝 Four-tier กรอก'!AV51,'📝 Four-tier กรอก'!AW75="Y",'📝 Four-tier กรอก'!AX75&lt;&gt;'📝 Four-tier กรอก'!AX51,'📝 Four-tier กรอก'!AY75="Y"),"❌ Misc.",IF(AND('📝 Four-tier กรอก'!AV75&lt;&gt;'📝 Four-tier กรอก'!AV51,'📝 Four-tier กรอก'!AW75="N",'📝 Four-tier กรอก'!AX75&lt;&gt;'📝 Four-tier กรอก'!AX51,'📝 Four-tier กรอก'!AY75="N"),"❓ NoK","🤔 Partial")))))</f>
        <v/>
      </c>
      <c r="P74" s="68">
        <f>IF(OR('📝 Four-tier กรอก'!AZ75="",'📝 Four-tier กรอก'!BB75=""),"—",IF(AND('📝 Four-tier กรอก'!AZ75='📝 Four-tier กรอก'!AZ51,'📝 Four-tier กรอก'!BA75="Y",'📝 Four-tier กรอก'!BB75='📝 Four-tier กรอก'!BB51,'📝 Four-tier กรอก'!BC75="Y"),"✅ Sound",IF(AND('📝 Four-tier กรอก'!AZ75='📝 Four-tier กรอก'!AZ51,'📝 Four-tier กรอก'!BA75="Y",'📝 Four-tier กรอก'!BB75&lt;&gt;'📝 Four-tier กรอก'!BB51,'📝 Four-tier กรอก'!BC75="Y"),"🎲 Guess",IF(AND('📝 Four-tier กรอก'!AZ75&lt;&gt;'📝 Four-tier กรอก'!AZ51,'📝 Four-tier กรอก'!BA75="Y",'📝 Four-tier กรอก'!BB75&lt;&gt;'📝 Four-tier กรอก'!BB51,'📝 Four-tier กรอก'!BC75="Y"),"❌ Misc.",IF(AND('📝 Four-tier กรอก'!AZ75&lt;&gt;'📝 Four-tier กรอก'!AZ51,'📝 Four-tier กรอก'!BA75="N",'📝 Four-tier กรอก'!BB75&lt;&gt;'📝 Four-tier กรอก'!BB51,'📝 Four-tier กรอก'!BC75="N"),"❓ NoK","🤔 Partial")))))</f>
        <v/>
      </c>
      <c r="Q74" s="68">
        <f>IF(OR('📝 Four-tier กรอก'!BD75="",'📝 Four-tier กรอก'!BF75=""),"—",IF(AND('📝 Four-tier กรอก'!BD75='📝 Four-tier กรอก'!BD51,'📝 Four-tier กรอก'!BE75="Y",'📝 Four-tier กรอก'!BF75='📝 Four-tier กรอก'!BF51,'📝 Four-tier กรอก'!BG75="Y"),"✅ Sound",IF(AND('📝 Four-tier กรอก'!BD75='📝 Four-tier กรอก'!BD51,'📝 Four-tier กรอก'!BE75="Y",'📝 Four-tier กรอก'!BF75&lt;&gt;'📝 Four-tier กรอก'!BF51,'📝 Four-tier กรอก'!BG75="Y"),"🎲 Guess",IF(AND('📝 Four-tier กรอก'!BD75&lt;&gt;'📝 Four-tier กรอก'!BD51,'📝 Four-tier กรอก'!BE75="Y",'📝 Four-tier กรอก'!BF75&lt;&gt;'📝 Four-tier กรอก'!BF51,'📝 Four-tier กรอก'!BG75="Y"),"❌ Misc.",IF(AND('📝 Four-tier กรอก'!BD75&lt;&gt;'📝 Four-tier กรอก'!BD51,'📝 Four-tier กรอก'!BE75="N",'📝 Four-tier กรอก'!BF75&lt;&gt;'📝 Four-tier กรอก'!BF51,'📝 Four-tier กรอก'!BG75="N"),"❓ NoK","🤔 Partial")))))</f>
        <v/>
      </c>
      <c r="R74" s="68">
        <f>IF(OR('📝 Four-tier กรอก'!BH75="",'📝 Four-tier กรอก'!BJ75=""),"—",IF(AND('📝 Four-tier กรอก'!BH75='📝 Four-tier กรอก'!BH51,'📝 Four-tier กรอก'!BI75="Y",'📝 Four-tier กรอก'!BJ75='📝 Four-tier กรอก'!BJ51,'📝 Four-tier กรอก'!BK75="Y"),"✅ Sound",IF(AND('📝 Four-tier กรอก'!BH75='📝 Four-tier กรอก'!BH51,'📝 Four-tier กรอก'!BI75="Y",'📝 Four-tier กรอก'!BJ75&lt;&gt;'📝 Four-tier กรอก'!BJ51,'📝 Four-tier กรอก'!BK75="Y"),"🎲 Guess",IF(AND('📝 Four-tier กรอก'!BH75&lt;&gt;'📝 Four-tier กรอก'!BH51,'📝 Four-tier กรอก'!BI75="Y",'📝 Four-tier กรอก'!BJ75&lt;&gt;'📝 Four-tier กรอก'!BJ51,'📝 Four-tier กรอก'!BK75="Y"),"❌ Misc.",IF(AND('📝 Four-tier กรอก'!BH75&lt;&gt;'📝 Four-tier กรอก'!BH51,'📝 Four-tier กรอก'!BI75="N",'📝 Four-tier กรอก'!BJ75&lt;&gt;'📝 Four-tier กรอก'!BJ51,'📝 Four-tier กรอก'!BK75="N"),"❓ NoK","🤔 Partial")))))</f>
        <v/>
      </c>
      <c r="S74" s="68">
        <f>IF(OR('📝 Four-tier กรอก'!BL75="",'📝 Four-tier กรอก'!BN75=""),"—",IF(AND('📝 Four-tier กรอก'!BL75='📝 Four-tier กรอก'!BL51,'📝 Four-tier กรอก'!BM75="Y",'📝 Four-tier กรอก'!BN75='📝 Four-tier กรอก'!BN51,'📝 Four-tier กรอก'!BO75="Y"),"✅ Sound",IF(AND('📝 Four-tier กรอก'!BL75='📝 Four-tier กรอก'!BL51,'📝 Four-tier กรอก'!BM75="Y",'📝 Four-tier กรอก'!BN75&lt;&gt;'📝 Four-tier กรอก'!BN51,'📝 Four-tier กรอก'!BO75="Y"),"🎲 Guess",IF(AND('📝 Four-tier กรอก'!BL75&lt;&gt;'📝 Four-tier กรอก'!BL51,'📝 Four-tier กรอก'!BM75="Y",'📝 Four-tier กรอก'!BN75&lt;&gt;'📝 Four-tier กรอก'!BN51,'📝 Four-tier กรอก'!BO75="Y"),"❌ Misc.",IF(AND('📝 Four-tier กรอก'!BL75&lt;&gt;'📝 Four-tier กรอก'!BL51,'📝 Four-tier กรอก'!BM75="N",'📝 Four-tier กรอก'!BN75&lt;&gt;'📝 Four-tier กรอก'!BN51,'📝 Four-tier กรอก'!BO75="N"),"❓ NoK","🤔 Partial")))))</f>
        <v/>
      </c>
      <c r="T74" s="68">
        <f>IF(OR('📝 Four-tier กรอก'!BP75="",'📝 Four-tier กรอก'!BR75=""),"—",IF(AND('📝 Four-tier กรอก'!BP75='📝 Four-tier กรอก'!BP51,'📝 Four-tier กรอก'!BQ75="Y",'📝 Four-tier กรอก'!BR75='📝 Four-tier กรอก'!BR51,'📝 Four-tier กรอก'!BS75="Y"),"✅ Sound",IF(AND('📝 Four-tier กรอก'!BP75='📝 Four-tier กรอก'!BP51,'📝 Four-tier กรอก'!BQ75="Y",'📝 Four-tier กรอก'!BR75&lt;&gt;'📝 Four-tier กรอก'!BR51,'📝 Four-tier กรอก'!BS75="Y"),"🎲 Guess",IF(AND('📝 Four-tier กรอก'!BP75&lt;&gt;'📝 Four-tier กรอก'!BP51,'📝 Four-tier กรอก'!BQ75="Y",'📝 Four-tier กรอก'!BR75&lt;&gt;'📝 Four-tier กรอก'!BR51,'📝 Four-tier กรอก'!BS75="Y"),"❌ Misc.",IF(AND('📝 Four-tier กรอก'!BP75&lt;&gt;'📝 Four-tier กรอก'!BP51,'📝 Four-tier กรอก'!BQ75="N",'📝 Four-tier กรอก'!BR75&lt;&gt;'📝 Four-tier กรอก'!BR51,'📝 Four-tier กรอก'!BS75="N"),"❓ NoK","🤔 Partial")))))</f>
        <v/>
      </c>
      <c r="U74" s="68">
        <f>IF(OR('📝 Four-tier กรอก'!BT75="",'📝 Four-tier กรอก'!BV75=""),"—",IF(AND('📝 Four-tier กรอก'!BT75='📝 Four-tier กรอก'!BT51,'📝 Four-tier กรอก'!BU75="Y",'📝 Four-tier กรอก'!BV75='📝 Four-tier กรอก'!BV51,'📝 Four-tier กรอก'!BW75="Y"),"✅ Sound",IF(AND('📝 Four-tier กรอก'!BT75='📝 Four-tier กรอก'!BT51,'📝 Four-tier กรอก'!BU75="Y",'📝 Four-tier กรอก'!BV75&lt;&gt;'📝 Four-tier กรอก'!BV51,'📝 Four-tier กรอก'!BW75="Y"),"🎲 Guess",IF(AND('📝 Four-tier กรอก'!BT75&lt;&gt;'📝 Four-tier กรอก'!BT51,'📝 Four-tier กรอก'!BU75="Y",'📝 Four-tier กรอก'!BV75&lt;&gt;'📝 Four-tier กรอก'!BV51,'📝 Four-tier กรอก'!BW75="Y"),"❌ Misc.",IF(AND('📝 Four-tier กรอก'!BT75&lt;&gt;'📝 Four-tier กรอก'!BT51,'📝 Four-tier กรอก'!BU75="N",'📝 Four-tier กรอก'!BV75&lt;&gt;'📝 Four-tier กรอก'!BV51,'📝 Four-tier กรอก'!BW75="N"),"❓ NoK","🤔 Partial")))))</f>
        <v/>
      </c>
      <c r="V74" s="68">
        <f>IF(OR('📝 Four-tier กรอก'!BX75="",'📝 Four-tier กรอก'!BZ75=""),"—",IF(AND('📝 Four-tier กรอก'!BX75='📝 Four-tier กรอก'!BX51,'📝 Four-tier กรอก'!BY75="Y",'📝 Four-tier กรอก'!BZ75='📝 Four-tier กรอก'!BZ51,'📝 Four-tier กรอก'!CA75="Y"),"✅ Sound",IF(AND('📝 Four-tier กรอก'!BX75='📝 Four-tier กรอก'!BX51,'📝 Four-tier กรอก'!BY75="Y",'📝 Four-tier กรอก'!BZ75&lt;&gt;'📝 Four-tier กรอก'!BZ51,'📝 Four-tier กรอก'!CA75="Y"),"🎲 Guess",IF(AND('📝 Four-tier กรอก'!BX75&lt;&gt;'📝 Four-tier กรอก'!BX51,'📝 Four-tier กรอก'!BY75="Y",'📝 Four-tier กรอก'!BZ75&lt;&gt;'📝 Four-tier กรอก'!BZ51,'📝 Four-tier กรอก'!CA75="Y"),"❌ Misc.",IF(AND('📝 Four-tier กรอก'!BX75&lt;&gt;'📝 Four-tier กรอก'!BX51,'📝 Four-tier กรอก'!BY75="N",'📝 Four-tier กรอก'!BZ75&lt;&gt;'📝 Four-tier กรอก'!BZ51,'📝 Four-tier กรอก'!CA75="N"),"❓ NoK","🤔 Partial")))))</f>
        <v/>
      </c>
      <c r="W74" s="68">
        <f>IF(OR('📝 Four-tier กรอก'!CB75="",'📝 Four-tier กรอก'!CD75=""),"—",IF(AND('📝 Four-tier กรอก'!CB75='📝 Four-tier กรอก'!CB51,'📝 Four-tier กรอก'!CC75="Y",'📝 Four-tier กรอก'!CD75='📝 Four-tier กรอก'!CD51,'📝 Four-tier กรอก'!CE75="Y"),"✅ Sound",IF(AND('📝 Four-tier กรอก'!CB75='📝 Four-tier กรอก'!CB51,'📝 Four-tier กรอก'!CC75="Y",'📝 Four-tier กรอก'!CD75&lt;&gt;'📝 Four-tier กรอก'!CD51,'📝 Four-tier กรอก'!CE75="Y"),"🎲 Guess",IF(AND('📝 Four-tier กรอก'!CB75&lt;&gt;'📝 Four-tier กรอก'!CB51,'📝 Four-tier กรอก'!CC75="Y",'📝 Four-tier กรอก'!CD75&lt;&gt;'📝 Four-tier กรอก'!CD51,'📝 Four-tier กรอก'!CE75="Y"),"❌ Misc.",IF(AND('📝 Four-tier กรอก'!CB75&lt;&gt;'📝 Four-tier กรอก'!CB51,'📝 Four-tier กรอก'!CC75="N",'📝 Four-tier กรอก'!CD75&lt;&gt;'📝 Four-tier กรอก'!CD51,'📝 Four-tier กรอก'!CE75="N"),"❓ NoK","🤔 Partial")))))</f>
        <v/>
      </c>
      <c r="X74" s="37">
        <f>COUNTIF(D74:W74,"✅ Sound")</f>
        <v/>
      </c>
      <c r="Y74" s="37">
        <f>COUNTIF(D74:W74,"❌ Misc.")</f>
        <v/>
      </c>
      <c r="Z74" s="37">
        <f>COUNTIF(D74:W74,"🎲 Guess")</f>
        <v/>
      </c>
      <c r="AA74" s="37">
        <f>COUNTIF(D74:W74,"❓ NoK")</f>
        <v/>
      </c>
    </row>
    <row r="75" ht="18" customHeight="1">
      <c r="B75" s="46">
        <f>'📝 Four-tier กรอก'!B76</f>
        <v/>
      </c>
      <c r="C75" s="47">
        <f>'📝 Four-tier กรอก'!C76</f>
        <v/>
      </c>
      <c r="D75" s="67">
        <f>IF(OR('📝 Four-tier กรอก'!D76="",'📝 Four-tier กรอก'!F76=""),"—",IF(AND('📝 Four-tier กรอก'!D76='📝 Four-tier กรอก'!D51,'📝 Four-tier กรอก'!E76="Y",'📝 Four-tier กรอก'!F76='📝 Four-tier กรอก'!F51,'📝 Four-tier กรอก'!G76="Y"),"✅ Sound",IF(AND('📝 Four-tier กรอก'!D76='📝 Four-tier กรอก'!D51,'📝 Four-tier กรอก'!E76="Y",'📝 Four-tier กรอก'!F76&lt;&gt;'📝 Four-tier กรอก'!F51,'📝 Four-tier กรอก'!G76="Y"),"🎲 Guess",IF(AND('📝 Four-tier กรอก'!D76&lt;&gt;'📝 Four-tier กรอก'!D51,'📝 Four-tier กรอก'!E76="Y",'📝 Four-tier กรอก'!F76&lt;&gt;'📝 Four-tier กรอก'!F51,'📝 Four-tier กรอก'!G76="Y"),"❌ Misc.",IF(AND('📝 Four-tier กรอก'!D76&lt;&gt;'📝 Four-tier กรอก'!D51,'📝 Four-tier กรอก'!E76="N",'📝 Four-tier กรอก'!F76&lt;&gt;'📝 Four-tier กรอก'!F51,'📝 Four-tier กรอก'!G76="N"),"❓ NoK","🤔 Partial")))))</f>
        <v/>
      </c>
      <c r="E75" s="67">
        <f>IF(OR('📝 Four-tier กรอก'!H76="",'📝 Four-tier กรอก'!J76=""),"—",IF(AND('📝 Four-tier กรอก'!H76='📝 Four-tier กรอก'!H51,'📝 Four-tier กรอก'!I76="Y",'📝 Four-tier กรอก'!J76='📝 Four-tier กรอก'!J51,'📝 Four-tier กรอก'!K76="Y"),"✅ Sound",IF(AND('📝 Four-tier กรอก'!H76='📝 Four-tier กรอก'!H51,'📝 Four-tier กรอก'!I76="Y",'📝 Four-tier กรอก'!J76&lt;&gt;'📝 Four-tier กรอก'!J51,'📝 Four-tier กรอก'!K76="Y"),"🎲 Guess",IF(AND('📝 Four-tier กรอก'!H76&lt;&gt;'📝 Four-tier กรอก'!H51,'📝 Four-tier กรอก'!I76="Y",'📝 Four-tier กรอก'!J76&lt;&gt;'📝 Four-tier กรอก'!J51,'📝 Four-tier กรอก'!K76="Y"),"❌ Misc.",IF(AND('📝 Four-tier กรอก'!H76&lt;&gt;'📝 Four-tier กรอก'!H51,'📝 Four-tier กรอก'!I76="N",'📝 Four-tier กรอก'!J76&lt;&gt;'📝 Four-tier กรอก'!J51,'📝 Four-tier กรอก'!K76="N"),"❓ NoK","🤔 Partial")))))</f>
        <v/>
      </c>
      <c r="F75" s="67">
        <f>IF(OR('📝 Four-tier กรอก'!L76="",'📝 Four-tier กรอก'!N76=""),"—",IF(AND('📝 Four-tier กรอก'!L76='📝 Four-tier กรอก'!L51,'📝 Four-tier กรอก'!M76="Y",'📝 Four-tier กรอก'!N76='📝 Four-tier กรอก'!N51,'📝 Four-tier กรอก'!O76="Y"),"✅ Sound",IF(AND('📝 Four-tier กรอก'!L76='📝 Four-tier กรอก'!L51,'📝 Four-tier กรอก'!M76="Y",'📝 Four-tier กรอก'!N76&lt;&gt;'📝 Four-tier กรอก'!N51,'📝 Four-tier กรอก'!O76="Y"),"🎲 Guess",IF(AND('📝 Four-tier กรอก'!L76&lt;&gt;'📝 Four-tier กรอก'!L51,'📝 Four-tier กรอก'!M76="Y",'📝 Four-tier กรอก'!N76&lt;&gt;'📝 Four-tier กรอก'!N51,'📝 Four-tier กรอก'!O76="Y"),"❌ Misc.",IF(AND('📝 Four-tier กรอก'!L76&lt;&gt;'📝 Four-tier กรอก'!L51,'📝 Four-tier กรอก'!M76="N",'📝 Four-tier กรอก'!N76&lt;&gt;'📝 Four-tier กรอก'!N51,'📝 Four-tier กรอก'!O76="N"),"❓ NoK","🤔 Partial")))))</f>
        <v/>
      </c>
      <c r="G75" s="67">
        <f>IF(OR('📝 Four-tier กรอก'!P76="",'📝 Four-tier กรอก'!R76=""),"—",IF(AND('📝 Four-tier กรอก'!P76='📝 Four-tier กรอก'!P51,'📝 Four-tier กรอก'!Q76="Y",'📝 Four-tier กรอก'!R76='📝 Four-tier กรอก'!R51,'📝 Four-tier กรอก'!S76="Y"),"✅ Sound",IF(AND('📝 Four-tier กรอก'!P76='📝 Four-tier กรอก'!P51,'📝 Four-tier กรอก'!Q76="Y",'📝 Four-tier กรอก'!R76&lt;&gt;'📝 Four-tier กรอก'!R51,'📝 Four-tier กรอก'!S76="Y"),"🎲 Guess",IF(AND('📝 Four-tier กรอก'!P76&lt;&gt;'📝 Four-tier กรอก'!P51,'📝 Four-tier กรอก'!Q76="Y",'📝 Four-tier กรอก'!R76&lt;&gt;'📝 Four-tier กรอก'!R51,'📝 Four-tier กรอก'!S76="Y"),"❌ Misc.",IF(AND('📝 Four-tier กรอก'!P76&lt;&gt;'📝 Four-tier กรอก'!P51,'📝 Four-tier กรอก'!Q76="N",'📝 Four-tier กรอก'!R76&lt;&gt;'📝 Four-tier กรอก'!R51,'📝 Four-tier กรอก'!S76="N"),"❓ NoK","🤔 Partial")))))</f>
        <v/>
      </c>
      <c r="H75" s="67">
        <f>IF(OR('📝 Four-tier กรอก'!T76="",'📝 Four-tier กรอก'!V76=""),"—",IF(AND('📝 Four-tier กรอก'!T76='📝 Four-tier กรอก'!T51,'📝 Four-tier กรอก'!U76="Y",'📝 Four-tier กรอก'!V76='📝 Four-tier กรอก'!V51,'📝 Four-tier กรอก'!W76="Y"),"✅ Sound",IF(AND('📝 Four-tier กรอก'!T76='📝 Four-tier กรอก'!T51,'📝 Four-tier กรอก'!U76="Y",'📝 Four-tier กรอก'!V76&lt;&gt;'📝 Four-tier กรอก'!V51,'📝 Four-tier กรอก'!W76="Y"),"🎲 Guess",IF(AND('📝 Four-tier กรอก'!T76&lt;&gt;'📝 Four-tier กรอก'!T51,'📝 Four-tier กรอก'!U76="Y",'📝 Four-tier กรอก'!V76&lt;&gt;'📝 Four-tier กรอก'!V51,'📝 Four-tier กรอก'!W76="Y"),"❌ Misc.",IF(AND('📝 Four-tier กรอก'!T76&lt;&gt;'📝 Four-tier กรอก'!T51,'📝 Four-tier กรอก'!U76="N",'📝 Four-tier กรอก'!V76&lt;&gt;'📝 Four-tier กรอก'!V51,'📝 Four-tier กรอก'!W76="N"),"❓ NoK","🤔 Partial")))))</f>
        <v/>
      </c>
      <c r="I75" s="67">
        <f>IF(OR('📝 Four-tier กรอก'!X76="",'📝 Four-tier กรอก'!Z76=""),"—",IF(AND('📝 Four-tier กรอก'!X76='📝 Four-tier กรอก'!X51,'📝 Four-tier กรอก'!Y76="Y",'📝 Four-tier กรอก'!Z76='📝 Four-tier กรอก'!Z51,'📝 Four-tier กรอก'!AA76="Y"),"✅ Sound",IF(AND('📝 Four-tier กรอก'!X76='📝 Four-tier กรอก'!X51,'📝 Four-tier กรอก'!Y76="Y",'📝 Four-tier กรอก'!Z76&lt;&gt;'📝 Four-tier กรอก'!Z51,'📝 Four-tier กรอก'!AA76="Y"),"🎲 Guess",IF(AND('📝 Four-tier กรอก'!X76&lt;&gt;'📝 Four-tier กรอก'!X51,'📝 Four-tier กรอก'!Y76="Y",'📝 Four-tier กรอก'!Z76&lt;&gt;'📝 Four-tier กรอก'!Z51,'📝 Four-tier กรอก'!AA76="Y"),"❌ Misc.",IF(AND('📝 Four-tier กรอก'!X76&lt;&gt;'📝 Four-tier กรอก'!X51,'📝 Four-tier กรอก'!Y76="N",'📝 Four-tier กรอก'!Z76&lt;&gt;'📝 Four-tier กรอก'!Z51,'📝 Four-tier กรอก'!AA76="N"),"❓ NoK","🤔 Partial")))))</f>
        <v/>
      </c>
      <c r="J75" s="67">
        <f>IF(OR('📝 Four-tier กรอก'!AB76="",'📝 Four-tier กรอก'!AD76=""),"—",IF(AND('📝 Four-tier กรอก'!AB76='📝 Four-tier กรอก'!AB51,'📝 Four-tier กรอก'!AC76="Y",'📝 Four-tier กรอก'!AD76='📝 Four-tier กรอก'!AD51,'📝 Four-tier กรอก'!AE76="Y"),"✅ Sound",IF(AND('📝 Four-tier กรอก'!AB76='📝 Four-tier กรอก'!AB51,'📝 Four-tier กรอก'!AC76="Y",'📝 Four-tier กรอก'!AD76&lt;&gt;'📝 Four-tier กรอก'!AD51,'📝 Four-tier กรอก'!AE76="Y"),"🎲 Guess",IF(AND('📝 Four-tier กรอก'!AB76&lt;&gt;'📝 Four-tier กรอก'!AB51,'📝 Four-tier กรอก'!AC76="Y",'📝 Four-tier กรอก'!AD76&lt;&gt;'📝 Four-tier กรอก'!AD51,'📝 Four-tier กรอก'!AE76="Y"),"❌ Misc.",IF(AND('📝 Four-tier กรอก'!AB76&lt;&gt;'📝 Four-tier กรอก'!AB51,'📝 Four-tier กรอก'!AC76="N",'📝 Four-tier กรอก'!AD76&lt;&gt;'📝 Four-tier กรอก'!AD51,'📝 Four-tier กรอก'!AE76="N"),"❓ NoK","🤔 Partial")))))</f>
        <v/>
      </c>
      <c r="K75" s="67">
        <f>IF(OR('📝 Four-tier กรอก'!AF76="",'📝 Four-tier กรอก'!AH76=""),"—",IF(AND('📝 Four-tier กรอก'!AF76='📝 Four-tier กรอก'!AF51,'📝 Four-tier กรอก'!AG76="Y",'📝 Four-tier กรอก'!AH76='📝 Four-tier กรอก'!AH51,'📝 Four-tier กรอก'!AI76="Y"),"✅ Sound",IF(AND('📝 Four-tier กรอก'!AF76='📝 Four-tier กรอก'!AF51,'📝 Four-tier กรอก'!AG76="Y",'📝 Four-tier กรอก'!AH76&lt;&gt;'📝 Four-tier กรอก'!AH51,'📝 Four-tier กรอก'!AI76="Y"),"🎲 Guess",IF(AND('📝 Four-tier กรอก'!AF76&lt;&gt;'📝 Four-tier กรอก'!AF51,'📝 Four-tier กรอก'!AG76="Y",'📝 Four-tier กรอก'!AH76&lt;&gt;'📝 Four-tier กรอก'!AH51,'📝 Four-tier กรอก'!AI76="Y"),"❌ Misc.",IF(AND('📝 Four-tier กรอก'!AF76&lt;&gt;'📝 Four-tier กรอก'!AF51,'📝 Four-tier กรอก'!AG76="N",'📝 Four-tier กรอก'!AH76&lt;&gt;'📝 Four-tier กรอก'!AH51,'📝 Four-tier กรอก'!AI76="N"),"❓ NoK","🤔 Partial")))))</f>
        <v/>
      </c>
      <c r="L75" s="67">
        <f>IF(OR('📝 Four-tier กรอก'!AJ76="",'📝 Four-tier กรอก'!AL76=""),"—",IF(AND('📝 Four-tier กรอก'!AJ76='📝 Four-tier กรอก'!AJ51,'📝 Four-tier กรอก'!AK76="Y",'📝 Four-tier กรอก'!AL76='📝 Four-tier กรอก'!AL51,'📝 Four-tier กรอก'!AM76="Y"),"✅ Sound",IF(AND('📝 Four-tier กรอก'!AJ76='📝 Four-tier กรอก'!AJ51,'📝 Four-tier กรอก'!AK76="Y",'📝 Four-tier กรอก'!AL76&lt;&gt;'📝 Four-tier กรอก'!AL51,'📝 Four-tier กรอก'!AM76="Y"),"🎲 Guess",IF(AND('📝 Four-tier กรอก'!AJ76&lt;&gt;'📝 Four-tier กรอก'!AJ51,'📝 Four-tier กรอก'!AK76="Y",'📝 Four-tier กรอก'!AL76&lt;&gt;'📝 Four-tier กรอก'!AL51,'📝 Four-tier กรอก'!AM76="Y"),"❌ Misc.",IF(AND('📝 Four-tier กรอก'!AJ76&lt;&gt;'📝 Four-tier กรอก'!AJ51,'📝 Four-tier กรอก'!AK76="N",'📝 Four-tier กรอก'!AL76&lt;&gt;'📝 Four-tier กรอก'!AL51,'📝 Four-tier กรอก'!AM76="N"),"❓ NoK","🤔 Partial")))))</f>
        <v/>
      </c>
      <c r="M75" s="67">
        <f>IF(OR('📝 Four-tier กรอก'!AN76="",'📝 Four-tier กรอก'!AP76=""),"—",IF(AND('📝 Four-tier กรอก'!AN76='📝 Four-tier กรอก'!AN51,'📝 Four-tier กรอก'!AO76="Y",'📝 Four-tier กรอก'!AP76='📝 Four-tier กรอก'!AP51,'📝 Four-tier กรอก'!AQ76="Y"),"✅ Sound",IF(AND('📝 Four-tier กรอก'!AN76='📝 Four-tier กรอก'!AN51,'📝 Four-tier กรอก'!AO76="Y",'📝 Four-tier กรอก'!AP76&lt;&gt;'📝 Four-tier กรอก'!AP51,'📝 Four-tier กรอก'!AQ76="Y"),"🎲 Guess",IF(AND('📝 Four-tier กรอก'!AN76&lt;&gt;'📝 Four-tier กรอก'!AN51,'📝 Four-tier กรอก'!AO76="Y",'📝 Four-tier กรอก'!AP76&lt;&gt;'📝 Four-tier กรอก'!AP51,'📝 Four-tier กรอก'!AQ76="Y"),"❌ Misc.",IF(AND('📝 Four-tier กรอก'!AN76&lt;&gt;'📝 Four-tier กรอก'!AN51,'📝 Four-tier กรอก'!AO76="N",'📝 Four-tier กรอก'!AP76&lt;&gt;'📝 Four-tier กรอก'!AP51,'📝 Four-tier กรอก'!AQ76="N"),"❓ NoK","🤔 Partial")))))</f>
        <v/>
      </c>
      <c r="N75" s="67">
        <f>IF(OR('📝 Four-tier กรอก'!AR76="",'📝 Four-tier กรอก'!AT76=""),"—",IF(AND('📝 Four-tier กรอก'!AR76='📝 Four-tier กรอก'!AR51,'📝 Four-tier กรอก'!AS76="Y",'📝 Four-tier กรอก'!AT76='📝 Four-tier กรอก'!AT51,'📝 Four-tier กรอก'!AU76="Y"),"✅ Sound",IF(AND('📝 Four-tier กรอก'!AR76='📝 Four-tier กรอก'!AR51,'📝 Four-tier กรอก'!AS76="Y",'📝 Four-tier กรอก'!AT76&lt;&gt;'📝 Four-tier กรอก'!AT51,'📝 Four-tier กรอก'!AU76="Y"),"🎲 Guess",IF(AND('📝 Four-tier กรอก'!AR76&lt;&gt;'📝 Four-tier กรอก'!AR51,'📝 Four-tier กรอก'!AS76="Y",'📝 Four-tier กรอก'!AT76&lt;&gt;'📝 Four-tier กรอก'!AT51,'📝 Four-tier กรอก'!AU76="Y"),"❌ Misc.",IF(AND('📝 Four-tier กรอก'!AR76&lt;&gt;'📝 Four-tier กรอก'!AR51,'📝 Four-tier กรอก'!AS76="N",'📝 Four-tier กรอก'!AT76&lt;&gt;'📝 Four-tier กรอก'!AT51,'📝 Four-tier กรอก'!AU76="N"),"❓ NoK","🤔 Partial")))))</f>
        <v/>
      </c>
      <c r="O75" s="67">
        <f>IF(OR('📝 Four-tier กรอก'!AV76="",'📝 Four-tier กรอก'!AX76=""),"—",IF(AND('📝 Four-tier กรอก'!AV76='📝 Four-tier กรอก'!AV51,'📝 Four-tier กรอก'!AW76="Y",'📝 Four-tier กรอก'!AX76='📝 Four-tier กรอก'!AX51,'📝 Four-tier กรอก'!AY76="Y"),"✅ Sound",IF(AND('📝 Four-tier กรอก'!AV76='📝 Four-tier กรอก'!AV51,'📝 Four-tier กรอก'!AW76="Y",'📝 Four-tier กรอก'!AX76&lt;&gt;'📝 Four-tier กรอก'!AX51,'📝 Four-tier กรอก'!AY76="Y"),"🎲 Guess",IF(AND('📝 Four-tier กรอก'!AV76&lt;&gt;'📝 Four-tier กรอก'!AV51,'📝 Four-tier กรอก'!AW76="Y",'📝 Four-tier กรอก'!AX76&lt;&gt;'📝 Four-tier กรอก'!AX51,'📝 Four-tier กรอก'!AY76="Y"),"❌ Misc.",IF(AND('📝 Four-tier กรอก'!AV76&lt;&gt;'📝 Four-tier กรอก'!AV51,'📝 Four-tier กรอก'!AW76="N",'📝 Four-tier กรอก'!AX76&lt;&gt;'📝 Four-tier กรอก'!AX51,'📝 Four-tier กรอก'!AY76="N"),"❓ NoK","🤔 Partial")))))</f>
        <v/>
      </c>
      <c r="P75" s="67">
        <f>IF(OR('📝 Four-tier กรอก'!AZ76="",'📝 Four-tier กรอก'!BB76=""),"—",IF(AND('📝 Four-tier กรอก'!AZ76='📝 Four-tier กรอก'!AZ51,'📝 Four-tier กรอก'!BA76="Y",'📝 Four-tier กรอก'!BB76='📝 Four-tier กรอก'!BB51,'📝 Four-tier กรอก'!BC76="Y"),"✅ Sound",IF(AND('📝 Four-tier กรอก'!AZ76='📝 Four-tier กรอก'!AZ51,'📝 Four-tier กรอก'!BA76="Y",'📝 Four-tier กรอก'!BB76&lt;&gt;'📝 Four-tier กรอก'!BB51,'📝 Four-tier กรอก'!BC76="Y"),"🎲 Guess",IF(AND('📝 Four-tier กรอก'!AZ76&lt;&gt;'📝 Four-tier กรอก'!AZ51,'📝 Four-tier กรอก'!BA76="Y",'📝 Four-tier กรอก'!BB76&lt;&gt;'📝 Four-tier กรอก'!BB51,'📝 Four-tier กรอก'!BC76="Y"),"❌ Misc.",IF(AND('📝 Four-tier กรอก'!AZ76&lt;&gt;'📝 Four-tier กรอก'!AZ51,'📝 Four-tier กรอก'!BA76="N",'📝 Four-tier กรอก'!BB76&lt;&gt;'📝 Four-tier กรอก'!BB51,'📝 Four-tier กรอก'!BC76="N"),"❓ NoK","🤔 Partial")))))</f>
        <v/>
      </c>
      <c r="Q75" s="67">
        <f>IF(OR('📝 Four-tier กรอก'!BD76="",'📝 Four-tier กรอก'!BF76=""),"—",IF(AND('📝 Four-tier กรอก'!BD76='📝 Four-tier กรอก'!BD51,'📝 Four-tier กรอก'!BE76="Y",'📝 Four-tier กรอก'!BF76='📝 Four-tier กรอก'!BF51,'📝 Four-tier กรอก'!BG76="Y"),"✅ Sound",IF(AND('📝 Four-tier กรอก'!BD76='📝 Four-tier กรอก'!BD51,'📝 Four-tier กรอก'!BE76="Y",'📝 Four-tier กรอก'!BF76&lt;&gt;'📝 Four-tier กรอก'!BF51,'📝 Four-tier กรอก'!BG76="Y"),"🎲 Guess",IF(AND('📝 Four-tier กรอก'!BD76&lt;&gt;'📝 Four-tier กรอก'!BD51,'📝 Four-tier กรอก'!BE76="Y",'📝 Four-tier กรอก'!BF76&lt;&gt;'📝 Four-tier กรอก'!BF51,'📝 Four-tier กรอก'!BG76="Y"),"❌ Misc.",IF(AND('📝 Four-tier กรอก'!BD76&lt;&gt;'📝 Four-tier กรอก'!BD51,'📝 Four-tier กรอก'!BE76="N",'📝 Four-tier กรอก'!BF76&lt;&gt;'📝 Four-tier กรอก'!BF51,'📝 Four-tier กรอก'!BG76="N"),"❓ NoK","🤔 Partial")))))</f>
        <v/>
      </c>
      <c r="R75" s="67">
        <f>IF(OR('📝 Four-tier กรอก'!BH76="",'📝 Four-tier กรอก'!BJ76=""),"—",IF(AND('📝 Four-tier กรอก'!BH76='📝 Four-tier กรอก'!BH51,'📝 Four-tier กรอก'!BI76="Y",'📝 Four-tier กรอก'!BJ76='📝 Four-tier กรอก'!BJ51,'📝 Four-tier กรอก'!BK76="Y"),"✅ Sound",IF(AND('📝 Four-tier กรอก'!BH76='📝 Four-tier กรอก'!BH51,'📝 Four-tier กรอก'!BI76="Y",'📝 Four-tier กรอก'!BJ76&lt;&gt;'📝 Four-tier กรอก'!BJ51,'📝 Four-tier กรอก'!BK76="Y"),"🎲 Guess",IF(AND('📝 Four-tier กรอก'!BH76&lt;&gt;'📝 Four-tier กรอก'!BH51,'📝 Four-tier กรอก'!BI76="Y",'📝 Four-tier กรอก'!BJ76&lt;&gt;'📝 Four-tier กรอก'!BJ51,'📝 Four-tier กรอก'!BK76="Y"),"❌ Misc.",IF(AND('📝 Four-tier กรอก'!BH76&lt;&gt;'📝 Four-tier กรอก'!BH51,'📝 Four-tier กรอก'!BI76="N",'📝 Four-tier กรอก'!BJ76&lt;&gt;'📝 Four-tier กรอก'!BJ51,'📝 Four-tier กรอก'!BK76="N"),"❓ NoK","🤔 Partial")))))</f>
        <v/>
      </c>
      <c r="S75" s="67">
        <f>IF(OR('📝 Four-tier กรอก'!BL76="",'📝 Four-tier กรอก'!BN76=""),"—",IF(AND('📝 Four-tier กรอก'!BL76='📝 Four-tier กรอก'!BL51,'📝 Four-tier กรอก'!BM76="Y",'📝 Four-tier กรอก'!BN76='📝 Four-tier กรอก'!BN51,'📝 Four-tier กรอก'!BO76="Y"),"✅ Sound",IF(AND('📝 Four-tier กรอก'!BL76='📝 Four-tier กรอก'!BL51,'📝 Four-tier กรอก'!BM76="Y",'📝 Four-tier กรอก'!BN76&lt;&gt;'📝 Four-tier กรอก'!BN51,'📝 Four-tier กรอก'!BO76="Y"),"🎲 Guess",IF(AND('📝 Four-tier กรอก'!BL76&lt;&gt;'📝 Four-tier กรอก'!BL51,'📝 Four-tier กรอก'!BM76="Y",'📝 Four-tier กรอก'!BN76&lt;&gt;'📝 Four-tier กรอก'!BN51,'📝 Four-tier กรอก'!BO76="Y"),"❌ Misc.",IF(AND('📝 Four-tier กรอก'!BL76&lt;&gt;'📝 Four-tier กรอก'!BL51,'📝 Four-tier กรอก'!BM76="N",'📝 Four-tier กรอก'!BN76&lt;&gt;'📝 Four-tier กรอก'!BN51,'📝 Four-tier กรอก'!BO76="N"),"❓ NoK","🤔 Partial")))))</f>
        <v/>
      </c>
      <c r="T75" s="67">
        <f>IF(OR('📝 Four-tier กรอก'!BP76="",'📝 Four-tier กรอก'!BR76=""),"—",IF(AND('📝 Four-tier กรอก'!BP76='📝 Four-tier กรอก'!BP51,'📝 Four-tier กรอก'!BQ76="Y",'📝 Four-tier กรอก'!BR76='📝 Four-tier กรอก'!BR51,'📝 Four-tier กรอก'!BS76="Y"),"✅ Sound",IF(AND('📝 Four-tier กรอก'!BP76='📝 Four-tier กรอก'!BP51,'📝 Four-tier กรอก'!BQ76="Y",'📝 Four-tier กรอก'!BR76&lt;&gt;'📝 Four-tier กรอก'!BR51,'📝 Four-tier กรอก'!BS76="Y"),"🎲 Guess",IF(AND('📝 Four-tier กรอก'!BP76&lt;&gt;'📝 Four-tier กรอก'!BP51,'📝 Four-tier กรอก'!BQ76="Y",'📝 Four-tier กรอก'!BR76&lt;&gt;'📝 Four-tier กรอก'!BR51,'📝 Four-tier กรอก'!BS76="Y"),"❌ Misc.",IF(AND('📝 Four-tier กรอก'!BP76&lt;&gt;'📝 Four-tier กรอก'!BP51,'📝 Four-tier กรอก'!BQ76="N",'📝 Four-tier กรอก'!BR76&lt;&gt;'📝 Four-tier กรอก'!BR51,'📝 Four-tier กรอก'!BS76="N"),"❓ NoK","🤔 Partial")))))</f>
        <v/>
      </c>
      <c r="U75" s="67">
        <f>IF(OR('📝 Four-tier กรอก'!BT76="",'📝 Four-tier กรอก'!BV76=""),"—",IF(AND('📝 Four-tier กรอก'!BT76='📝 Four-tier กรอก'!BT51,'📝 Four-tier กรอก'!BU76="Y",'📝 Four-tier กรอก'!BV76='📝 Four-tier กรอก'!BV51,'📝 Four-tier กรอก'!BW76="Y"),"✅ Sound",IF(AND('📝 Four-tier กรอก'!BT76='📝 Four-tier กรอก'!BT51,'📝 Four-tier กรอก'!BU76="Y",'📝 Four-tier กรอก'!BV76&lt;&gt;'📝 Four-tier กรอก'!BV51,'📝 Four-tier กรอก'!BW76="Y"),"🎲 Guess",IF(AND('📝 Four-tier กรอก'!BT76&lt;&gt;'📝 Four-tier กรอก'!BT51,'📝 Four-tier กรอก'!BU76="Y",'📝 Four-tier กรอก'!BV76&lt;&gt;'📝 Four-tier กรอก'!BV51,'📝 Four-tier กรอก'!BW76="Y"),"❌ Misc.",IF(AND('📝 Four-tier กรอก'!BT76&lt;&gt;'📝 Four-tier กรอก'!BT51,'📝 Four-tier กรอก'!BU76="N",'📝 Four-tier กรอก'!BV76&lt;&gt;'📝 Four-tier กรอก'!BV51,'📝 Four-tier กรอก'!BW76="N"),"❓ NoK","🤔 Partial")))))</f>
        <v/>
      </c>
      <c r="V75" s="67">
        <f>IF(OR('📝 Four-tier กรอก'!BX76="",'📝 Four-tier กรอก'!BZ76=""),"—",IF(AND('📝 Four-tier กรอก'!BX76='📝 Four-tier กรอก'!BX51,'📝 Four-tier กรอก'!BY76="Y",'📝 Four-tier กรอก'!BZ76='📝 Four-tier กรอก'!BZ51,'📝 Four-tier กรอก'!CA76="Y"),"✅ Sound",IF(AND('📝 Four-tier กรอก'!BX76='📝 Four-tier กรอก'!BX51,'📝 Four-tier กรอก'!BY76="Y",'📝 Four-tier กรอก'!BZ76&lt;&gt;'📝 Four-tier กรอก'!BZ51,'📝 Four-tier กรอก'!CA76="Y"),"🎲 Guess",IF(AND('📝 Four-tier กรอก'!BX76&lt;&gt;'📝 Four-tier กรอก'!BX51,'📝 Four-tier กรอก'!BY76="Y",'📝 Four-tier กรอก'!BZ76&lt;&gt;'📝 Four-tier กรอก'!BZ51,'📝 Four-tier กรอก'!CA76="Y"),"❌ Misc.",IF(AND('📝 Four-tier กรอก'!BX76&lt;&gt;'📝 Four-tier กรอก'!BX51,'📝 Four-tier กรอก'!BY76="N",'📝 Four-tier กรอก'!BZ76&lt;&gt;'📝 Four-tier กรอก'!BZ51,'📝 Four-tier กรอก'!CA76="N"),"❓ NoK","🤔 Partial")))))</f>
        <v/>
      </c>
      <c r="W75" s="67">
        <f>IF(OR('📝 Four-tier กรอก'!CB76="",'📝 Four-tier กรอก'!CD76=""),"—",IF(AND('📝 Four-tier กรอก'!CB76='📝 Four-tier กรอก'!CB51,'📝 Four-tier กรอก'!CC76="Y",'📝 Four-tier กรอก'!CD76='📝 Four-tier กรอก'!CD51,'📝 Four-tier กรอก'!CE76="Y"),"✅ Sound",IF(AND('📝 Four-tier กรอก'!CB76='📝 Four-tier กรอก'!CB51,'📝 Four-tier กรอก'!CC76="Y",'📝 Four-tier กรอก'!CD76&lt;&gt;'📝 Four-tier กรอก'!CD51,'📝 Four-tier กรอก'!CE76="Y"),"🎲 Guess",IF(AND('📝 Four-tier กรอก'!CB76&lt;&gt;'📝 Four-tier กรอก'!CB51,'📝 Four-tier กรอก'!CC76="Y",'📝 Four-tier กรอก'!CD76&lt;&gt;'📝 Four-tier กรอก'!CD51,'📝 Four-tier กรอก'!CE76="Y"),"❌ Misc.",IF(AND('📝 Four-tier กรอก'!CB76&lt;&gt;'📝 Four-tier กรอก'!CB51,'📝 Four-tier กรอก'!CC76="N",'📝 Four-tier กรอก'!CD76&lt;&gt;'📝 Four-tier กรอก'!CD51,'📝 Four-tier กรอก'!CE76="N"),"❓ NoK","🤔 Partial")))))</f>
        <v/>
      </c>
      <c r="X75" s="37">
        <f>COUNTIF(D75:W75,"✅ Sound")</f>
        <v/>
      </c>
      <c r="Y75" s="37">
        <f>COUNTIF(D75:W75,"❌ Misc.")</f>
        <v/>
      </c>
      <c r="Z75" s="37">
        <f>COUNTIF(D75:W75,"🎲 Guess")</f>
        <v/>
      </c>
      <c r="AA75" s="37">
        <f>COUNTIF(D75:W75,"❓ NoK")</f>
        <v/>
      </c>
    </row>
    <row r="76" ht="18" customHeight="1">
      <c r="B76" s="46">
        <f>'📝 Four-tier กรอก'!B77</f>
        <v/>
      </c>
      <c r="C76" s="51">
        <f>'📝 Four-tier กรอก'!C77</f>
        <v/>
      </c>
      <c r="D76" s="68">
        <f>IF(OR('📝 Four-tier กรอก'!D77="",'📝 Four-tier กรอก'!F77=""),"—",IF(AND('📝 Four-tier กรอก'!D77='📝 Four-tier กรอก'!D51,'📝 Four-tier กรอก'!E77="Y",'📝 Four-tier กรอก'!F77='📝 Four-tier กรอก'!F51,'📝 Four-tier กรอก'!G77="Y"),"✅ Sound",IF(AND('📝 Four-tier กรอก'!D77='📝 Four-tier กรอก'!D51,'📝 Four-tier กรอก'!E77="Y",'📝 Four-tier กรอก'!F77&lt;&gt;'📝 Four-tier กรอก'!F51,'📝 Four-tier กรอก'!G77="Y"),"🎲 Guess",IF(AND('📝 Four-tier กรอก'!D77&lt;&gt;'📝 Four-tier กรอก'!D51,'📝 Four-tier กรอก'!E77="Y",'📝 Four-tier กรอก'!F77&lt;&gt;'📝 Four-tier กรอก'!F51,'📝 Four-tier กรอก'!G77="Y"),"❌ Misc.",IF(AND('📝 Four-tier กรอก'!D77&lt;&gt;'📝 Four-tier กรอก'!D51,'📝 Four-tier กรอก'!E77="N",'📝 Four-tier กรอก'!F77&lt;&gt;'📝 Four-tier กรอก'!F51,'📝 Four-tier กรอก'!G77="N"),"❓ NoK","🤔 Partial")))))</f>
        <v/>
      </c>
      <c r="E76" s="68">
        <f>IF(OR('📝 Four-tier กรอก'!H77="",'📝 Four-tier กรอก'!J77=""),"—",IF(AND('📝 Four-tier กรอก'!H77='📝 Four-tier กรอก'!H51,'📝 Four-tier กรอก'!I77="Y",'📝 Four-tier กรอก'!J77='📝 Four-tier กรอก'!J51,'📝 Four-tier กรอก'!K77="Y"),"✅ Sound",IF(AND('📝 Four-tier กรอก'!H77='📝 Four-tier กรอก'!H51,'📝 Four-tier กรอก'!I77="Y",'📝 Four-tier กรอก'!J77&lt;&gt;'📝 Four-tier กรอก'!J51,'📝 Four-tier กรอก'!K77="Y"),"🎲 Guess",IF(AND('📝 Four-tier กรอก'!H77&lt;&gt;'📝 Four-tier กรอก'!H51,'📝 Four-tier กรอก'!I77="Y",'📝 Four-tier กรอก'!J77&lt;&gt;'📝 Four-tier กรอก'!J51,'📝 Four-tier กรอก'!K77="Y"),"❌ Misc.",IF(AND('📝 Four-tier กรอก'!H77&lt;&gt;'📝 Four-tier กรอก'!H51,'📝 Four-tier กรอก'!I77="N",'📝 Four-tier กรอก'!J77&lt;&gt;'📝 Four-tier กรอก'!J51,'📝 Four-tier กรอก'!K77="N"),"❓ NoK","🤔 Partial")))))</f>
        <v/>
      </c>
      <c r="F76" s="68">
        <f>IF(OR('📝 Four-tier กรอก'!L77="",'📝 Four-tier กรอก'!N77=""),"—",IF(AND('📝 Four-tier กรอก'!L77='📝 Four-tier กรอก'!L51,'📝 Four-tier กรอก'!M77="Y",'📝 Four-tier กรอก'!N77='📝 Four-tier กรอก'!N51,'📝 Four-tier กรอก'!O77="Y"),"✅ Sound",IF(AND('📝 Four-tier กรอก'!L77='📝 Four-tier กรอก'!L51,'📝 Four-tier กรอก'!M77="Y",'📝 Four-tier กรอก'!N77&lt;&gt;'📝 Four-tier กรอก'!N51,'📝 Four-tier กรอก'!O77="Y"),"🎲 Guess",IF(AND('📝 Four-tier กรอก'!L77&lt;&gt;'📝 Four-tier กรอก'!L51,'📝 Four-tier กรอก'!M77="Y",'📝 Four-tier กรอก'!N77&lt;&gt;'📝 Four-tier กรอก'!N51,'📝 Four-tier กรอก'!O77="Y"),"❌ Misc.",IF(AND('📝 Four-tier กรอก'!L77&lt;&gt;'📝 Four-tier กรอก'!L51,'📝 Four-tier กรอก'!M77="N",'📝 Four-tier กรอก'!N77&lt;&gt;'📝 Four-tier กรอก'!N51,'📝 Four-tier กรอก'!O77="N"),"❓ NoK","🤔 Partial")))))</f>
        <v/>
      </c>
      <c r="G76" s="68">
        <f>IF(OR('📝 Four-tier กรอก'!P77="",'📝 Four-tier กรอก'!R77=""),"—",IF(AND('📝 Four-tier กรอก'!P77='📝 Four-tier กรอก'!P51,'📝 Four-tier กรอก'!Q77="Y",'📝 Four-tier กรอก'!R77='📝 Four-tier กรอก'!R51,'📝 Four-tier กรอก'!S77="Y"),"✅ Sound",IF(AND('📝 Four-tier กรอก'!P77='📝 Four-tier กรอก'!P51,'📝 Four-tier กรอก'!Q77="Y",'📝 Four-tier กรอก'!R77&lt;&gt;'📝 Four-tier กรอก'!R51,'📝 Four-tier กรอก'!S77="Y"),"🎲 Guess",IF(AND('📝 Four-tier กรอก'!P77&lt;&gt;'📝 Four-tier กรอก'!P51,'📝 Four-tier กรอก'!Q77="Y",'📝 Four-tier กรอก'!R77&lt;&gt;'📝 Four-tier กรอก'!R51,'📝 Four-tier กรอก'!S77="Y"),"❌ Misc.",IF(AND('📝 Four-tier กรอก'!P77&lt;&gt;'📝 Four-tier กรอก'!P51,'📝 Four-tier กรอก'!Q77="N",'📝 Four-tier กรอก'!R77&lt;&gt;'📝 Four-tier กรอก'!R51,'📝 Four-tier กรอก'!S77="N"),"❓ NoK","🤔 Partial")))))</f>
        <v/>
      </c>
      <c r="H76" s="68">
        <f>IF(OR('📝 Four-tier กรอก'!T77="",'📝 Four-tier กรอก'!V77=""),"—",IF(AND('📝 Four-tier กรอก'!T77='📝 Four-tier กรอก'!T51,'📝 Four-tier กรอก'!U77="Y",'📝 Four-tier กรอก'!V77='📝 Four-tier กรอก'!V51,'📝 Four-tier กรอก'!W77="Y"),"✅ Sound",IF(AND('📝 Four-tier กรอก'!T77='📝 Four-tier กรอก'!T51,'📝 Four-tier กรอก'!U77="Y",'📝 Four-tier กรอก'!V77&lt;&gt;'📝 Four-tier กรอก'!V51,'📝 Four-tier กรอก'!W77="Y"),"🎲 Guess",IF(AND('📝 Four-tier กรอก'!T77&lt;&gt;'📝 Four-tier กรอก'!T51,'📝 Four-tier กรอก'!U77="Y",'📝 Four-tier กรอก'!V77&lt;&gt;'📝 Four-tier กรอก'!V51,'📝 Four-tier กรอก'!W77="Y"),"❌ Misc.",IF(AND('📝 Four-tier กรอก'!T77&lt;&gt;'📝 Four-tier กรอก'!T51,'📝 Four-tier กรอก'!U77="N",'📝 Four-tier กรอก'!V77&lt;&gt;'📝 Four-tier กรอก'!V51,'📝 Four-tier กรอก'!W77="N"),"❓ NoK","🤔 Partial")))))</f>
        <v/>
      </c>
      <c r="I76" s="68">
        <f>IF(OR('📝 Four-tier กรอก'!X77="",'📝 Four-tier กรอก'!Z77=""),"—",IF(AND('📝 Four-tier กรอก'!X77='📝 Four-tier กรอก'!X51,'📝 Four-tier กรอก'!Y77="Y",'📝 Four-tier กรอก'!Z77='📝 Four-tier กรอก'!Z51,'📝 Four-tier กรอก'!AA77="Y"),"✅ Sound",IF(AND('📝 Four-tier กรอก'!X77='📝 Four-tier กรอก'!X51,'📝 Four-tier กรอก'!Y77="Y",'📝 Four-tier กรอก'!Z77&lt;&gt;'📝 Four-tier กรอก'!Z51,'📝 Four-tier กรอก'!AA77="Y"),"🎲 Guess",IF(AND('📝 Four-tier กรอก'!X77&lt;&gt;'📝 Four-tier กรอก'!X51,'📝 Four-tier กรอก'!Y77="Y",'📝 Four-tier กรอก'!Z77&lt;&gt;'📝 Four-tier กรอก'!Z51,'📝 Four-tier กรอก'!AA77="Y"),"❌ Misc.",IF(AND('📝 Four-tier กรอก'!X77&lt;&gt;'📝 Four-tier กรอก'!X51,'📝 Four-tier กรอก'!Y77="N",'📝 Four-tier กรอก'!Z77&lt;&gt;'📝 Four-tier กรอก'!Z51,'📝 Four-tier กรอก'!AA77="N"),"❓ NoK","🤔 Partial")))))</f>
        <v/>
      </c>
      <c r="J76" s="68">
        <f>IF(OR('📝 Four-tier กรอก'!AB77="",'📝 Four-tier กรอก'!AD77=""),"—",IF(AND('📝 Four-tier กรอก'!AB77='📝 Four-tier กรอก'!AB51,'📝 Four-tier กรอก'!AC77="Y",'📝 Four-tier กรอก'!AD77='📝 Four-tier กรอก'!AD51,'📝 Four-tier กรอก'!AE77="Y"),"✅ Sound",IF(AND('📝 Four-tier กรอก'!AB77='📝 Four-tier กรอก'!AB51,'📝 Four-tier กรอก'!AC77="Y",'📝 Four-tier กรอก'!AD77&lt;&gt;'📝 Four-tier กรอก'!AD51,'📝 Four-tier กรอก'!AE77="Y"),"🎲 Guess",IF(AND('📝 Four-tier กรอก'!AB77&lt;&gt;'📝 Four-tier กรอก'!AB51,'📝 Four-tier กรอก'!AC77="Y",'📝 Four-tier กรอก'!AD77&lt;&gt;'📝 Four-tier กรอก'!AD51,'📝 Four-tier กรอก'!AE77="Y"),"❌ Misc.",IF(AND('📝 Four-tier กรอก'!AB77&lt;&gt;'📝 Four-tier กรอก'!AB51,'📝 Four-tier กรอก'!AC77="N",'📝 Four-tier กรอก'!AD77&lt;&gt;'📝 Four-tier กรอก'!AD51,'📝 Four-tier กรอก'!AE77="N"),"❓ NoK","🤔 Partial")))))</f>
        <v/>
      </c>
      <c r="K76" s="68">
        <f>IF(OR('📝 Four-tier กรอก'!AF77="",'📝 Four-tier กรอก'!AH77=""),"—",IF(AND('📝 Four-tier กรอก'!AF77='📝 Four-tier กรอก'!AF51,'📝 Four-tier กรอก'!AG77="Y",'📝 Four-tier กรอก'!AH77='📝 Four-tier กรอก'!AH51,'📝 Four-tier กรอก'!AI77="Y"),"✅ Sound",IF(AND('📝 Four-tier กรอก'!AF77='📝 Four-tier กรอก'!AF51,'📝 Four-tier กรอก'!AG77="Y",'📝 Four-tier กรอก'!AH77&lt;&gt;'📝 Four-tier กรอก'!AH51,'📝 Four-tier กรอก'!AI77="Y"),"🎲 Guess",IF(AND('📝 Four-tier กรอก'!AF77&lt;&gt;'📝 Four-tier กรอก'!AF51,'📝 Four-tier กรอก'!AG77="Y",'📝 Four-tier กรอก'!AH77&lt;&gt;'📝 Four-tier กรอก'!AH51,'📝 Four-tier กรอก'!AI77="Y"),"❌ Misc.",IF(AND('📝 Four-tier กรอก'!AF77&lt;&gt;'📝 Four-tier กรอก'!AF51,'📝 Four-tier กรอก'!AG77="N",'📝 Four-tier กรอก'!AH77&lt;&gt;'📝 Four-tier กรอก'!AH51,'📝 Four-tier กรอก'!AI77="N"),"❓ NoK","🤔 Partial")))))</f>
        <v/>
      </c>
      <c r="L76" s="68">
        <f>IF(OR('📝 Four-tier กรอก'!AJ77="",'📝 Four-tier กรอก'!AL77=""),"—",IF(AND('📝 Four-tier กรอก'!AJ77='📝 Four-tier กรอก'!AJ51,'📝 Four-tier กรอก'!AK77="Y",'📝 Four-tier กรอก'!AL77='📝 Four-tier กรอก'!AL51,'📝 Four-tier กรอก'!AM77="Y"),"✅ Sound",IF(AND('📝 Four-tier กรอก'!AJ77='📝 Four-tier กรอก'!AJ51,'📝 Four-tier กรอก'!AK77="Y",'📝 Four-tier กรอก'!AL77&lt;&gt;'📝 Four-tier กรอก'!AL51,'📝 Four-tier กรอก'!AM77="Y"),"🎲 Guess",IF(AND('📝 Four-tier กรอก'!AJ77&lt;&gt;'📝 Four-tier กรอก'!AJ51,'📝 Four-tier กรอก'!AK77="Y",'📝 Four-tier กรอก'!AL77&lt;&gt;'📝 Four-tier กรอก'!AL51,'📝 Four-tier กรอก'!AM77="Y"),"❌ Misc.",IF(AND('📝 Four-tier กรอก'!AJ77&lt;&gt;'📝 Four-tier กรอก'!AJ51,'📝 Four-tier กรอก'!AK77="N",'📝 Four-tier กรอก'!AL77&lt;&gt;'📝 Four-tier กรอก'!AL51,'📝 Four-tier กรอก'!AM77="N"),"❓ NoK","🤔 Partial")))))</f>
        <v/>
      </c>
      <c r="M76" s="68">
        <f>IF(OR('📝 Four-tier กรอก'!AN77="",'📝 Four-tier กรอก'!AP77=""),"—",IF(AND('📝 Four-tier กรอก'!AN77='📝 Four-tier กรอก'!AN51,'📝 Four-tier กรอก'!AO77="Y",'📝 Four-tier กรอก'!AP77='📝 Four-tier กรอก'!AP51,'📝 Four-tier กรอก'!AQ77="Y"),"✅ Sound",IF(AND('📝 Four-tier กรอก'!AN77='📝 Four-tier กรอก'!AN51,'📝 Four-tier กรอก'!AO77="Y",'📝 Four-tier กรอก'!AP77&lt;&gt;'📝 Four-tier กรอก'!AP51,'📝 Four-tier กรอก'!AQ77="Y"),"🎲 Guess",IF(AND('📝 Four-tier กรอก'!AN77&lt;&gt;'📝 Four-tier กรอก'!AN51,'📝 Four-tier กรอก'!AO77="Y",'📝 Four-tier กรอก'!AP77&lt;&gt;'📝 Four-tier กรอก'!AP51,'📝 Four-tier กรอก'!AQ77="Y"),"❌ Misc.",IF(AND('📝 Four-tier กรอก'!AN77&lt;&gt;'📝 Four-tier กรอก'!AN51,'📝 Four-tier กรอก'!AO77="N",'📝 Four-tier กรอก'!AP77&lt;&gt;'📝 Four-tier กรอก'!AP51,'📝 Four-tier กรอก'!AQ77="N"),"❓ NoK","🤔 Partial")))))</f>
        <v/>
      </c>
      <c r="N76" s="68">
        <f>IF(OR('📝 Four-tier กรอก'!AR77="",'📝 Four-tier กรอก'!AT77=""),"—",IF(AND('📝 Four-tier กรอก'!AR77='📝 Four-tier กรอก'!AR51,'📝 Four-tier กรอก'!AS77="Y",'📝 Four-tier กรอก'!AT77='📝 Four-tier กรอก'!AT51,'📝 Four-tier กรอก'!AU77="Y"),"✅ Sound",IF(AND('📝 Four-tier กรอก'!AR77='📝 Four-tier กรอก'!AR51,'📝 Four-tier กรอก'!AS77="Y",'📝 Four-tier กรอก'!AT77&lt;&gt;'📝 Four-tier กรอก'!AT51,'📝 Four-tier กรอก'!AU77="Y"),"🎲 Guess",IF(AND('📝 Four-tier กรอก'!AR77&lt;&gt;'📝 Four-tier กรอก'!AR51,'📝 Four-tier กรอก'!AS77="Y",'📝 Four-tier กรอก'!AT77&lt;&gt;'📝 Four-tier กรอก'!AT51,'📝 Four-tier กรอก'!AU77="Y"),"❌ Misc.",IF(AND('📝 Four-tier กรอก'!AR77&lt;&gt;'📝 Four-tier กรอก'!AR51,'📝 Four-tier กรอก'!AS77="N",'📝 Four-tier กรอก'!AT77&lt;&gt;'📝 Four-tier กรอก'!AT51,'📝 Four-tier กรอก'!AU77="N"),"❓ NoK","🤔 Partial")))))</f>
        <v/>
      </c>
      <c r="O76" s="68">
        <f>IF(OR('📝 Four-tier กรอก'!AV77="",'📝 Four-tier กรอก'!AX77=""),"—",IF(AND('📝 Four-tier กรอก'!AV77='📝 Four-tier กรอก'!AV51,'📝 Four-tier กรอก'!AW77="Y",'📝 Four-tier กรอก'!AX77='📝 Four-tier กรอก'!AX51,'📝 Four-tier กรอก'!AY77="Y"),"✅ Sound",IF(AND('📝 Four-tier กรอก'!AV77='📝 Four-tier กรอก'!AV51,'📝 Four-tier กรอก'!AW77="Y",'📝 Four-tier กรอก'!AX77&lt;&gt;'📝 Four-tier กรอก'!AX51,'📝 Four-tier กรอก'!AY77="Y"),"🎲 Guess",IF(AND('📝 Four-tier กรอก'!AV77&lt;&gt;'📝 Four-tier กรอก'!AV51,'📝 Four-tier กรอก'!AW77="Y",'📝 Four-tier กรอก'!AX77&lt;&gt;'📝 Four-tier กรอก'!AX51,'📝 Four-tier กรอก'!AY77="Y"),"❌ Misc.",IF(AND('📝 Four-tier กรอก'!AV77&lt;&gt;'📝 Four-tier กรอก'!AV51,'📝 Four-tier กรอก'!AW77="N",'📝 Four-tier กรอก'!AX77&lt;&gt;'📝 Four-tier กรอก'!AX51,'📝 Four-tier กรอก'!AY77="N"),"❓ NoK","🤔 Partial")))))</f>
        <v/>
      </c>
      <c r="P76" s="68">
        <f>IF(OR('📝 Four-tier กรอก'!AZ77="",'📝 Four-tier กรอก'!BB77=""),"—",IF(AND('📝 Four-tier กรอก'!AZ77='📝 Four-tier กรอก'!AZ51,'📝 Four-tier กรอก'!BA77="Y",'📝 Four-tier กรอก'!BB77='📝 Four-tier กรอก'!BB51,'📝 Four-tier กรอก'!BC77="Y"),"✅ Sound",IF(AND('📝 Four-tier กรอก'!AZ77='📝 Four-tier กรอก'!AZ51,'📝 Four-tier กรอก'!BA77="Y",'📝 Four-tier กรอก'!BB77&lt;&gt;'📝 Four-tier กรอก'!BB51,'📝 Four-tier กรอก'!BC77="Y"),"🎲 Guess",IF(AND('📝 Four-tier กรอก'!AZ77&lt;&gt;'📝 Four-tier กรอก'!AZ51,'📝 Four-tier กรอก'!BA77="Y",'📝 Four-tier กรอก'!BB77&lt;&gt;'📝 Four-tier กรอก'!BB51,'📝 Four-tier กรอก'!BC77="Y"),"❌ Misc.",IF(AND('📝 Four-tier กรอก'!AZ77&lt;&gt;'📝 Four-tier กรอก'!AZ51,'📝 Four-tier กรอก'!BA77="N",'📝 Four-tier กรอก'!BB77&lt;&gt;'📝 Four-tier กรอก'!BB51,'📝 Four-tier กรอก'!BC77="N"),"❓ NoK","🤔 Partial")))))</f>
        <v/>
      </c>
      <c r="Q76" s="68">
        <f>IF(OR('📝 Four-tier กรอก'!BD77="",'📝 Four-tier กรอก'!BF77=""),"—",IF(AND('📝 Four-tier กรอก'!BD77='📝 Four-tier กรอก'!BD51,'📝 Four-tier กรอก'!BE77="Y",'📝 Four-tier กรอก'!BF77='📝 Four-tier กรอก'!BF51,'📝 Four-tier กรอก'!BG77="Y"),"✅ Sound",IF(AND('📝 Four-tier กรอก'!BD77='📝 Four-tier กรอก'!BD51,'📝 Four-tier กรอก'!BE77="Y",'📝 Four-tier กรอก'!BF77&lt;&gt;'📝 Four-tier กรอก'!BF51,'📝 Four-tier กรอก'!BG77="Y"),"🎲 Guess",IF(AND('📝 Four-tier กรอก'!BD77&lt;&gt;'📝 Four-tier กรอก'!BD51,'📝 Four-tier กรอก'!BE77="Y",'📝 Four-tier กรอก'!BF77&lt;&gt;'📝 Four-tier กรอก'!BF51,'📝 Four-tier กรอก'!BG77="Y"),"❌ Misc.",IF(AND('📝 Four-tier กรอก'!BD77&lt;&gt;'📝 Four-tier กรอก'!BD51,'📝 Four-tier กรอก'!BE77="N",'📝 Four-tier กรอก'!BF77&lt;&gt;'📝 Four-tier กรอก'!BF51,'📝 Four-tier กรอก'!BG77="N"),"❓ NoK","🤔 Partial")))))</f>
        <v/>
      </c>
      <c r="R76" s="68">
        <f>IF(OR('📝 Four-tier กรอก'!BH77="",'📝 Four-tier กรอก'!BJ77=""),"—",IF(AND('📝 Four-tier กรอก'!BH77='📝 Four-tier กรอก'!BH51,'📝 Four-tier กรอก'!BI77="Y",'📝 Four-tier กรอก'!BJ77='📝 Four-tier กรอก'!BJ51,'📝 Four-tier กรอก'!BK77="Y"),"✅ Sound",IF(AND('📝 Four-tier กรอก'!BH77='📝 Four-tier กรอก'!BH51,'📝 Four-tier กรอก'!BI77="Y",'📝 Four-tier กรอก'!BJ77&lt;&gt;'📝 Four-tier กรอก'!BJ51,'📝 Four-tier กรอก'!BK77="Y"),"🎲 Guess",IF(AND('📝 Four-tier กรอก'!BH77&lt;&gt;'📝 Four-tier กรอก'!BH51,'📝 Four-tier กรอก'!BI77="Y",'📝 Four-tier กรอก'!BJ77&lt;&gt;'📝 Four-tier กรอก'!BJ51,'📝 Four-tier กรอก'!BK77="Y"),"❌ Misc.",IF(AND('📝 Four-tier กรอก'!BH77&lt;&gt;'📝 Four-tier กรอก'!BH51,'📝 Four-tier กรอก'!BI77="N",'📝 Four-tier กรอก'!BJ77&lt;&gt;'📝 Four-tier กรอก'!BJ51,'📝 Four-tier กรอก'!BK77="N"),"❓ NoK","🤔 Partial")))))</f>
        <v/>
      </c>
      <c r="S76" s="68">
        <f>IF(OR('📝 Four-tier กรอก'!BL77="",'📝 Four-tier กรอก'!BN77=""),"—",IF(AND('📝 Four-tier กรอก'!BL77='📝 Four-tier กรอก'!BL51,'📝 Four-tier กรอก'!BM77="Y",'📝 Four-tier กรอก'!BN77='📝 Four-tier กรอก'!BN51,'📝 Four-tier กรอก'!BO77="Y"),"✅ Sound",IF(AND('📝 Four-tier กรอก'!BL77='📝 Four-tier กรอก'!BL51,'📝 Four-tier กรอก'!BM77="Y",'📝 Four-tier กรอก'!BN77&lt;&gt;'📝 Four-tier กรอก'!BN51,'📝 Four-tier กรอก'!BO77="Y"),"🎲 Guess",IF(AND('📝 Four-tier กรอก'!BL77&lt;&gt;'📝 Four-tier กรอก'!BL51,'📝 Four-tier กรอก'!BM77="Y",'📝 Four-tier กรอก'!BN77&lt;&gt;'📝 Four-tier กรอก'!BN51,'📝 Four-tier กรอก'!BO77="Y"),"❌ Misc.",IF(AND('📝 Four-tier กรอก'!BL77&lt;&gt;'📝 Four-tier กรอก'!BL51,'📝 Four-tier กรอก'!BM77="N",'📝 Four-tier กรอก'!BN77&lt;&gt;'📝 Four-tier กรอก'!BN51,'📝 Four-tier กรอก'!BO77="N"),"❓ NoK","🤔 Partial")))))</f>
        <v/>
      </c>
      <c r="T76" s="68">
        <f>IF(OR('📝 Four-tier กรอก'!BP77="",'📝 Four-tier กรอก'!BR77=""),"—",IF(AND('📝 Four-tier กรอก'!BP77='📝 Four-tier กรอก'!BP51,'📝 Four-tier กรอก'!BQ77="Y",'📝 Four-tier กรอก'!BR77='📝 Four-tier กรอก'!BR51,'📝 Four-tier กรอก'!BS77="Y"),"✅ Sound",IF(AND('📝 Four-tier กรอก'!BP77='📝 Four-tier กรอก'!BP51,'📝 Four-tier กรอก'!BQ77="Y",'📝 Four-tier กรอก'!BR77&lt;&gt;'📝 Four-tier กรอก'!BR51,'📝 Four-tier กรอก'!BS77="Y"),"🎲 Guess",IF(AND('📝 Four-tier กรอก'!BP77&lt;&gt;'📝 Four-tier กรอก'!BP51,'📝 Four-tier กรอก'!BQ77="Y",'📝 Four-tier กรอก'!BR77&lt;&gt;'📝 Four-tier กรอก'!BR51,'📝 Four-tier กรอก'!BS77="Y"),"❌ Misc.",IF(AND('📝 Four-tier กรอก'!BP77&lt;&gt;'📝 Four-tier กรอก'!BP51,'📝 Four-tier กรอก'!BQ77="N",'📝 Four-tier กรอก'!BR77&lt;&gt;'📝 Four-tier กรอก'!BR51,'📝 Four-tier กรอก'!BS77="N"),"❓ NoK","🤔 Partial")))))</f>
        <v/>
      </c>
      <c r="U76" s="68">
        <f>IF(OR('📝 Four-tier กรอก'!BT77="",'📝 Four-tier กรอก'!BV77=""),"—",IF(AND('📝 Four-tier กรอก'!BT77='📝 Four-tier กรอก'!BT51,'📝 Four-tier กรอก'!BU77="Y",'📝 Four-tier กรอก'!BV77='📝 Four-tier กรอก'!BV51,'📝 Four-tier กรอก'!BW77="Y"),"✅ Sound",IF(AND('📝 Four-tier กรอก'!BT77='📝 Four-tier กรอก'!BT51,'📝 Four-tier กรอก'!BU77="Y",'📝 Four-tier กรอก'!BV77&lt;&gt;'📝 Four-tier กรอก'!BV51,'📝 Four-tier กรอก'!BW77="Y"),"🎲 Guess",IF(AND('📝 Four-tier กรอก'!BT77&lt;&gt;'📝 Four-tier กรอก'!BT51,'📝 Four-tier กรอก'!BU77="Y",'📝 Four-tier กรอก'!BV77&lt;&gt;'📝 Four-tier กรอก'!BV51,'📝 Four-tier กรอก'!BW77="Y"),"❌ Misc.",IF(AND('📝 Four-tier กรอก'!BT77&lt;&gt;'📝 Four-tier กรอก'!BT51,'📝 Four-tier กรอก'!BU77="N",'📝 Four-tier กรอก'!BV77&lt;&gt;'📝 Four-tier กรอก'!BV51,'📝 Four-tier กรอก'!BW77="N"),"❓ NoK","🤔 Partial")))))</f>
        <v/>
      </c>
      <c r="V76" s="68">
        <f>IF(OR('📝 Four-tier กรอก'!BX77="",'📝 Four-tier กรอก'!BZ77=""),"—",IF(AND('📝 Four-tier กรอก'!BX77='📝 Four-tier กรอก'!BX51,'📝 Four-tier กรอก'!BY77="Y",'📝 Four-tier กรอก'!BZ77='📝 Four-tier กรอก'!BZ51,'📝 Four-tier กรอก'!CA77="Y"),"✅ Sound",IF(AND('📝 Four-tier กรอก'!BX77='📝 Four-tier กรอก'!BX51,'📝 Four-tier กรอก'!BY77="Y",'📝 Four-tier กรอก'!BZ77&lt;&gt;'📝 Four-tier กรอก'!BZ51,'📝 Four-tier กรอก'!CA77="Y"),"🎲 Guess",IF(AND('📝 Four-tier กรอก'!BX77&lt;&gt;'📝 Four-tier กรอก'!BX51,'📝 Four-tier กรอก'!BY77="Y",'📝 Four-tier กรอก'!BZ77&lt;&gt;'📝 Four-tier กรอก'!BZ51,'📝 Four-tier กรอก'!CA77="Y"),"❌ Misc.",IF(AND('📝 Four-tier กรอก'!BX77&lt;&gt;'📝 Four-tier กรอก'!BX51,'📝 Four-tier กรอก'!BY77="N",'📝 Four-tier กรอก'!BZ77&lt;&gt;'📝 Four-tier กรอก'!BZ51,'📝 Four-tier กรอก'!CA77="N"),"❓ NoK","🤔 Partial")))))</f>
        <v/>
      </c>
      <c r="W76" s="68">
        <f>IF(OR('📝 Four-tier กรอก'!CB77="",'📝 Four-tier กรอก'!CD77=""),"—",IF(AND('📝 Four-tier กรอก'!CB77='📝 Four-tier กรอก'!CB51,'📝 Four-tier กรอก'!CC77="Y",'📝 Four-tier กรอก'!CD77='📝 Four-tier กรอก'!CD51,'📝 Four-tier กรอก'!CE77="Y"),"✅ Sound",IF(AND('📝 Four-tier กรอก'!CB77='📝 Four-tier กรอก'!CB51,'📝 Four-tier กรอก'!CC77="Y",'📝 Four-tier กรอก'!CD77&lt;&gt;'📝 Four-tier กรอก'!CD51,'📝 Four-tier กรอก'!CE77="Y"),"🎲 Guess",IF(AND('📝 Four-tier กรอก'!CB77&lt;&gt;'📝 Four-tier กรอก'!CB51,'📝 Four-tier กรอก'!CC77="Y",'📝 Four-tier กรอก'!CD77&lt;&gt;'📝 Four-tier กรอก'!CD51,'📝 Four-tier กรอก'!CE77="Y"),"❌ Misc.",IF(AND('📝 Four-tier กรอก'!CB77&lt;&gt;'📝 Four-tier กรอก'!CB51,'📝 Four-tier กรอก'!CC77="N",'📝 Four-tier กรอก'!CD77&lt;&gt;'📝 Four-tier กรอก'!CD51,'📝 Four-tier กรอก'!CE77="N"),"❓ NoK","🤔 Partial")))))</f>
        <v/>
      </c>
      <c r="X76" s="37">
        <f>COUNTIF(D76:W76,"✅ Sound")</f>
        <v/>
      </c>
      <c r="Y76" s="37">
        <f>COUNTIF(D76:W76,"❌ Misc.")</f>
        <v/>
      </c>
      <c r="Z76" s="37">
        <f>COUNTIF(D76:W76,"🎲 Guess")</f>
        <v/>
      </c>
      <c r="AA76" s="37">
        <f>COUNTIF(D76:W76,"❓ NoK")</f>
        <v/>
      </c>
    </row>
    <row r="77" ht="18" customHeight="1">
      <c r="B77" s="46">
        <f>'📝 Four-tier กรอก'!B78</f>
        <v/>
      </c>
      <c r="C77" s="47">
        <f>'📝 Four-tier กรอก'!C78</f>
        <v/>
      </c>
      <c r="D77" s="67">
        <f>IF(OR('📝 Four-tier กรอก'!D78="",'📝 Four-tier กรอก'!F78=""),"—",IF(AND('📝 Four-tier กรอก'!D78='📝 Four-tier กรอก'!D51,'📝 Four-tier กรอก'!E78="Y",'📝 Four-tier กรอก'!F78='📝 Four-tier กรอก'!F51,'📝 Four-tier กรอก'!G78="Y"),"✅ Sound",IF(AND('📝 Four-tier กรอก'!D78='📝 Four-tier กรอก'!D51,'📝 Four-tier กรอก'!E78="Y",'📝 Four-tier กรอก'!F78&lt;&gt;'📝 Four-tier กรอก'!F51,'📝 Four-tier กรอก'!G78="Y"),"🎲 Guess",IF(AND('📝 Four-tier กรอก'!D78&lt;&gt;'📝 Four-tier กรอก'!D51,'📝 Four-tier กรอก'!E78="Y",'📝 Four-tier กรอก'!F78&lt;&gt;'📝 Four-tier กรอก'!F51,'📝 Four-tier กรอก'!G78="Y"),"❌ Misc.",IF(AND('📝 Four-tier กรอก'!D78&lt;&gt;'📝 Four-tier กรอก'!D51,'📝 Four-tier กรอก'!E78="N",'📝 Four-tier กรอก'!F78&lt;&gt;'📝 Four-tier กรอก'!F51,'📝 Four-tier กรอก'!G78="N"),"❓ NoK","🤔 Partial")))))</f>
        <v/>
      </c>
      <c r="E77" s="67">
        <f>IF(OR('📝 Four-tier กรอก'!H78="",'📝 Four-tier กรอก'!J78=""),"—",IF(AND('📝 Four-tier กรอก'!H78='📝 Four-tier กรอก'!H51,'📝 Four-tier กรอก'!I78="Y",'📝 Four-tier กรอก'!J78='📝 Four-tier กรอก'!J51,'📝 Four-tier กรอก'!K78="Y"),"✅ Sound",IF(AND('📝 Four-tier กรอก'!H78='📝 Four-tier กรอก'!H51,'📝 Four-tier กรอก'!I78="Y",'📝 Four-tier กรอก'!J78&lt;&gt;'📝 Four-tier กรอก'!J51,'📝 Four-tier กรอก'!K78="Y"),"🎲 Guess",IF(AND('📝 Four-tier กรอก'!H78&lt;&gt;'📝 Four-tier กรอก'!H51,'📝 Four-tier กรอก'!I78="Y",'📝 Four-tier กรอก'!J78&lt;&gt;'📝 Four-tier กรอก'!J51,'📝 Four-tier กรอก'!K78="Y"),"❌ Misc.",IF(AND('📝 Four-tier กรอก'!H78&lt;&gt;'📝 Four-tier กรอก'!H51,'📝 Four-tier กรอก'!I78="N",'📝 Four-tier กรอก'!J78&lt;&gt;'📝 Four-tier กรอก'!J51,'📝 Four-tier กรอก'!K78="N"),"❓ NoK","🤔 Partial")))))</f>
        <v/>
      </c>
      <c r="F77" s="67">
        <f>IF(OR('📝 Four-tier กรอก'!L78="",'📝 Four-tier กรอก'!N78=""),"—",IF(AND('📝 Four-tier กรอก'!L78='📝 Four-tier กรอก'!L51,'📝 Four-tier กรอก'!M78="Y",'📝 Four-tier กรอก'!N78='📝 Four-tier กรอก'!N51,'📝 Four-tier กรอก'!O78="Y"),"✅ Sound",IF(AND('📝 Four-tier กรอก'!L78='📝 Four-tier กรอก'!L51,'📝 Four-tier กรอก'!M78="Y",'📝 Four-tier กรอก'!N78&lt;&gt;'📝 Four-tier กรอก'!N51,'📝 Four-tier กรอก'!O78="Y"),"🎲 Guess",IF(AND('📝 Four-tier กรอก'!L78&lt;&gt;'📝 Four-tier กรอก'!L51,'📝 Four-tier กรอก'!M78="Y",'📝 Four-tier กรอก'!N78&lt;&gt;'📝 Four-tier กรอก'!N51,'📝 Four-tier กรอก'!O78="Y"),"❌ Misc.",IF(AND('📝 Four-tier กรอก'!L78&lt;&gt;'📝 Four-tier กรอก'!L51,'📝 Four-tier กรอก'!M78="N",'📝 Four-tier กรอก'!N78&lt;&gt;'📝 Four-tier กรอก'!N51,'📝 Four-tier กรอก'!O78="N"),"❓ NoK","🤔 Partial")))))</f>
        <v/>
      </c>
      <c r="G77" s="67">
        <f>IF(OR('📝 Four-tier กรอก'!P78="",'📝 Four-tier กรอก'!R78=""),"—",IF(AND('📝 Four-tier กรอก'!P78='📝 Four-tier กรอก'!P51,'📝 Four-tier กรอก'!Q78="Y",'📝 Four-tier กรอก'!R78='📝 Four-tier กรอก'!R51,'📝 Four-tier กรอก'!S78="Y"),"✅ Sound",IF(AND('📝 Four-tier กรอก'!P78='📝 Four-tier กรอก'!P51,'📝 Four-tier กรอก'!Q78="Y",'📝 Four-tier กรอก'!R78&lt;&gt;'📝 Four-tier กรอก'!R51,'📝 Four-tier กรอก'!S78="Y"),"🎲 Guess",IF(AND('📝 Four-tier กรอก'!P78&lt;&gt;'📝 Four-tier กรอก'!P51,'📝 Four-tier กรอก'!Q78="Y",'📝 Four-tier กรอก'!R78&lt;&gt;'📝 Four-tier กรอก'!R51,'📝 Four-tier กรอก'!S78="Y"),"❌ Misc.",IF(AND('📝 Four-tier กรอก'!P78&lt;&gt;'📝 Four-tier กรอก'!P51,'📝 Four-tier กรอก'!Q78="N",'📝 Four-tier กรอก'!R78&lt;&gt;'📝 Four-tier กรอก'!R51,'📝 Four-tier กรอก'!S78="N"),"❓ NoK","🤔 Partial")))))</f>
        <v/>
      </c>
      <c r="H77" s="67">
        <f>IF(OR('📝 Four-tier กรอก'!T78="",'📝 Four-tier กรอก'!V78=""),"—",IF(AND('📝 Four-tier กรอก'!T78='📝 Four-tier กรอก'!T51,'📝 Four-tier กรอก'!U78="Y",'📝 Four-tier กรอก'!V78='📝 Four-tier กรอก'!V51,'📝 Four-tier กรอก'!W78="Y"),"✅ Sound",IF(AND('📝 Four-tier กรอก'!T78='📝 Four-tier กรอก'!T51,'📝 Four-tier กรอก'!U78="Y",'📝 Four-tier กรอก'!V78&lt;&gt;'📝 Four-tier กรอก'!V51,'📝 Four-tier กรอก'!W78="Y"),"🎲 Guess",IF(AND('📝 Four-tier กรอก'!T78&lt;&gt;'📝 Four-tier กรอก'!T51,'📝 Four-tier กรอก'!U78="Y",'📝 Four-tier กรอก'!V78&lt;&gt;'📝 Four-tier กรอก'!V51,'📝 Four-tier กรอก'!W78="Y"),"❌ Misc.",IF(AND('📝 Four-tier กรอก'!T78&lt;&gt;'📝 Four-tier กรอก'!T51,'📝 Four-tier กรอก'!U78="N",'📝 Four-tier กรอก'!V78&lt;&gt;'📝 Four-tier กรอก'!V51,'📝 Four-tier กรอก'!W78="N"),"❓ NoK","🤔 Partial")))))</f>
        <v/>
      </c>
      <c r="I77" s="67">
        <f>IF(OR('📝 Four-tier กรอก'!X78="",'📝 Four-tier กรอก'!Z78=""),"—",IF(AND('📝 Four-tier กรอก'!X78='📝 Four-tier กรอก'!X51,'📝 Four-tier กรอก'!Y78="Y",'📝 Four-tier กรอก'!Z78='📝 Four-tier กรอก'!Z51,'📝 Four-tier กรอก'!AA78="Y"),"✅ Sound",IF(AND('📝 Four-tier กรอก'!X78='📝 Four-tier กรอก'!X51,'📝 Four-tier กรอก'!Y78="Y",'📝 Four-tier กรอก'!Z78&lt;&gt;'📝 Four-tier กรอก'!Z51,'📝 Four-tier กรอก'!AA78="Y"),"🎲 Guess",IF(AND('📝 Four-tier กรอก'!X78&lt;&gt;'📝 Four-tier กรอก'!X51,'📝 Four-tier กรอก'!Y78="Y",'📝 Four-tier กรอก'!Z78&lt;&gt;'📝 Four-tier กรอก'!Z51,'📝 Four-tier กรอก'!AA78="Y"),"❌ Misc.",IF(AND('📝 Four-tier กรอก'!X78&lt;&gt;'📝 Four-tier กรอก'!X51,'📝 Four-tier กรอก'!Y78="N",'📝 Four-tier กรอก'!Z78&lt;&gt;'📝 Four-tier กรอก'!Z51,'📝 Four-tier กรอก'!AA78="N"),"❓ NoK","🤔 Partial")))))</f>
        <v/>
      </c>
      <c r="J77" s="67">
        <f>IF(OR('📝 Four-tier กรอก'!AB78="",'📝 Four-tier กรอก'!AD78=""),"—",IF(AND('📝 Four-tier กรอก'!AB78='📝 Four-tier กรอก'!AB51,'📝 Four-tier กรอก'!AC78="Y",'📝 Four-tier กรอก'!AD78='📝 Four-tier กรอก'!AD51,'📝 Four-tier กรอก'!AE78="Y"),"✅ Sound",IF(AND('📝 Four-tier กรอก'!AB78='📝 Four-tier กรอก'!AB51,'📝 Four-tier กรอก'!AC78="Y",'📝 Four-tier กรอก'!AD78&lt;&gt;'📝 Four-tier กรอก'!AD51,'📝 Four-tier กรอก'!AE78="Y"),"🎲 Guess",IF(AND('📝 Four-tier กรอก'!AB78&lt;&gt;'📝 Four-tier กรอก'!AB51,'📝 Four-tier กรอก'!AC78="Y",'📝 Four-tier กรอก'!AD78&lt;&gt;'📝 Four-tier กรอก'!AD51,'📝 Four-tier กรอก'!AE78="Y"),"❌ Misc.",IF(AND('📝 Four-tier กรอก'!AB78&lt;&gt;'📝 Four-tier กรอก'!AB51,'📝 Four-tier กรอก'!AC78="N",'📝 Four-tier กรอก'!AD78&lt;&gt;'📝 Four-tier กรอก'!AD51,'📝 Four-tier กรอก'!AE78="N"),"❓ NoK","🤔 Partial")))))</f>
        <v/>
      </c>
      <c r="K77" s="67">
        <f>IF(OR('📝 Four-tier กรอก'!AF78="",'📝 Four-tier กรอก'!AH78=""),"—",IF(AND('📝 Four-tier กรอก'!AF78='📝 Four-tier กรอก'!AF51,'📝 Four-tier กรอก'!AG78="Y",'📝 Four-tier กรอก'!AH78='📝 Four-tier กรอก'!AH51,'📝 Four-tier กรอก'!AI78="Y"),"✅ Sound",IF(AND('📝 Four-tier กรอก'!AF78='📝 Four-tier กรอก'!AF51,'📝 Four-tier กรอก'!AG78="Y",'📝 Four-tier กรอก'!AH78&lt;&gt;'📝 Four-tier กรอก'!AH51,'📝 Four-tier กรอก'!AI78="Y"),"🎲 Guess",IF(AND('📝 Four-tier กรอก'!AF78&lt;&gt;'📝 Four-tier กรอก'!AF51,'📝 Four-tier กรอก'!AG78="Y",'📝 Four-tier กรอก'!AH78&lt;&gt;'📝 Four-tier กรอก'!AH51,'📝 Four-tier กรอก'!AI78="Y"),"❌ Misc.",IF(AND('📝 Four-tier กรอก'!AF78&lt;&gt;'📝 Four-tier กรอก'!AF51,'📝 Four-tier กรอก'!AG78="N",'📝 Four-tier กรอก'!AH78&lt;&gt;'📝 Four-tier กรอก'!AH51,'📝 Four-tier กรอก'!AI78="N"),"❓ NoK","🤔 Partial")))))</f>
        <v/>
      </c>
      <c r="L77" s="67">
        <f>IF(OR('📝 Four-tier กรอก'!AJ78="",'📝 Four-tier กรอก'!AL78=""),"—",IF(AND('📝 Four-tier กรอก'!AJ78='📝 Four-tier กรอก'!AJ51,'📝 Four-tier กรอก'!AK78="Y",'📝 Four-tier กรอก'!AL78='📝 Four-tier กรอก'!AL51,'📝 Four-tier กรอก'!AM78="Y"),"✅ Sound",IF(AND('📝 Four-tier กรอก'!AJ78='📝 Four-tier กรอก'!AJ51,'📝 Four-tier กรอก'!AK78="Y",'📝 Four-tier กรอก'!AL78&lt;&gt;'📝 Four-tier กรอก'!AL51,'📝 Four-tier กรอก'!AM78="Y"),"🎲 Guess",IF(AND('📝 Four-tier กรอก'!AJ78&lt;&gt;'📝 Four-tier กรอก'!AJ51,'📝 Four-tier กรอก'!AK78="Y",'📝 Four-tier กรอก'!AL78&lt;&gt;'📝 Four-tier กรอก'!AL51,'📝 Four-tier กรอก'!AM78="Y"),"❌ Misc.",IF(AND('📝 Four-tier กรอก'!AJ78&lt;&gt;'📝 Four-tier กรอก'!AJ51,'📝 Four-tier กรอก'!AK78="N",'📝 Four-tier กรอก'!AL78&lt;&gt;'📝 Four-tier กรอก'!AL51,'📝 Four-tier กรอก'!AM78="N"),"❓ NoK","🤔 Partial")))))</f>
        <v/>
      </c>
      <c r="M77" s="67">
        <f>IF(OR('📝 Four-tier กรอก'!AN78="",'📝 Four-tier กรอก'!AP78=""),"—",IF(AND('📝 Four-tier กรอก'!AN78='📝 Four-tier กรอก'!AN51,'📝 Four-tier กรอก'!AO78="Y",'📝 Four-tier กรอก'!AP78='📝 Four-tier กรอก'!AP51,'📝 Four-tier กรอก'!AQ78="Y"),"✅ Sound",IF(AND('📝 Four-tier กรอก'!AN78='📝 Four-tier กรอก'!AN51,'📝 Four-tier กรอก'!AO78="Y",'📝 Four-tier กรอก'!AP78&lt;&gt;'📝 Four-tier กรอก'!AP51,'📝 Four-tier กรอก'!AQ78="Y"),"🎲 Guess",IF(AND('📝 Four-tier กรอก'!AN78&lt;&gt;'📝 Four-tier กรอก'!AN51,'📝 Four-tier กรอก'!AO78="Y",'📝 Four-tier กรอก'!AP78&lt;&gt;'📝 Four-tier กรอก'!AP51,'📝 Four-tier กรอก'!AQ78="Y"),"❌ Misc.",IF(AND('📝 Four-tier กรอก'!AN78&lt;&gt;'📝 Four-tier กรอก'!AN51,'📝 Four-tier กรอก'!AO78="N",'📝 Four-tier กรอก'!AP78&lt;&gt;'📝 Four-tier กรอก'!AP51,'📝 Four-tier กรอก'!AQ78="N"),"❓ NoK","🤔 Partial")))))</f>
        <v/>
      </c>
      <c r="N77" s="67">
        <f>IF(OR('📝 Four-tier กรอก'!AR78="",'📝 Four-tier กรอก'!AT78=""),"—",IF(AND('📝 Four-tier กรอก'!AR78='📝 Four-tier กรอก'!AR51,'📝 Four-tier กรอก'!AS78="Y",'📝 Four-tier กรอก'!AT78='📝 Four-tier กรอก'!AT51,'📝 Four-tier กรอก'!AU78="Y"),"✅ Sound",IF(AND('📝 Four-tier กรอก'!AR78='📝 Four-tier กรอก'!AR51,'📝 Four-tier กรอก'!AS78="Y",'📝 Four-tier กรอก'!AT78&lt;&gt;'📝 Four-tier กรอก'!AT51,'📝 Four-tier กรอก'!AU78="Y"),"🎲 Guess",IF(AND('📝 Four-tier กรอก'!AR78&lt;&gt;'📝 Four-tier กรอก'!AR51,'📝 Four-tier กรอก'!AS78="Y",'📝 Four-tier กรอก'!AT78&lt;&gt;'📝 Four-tier กรอก'!AT51,'📝 Four-tier กรอก'!AU78="Y"),"❌ Misc.",IF(AND('📝 Four-tier กรอก'!AR78&lt;&gt;'📝 Four-tier กรอก'!AR51,'📝 Four-tier กรอก'!AS78="N",'📝 Four-tier กรอก'!AT78&lt;&gt;'📝 Four-tier กรอก'!AT51,'📝 Four-tier กรอก'!AU78="N"),"❓ NoK","🤔 Partial")))))</f>
        <v/>
      </c>
      <c r="O77" s="67">
        <f>IF(OR('📝 Four-tier กรอก'!AV78="",'📝 Four-tier กรอก'!AX78=""),"—",IF(AND('📝 Four-tier กรอก'!AV78='📝 Four-tier กรอก'!AV51,'📝 Four-tier กรอก'!AW78="Y",'📝 Four-tier กรอก'!AX78='📝 Four-tier กรอก'!AX51,'📝 Four-tier กรอก'!AY78="Y"),"✅ Sound",IF(AND('📝 Four-tier กรอก'!AV78='📝 Four-tier กรอก'!AV51,'📝 Four-tier กรอก'!AW78="Y",'📝 Four-tier กรอก'!AX78&lt;&gt;'📝 Four-tier กรอก'!AX51,'📝 Four-tier กรอก'!AY78="Y"),"🎲 Guess",IF(AND('📝 Four-tier กรอก'!AV78&lt;&gt;'📝 Four-tier กรอก'!AV51,'📝 Four-tier กรอก'!AW78="Y",'📝 Four-tier กรอก'!AX78&lt;&gt;'📝 Four-tier กรอก'!AX51,'📝 Four-tier กรอก'!AY78="Y"),"❌ Misc.",IF(AND('📝 Four-tier กรอก'!AV78&lt;&gt;'📝 Four-tier กรอก'!AV51,'📝 Four-tier กรอก'!AW78="N",'📝 Four-tier กรอก'!AX78&lt;&gt;'📝 Four-tier กรอก'!AX51,'📝 Four-tier กรอก'!AY78="N"),"❓ NoK","🤔 Partial")))))</f>
        <v/>
      </c>
      <c r="P77" s="67">
        <f>IF(OR('📝 Four-tier กรอก'!AZ78="",'📝 Four-tier กรอก'!BB78=""),"—",IF(AND('📝 Four-tier กรอก'!AZ78='📝 Four-tier กรอก'!AZ51,'📝 Four-tier กรอก'!BA78="Y",'📝 Four-tier กรอก'!BB78='📝 Four-tier กรอก'!BB51,'📝 Four-tier กรอก'!BC78="Y"),"✅ Sound",IF(AND('📝 Four-tier กรอก'!AZ78='📝 Four-tier กรอก'!AZ51,'📝 Four-tier กรอก'!BA78="Y",'📝 Four-tier กรอก'!BB78&lt;&gt;'📝 Four-tier กรอก'!BB51,'📝 Four-tier กรอก'!BC78="Y"),"🎲 Guess",IF(AND('📝 Four-tier กรอก'!AZ78&lt;&gt;'📝 Four-tier กรอก'!AZ51,'📝 Four-tier กรอก'!BA78="Y",'📝 Four-tier กรอก'!BB78&lt;&gt;'📝 Four-tier กรอก'!BB51,'📝 Four-tier กรอก'!BC78="Y"),"❌ Misc.",IF(AND('📝 Four-tier กรอก'!AZ78&lt;&gt;'📝 Four-tier กรอก'!AZ51,'📝 Four-tier กรอก'!BA78="N",'📝 Four-tier กรอก'!BB78&lt;&gt;'📝 Four-tier กรอก'!BB51,'📝 Four-tier กรอก'!BC78="N"),"❓ NoK","🤔 Partial")))))</f>
        <v/>
      </c>
      <c r="Q77" s="67">
        <f>IF(OR('📝 Four-tier กรอก'!BD78="",'📝 Four-tier กรอก'!BF78=""),"—",IF(AND('📝 Four-tier กรอก'!BD78='📝 Four-tier กรอก'!BD51,'📝 Four-tier กรอก'!BE78="Y",'📝 Four-tier กรอก'!BF78='📝 Four-tier กรอก'!BF51,'📝 Four-tier กรอก'!BG78="Y"),"✅ Sound",IF(AND('📝 Four-tier กรอก'!BD78='📝 Four-tier กรอก'!BD51,'📝 Four-tier กรอก'!BE78="Y",'📝 Four-tier กรอก'!BF78&lt;&gt;'📝 Four-tier กรอก'!BF51,'📝 Four-tier กรอก'!BG78="Y"),"🎲 Guess",IF(AND('📝 Four-tier กรอก'!BD78&lt;&gt;'📝 Four-tier กรอก'!BD51,'📝 Four-tier กรอก'!BE78="Y",'📝 Four-tier กรอก'!BF78&lt;&gt;'📝 Four-tier กรอก'!BF51,'📝 Four-tier กรอก'!BG78="Y"),"❌ Misc.",IF(AND('📝 Four-tier กรอก'!BD78&lt;&gt;'📝 Four-tier กรอก'!BD51,'📝 Four-tier กรอก'!BE78="N",'📝 Four-tier กรอก'!BF78&lt;&gt;'📝 Four-tier กรอก'!BF51,'📝 Four-tier กรอก'!BG78="N"),"❓ NoK","🤔 Partial")))))</f>
        <v/>
      </c>
      <c r="R77" s="67">
        <f>IF(OR('📝 Four-tier กรอก'!BH78="",'📝 Four-tier กรอก'!BJ78=""),"—",IF(AND('📝 Four-tier กรอก'!BH78='📝 Four-tier กรอก'!BH51,'📝 Four-tier กรอก'!BI78="Y",'📝 Four-tier กรอก'!BJ78='📝 Four-tier กรอก'!BJ51,'📝 Four-tier กรอก'!BK78="Y"),"✅ Sound",IF(AND('📝 Four-tier กรอก'!BH78='📝 Four-tier กรอก'!BH51,'📝 Four-tier กรอก'!BI78="Y",'📝 Four-tier กรอก'!BJ78&lt;&gt;'📝 Four-tier กรอก'!BJ51,'📝 Four-tier กรอก'!BK78="Y"),"🎲 Guess",IF(AND('📝 Four-tier กรอก'!BH78&lt;&gt;'📝 Four-tier กรอก'!BH51,'📝 Four-tier กรอก'!BI78="Y",'📝 Four-tier กรอก'!BJ78&lt;&gt;'📝 Four-tier กรอก'!BJ51,'📝 Four-tier กรอก'!BK78="Y"),"❌ Misc.",IF(AND('📝 Four-tier กรอก'!BH78&lt;&gt;'📝 Four-tier กรอก'!BH51,'📝 Four-tier กรอก'!BI78="N",'📝 Four-tier กรอก'!BJ78&lt;&gt;'📝 Four-tier กรอก'!BJ51,'📝 Four-tier กรอก'!BK78="N"),"❓ NoK","🤔 Partial")))))</f>
        <v/>
      </c>
      <c r="S77" s="67">
        <f>IF(OR('📝 Four-tier กรอก'!BL78="",'📝 Four-tier กรอก'!BN78=""),"—",IF(AND('📝 Four-tier กรอก'!BL78='📝 Four-tier กรอก'!BL51,'📝 Four-tier กรอก'!BM78="Y",'📝 Four-tier กรอก'!BN78='📝 Four-tier กรอก'!BN51,'📝 Four-tier กรอก'!BO78="Y"),"✅ Sound",IF(AND('📝 Four-tier กรอก'!BL78='📝 Four-tier กรอก'!BL51,'📝 Four-tier กรอก'!BM78="Y",'📝 Four-tier กรอก'!BN78&lt;&gt;'📝 Four-tier กรอก'!BN51,'📝 Four-tier กรอก'!BO78="Y"),"🎲 Guess",IF(AND('📝 Four-tier กรอก'!BL78&lt;&gt;'📝 Four-tier กรอก'!BL51,'📝 Four-tier กรอก'!BM78="Y",'📝 Four-tier กรอก'!BN78&lt;&gt;'📝 Four-tier กรอก'!BN51,'📝 Four-tier กรอก'!BO78="Y"),"❌ Misc.",IF(AND('📝 Four-tier กรอก'!BL78&lt;&gt;'📝 Four-tier กรอก'!BL51,'📝 Four-tier กรอก'!BM78="N",'📝 Four-tier กรอก'!BN78&lt;&gt;'📝 Four-tier กรอก'!BN51,'📝 Four-tier กรอก'!BO78="N"),"❓ NoK","🤔 Partial")))))</f>
        <v/>
      </c>
      <c r="T77" s="67">
        <f>IF(OR('📝 Four-tier กรอก'!BP78="",'📝 Four-tier กรอก'!BR78=""),"—",IF(AND('📝 Four-tier กรอก'!BP78='📝 Four-tier กรอก'!BP51,'📝 Four-tier กรอก'!BQ78="Y",'📝 Four-tier กรอก'!BR78='📝 Four-tier กรอก'!BR51,'📝 Four-tier กรอก'!BS78="Y"),"✅ Sound",IF(AND('📝 Four-tier กรอก'!BP78='📝 Four-tier กรอก'!BP51,'📝 Four-tier กรอก'!BQ78="Y",'📝 Four-tier กรอก'!BR78&lt;&gt;'📝 Four-tier กรอก'!BR51,'📝 Four-tier กรอก'!BS78="Y"),"🎲 Guess",IF(AND('📝 Four-tier กรอก'!BP78&lt;&gt;'📝 Four-tier กรอก'!BP51,'📝 Four-tier กรอก'!BQ78="Y",'📝 Four-tier กรอก'!BR78&lt;&gt;'📝 Four-tier กรอก'!BR51,'📝 Four-tier กรอก'!BS78="Y"),"❌ Misc.",IF(AND('📝 Four-tier กรอก'!BP78&lt;&gt;'📝 Four-tier กรอก'!BP51,'📝 Four-tier กรอก'!BQ78="N",'📝 Four-tier กรอก'!BR78&lt;&gt;'📝 Four-tier กรอก'!BR51,'📝 Four-tier กรอก'!BS78="N"),"❓ NoK","🤔 Partial")))))</f>
        <v/>
      </c>
      <c r="U77" s="67">
        <f>IF(OR('📝 Four-tier กรอก'!BT78="",'📝 Four-tier กรอก'!BV78=""),"—",IF(AND('📝 Four-tier กรอก'!BT78='📝 Four-tier กรอก'!BT51,'📝 Four-tier กรอก'!BU78="Y",'📝 Four-tier กรอก'!BV78='📝 Four-tier กรอก'!BV51,'📝 Four-tier กรอก'!BW78="Y"),"✅ Sound",IF(AND('📝 Four-tier กรอก'!BT78='📝 Four-tier กรอก'!BT51,'📝 Four-tier กรอก'!BU78="Y",'📝 Four-tier กรอก'!BV78&lt;&gt;'📝 Four-tier กรอก'!BV51,'📝 Four-tier กรอก'!BW78="Y"),"🎲 Guess",IF(AND('📝 Four-tier กรอก'!BT78&lt;&gt;'📝 Four-tier กรอก'!BT51,'📝 Four-tier กรอก'!BU78="Y",'📝 Four-tier กรอก'!BV78&lt;&gt;'📝 Four-tier กรอก'!BV51,'📝 Four-tier กรอก'!BW78="Y"),"❌ Misc.",IF(AND('📝 Four-tier กรอก'!BT78&lt;&gt;'📝 Four-tier กรอก'!BT51,'📝 Four-tier กรอก'!BU78="N",'📝 Four-tier กรอก'!BV78&lt;&gt;'📝 Four-tier กรอก'!BV51,'📝 Four-tier กรอก'!BW78="N"),"❓ NoK","🤔 Partial")))))</f>
        <v/>
      </c>
      <c r="V77" s="67">
        <f>IF(OR('📝 Four-tier กรอก'!BX78="",'📝 Four-tier กรอก'!BZ78=""),"—",IF(AND('📝 Four-tier กรอก'!BX78='📝 Four-tier กรอก'!BX51,'📝 Four-tier กรอก'!BY78="Y",'📝 Four-tier กรอก'!BZ78='📝 Four-tier กรอก'!BZ51,'📝 Four-tier กรอก'!CA78="Y"),"✅ Sound",IF(AND('📝 Four-tier กรอก'!BX78='📝 Four-tier กรอก'!BX51,'📝 Four-tier กรอก'!BY78="Y",'📝 Four-tier กรอก'!BZ78&lt;&gt;'📝 Four-tier กรอก'!BZ51,'📝 Four-tier กรอก'!CA78="Y"),"🎲 Guess",IF(AND('📝 Four-tier กรอก'!BX78&lt;&gt;'📝 Four-tier กรอก'!BX51,'📝 Four-tier กรอก'!BY78="Y",'📝 Four-tier กรอก'!BZ78&lt;&gt;'📝 Four-tier กรอก'!BZ51,'📝 Four-tier กรอก'!CA78="Y"),"❌ Misc.",IF(AND('📝 Four-tier กรอก'!BX78&lt;&gt;'📝 Four-tier กรอก'!BX51,'📝 Four-tier กรอก'!BY78="N",'📝 Four-tier กรอก'!BZ78&lt;&gt;'📝 Four-tier กรอก'!BZ51,'📝 Four-tier กรอก'!CA78="N"),"❓ NoK","🤔 Partial")))))</f>
        <v/>
      </c>
      <c r="W77" s="67">
        <f>IF(OR('📝 Four-tier กรอก'!CB78="",'📝 Four-tier กรอก'!CD78=""),"—",IF(AND('📝 Four-tier กรอก'!CB78='📝 Four-tier กรอก'!CB51,'📝 Four-tier กรอก'!CC78="Y",'📝 Four-tier กรอก'!CD78='📝 Four-tier กรอก'!CD51,'📝 Four-tier กรอก'!CE78="Y"),"✅ Sound",IF(AND('📝 Four-tier กรอก'!CB78='📝 Four-tier กรอก'!CB51,'📝 Four-tier กรอก'!CC78="Y",'📝 Four-tier กรอก'!CD78&lt;&gt;'📝 Four-tier กรอก'!CD51,'📝 Four-tier กรอก'!CE78="Y"),"🎲 Guess",IF(AND('📝 Four-tier กรอก'!CB78&lt;&gt;'📝 Four-tier กรอก'!CB51,'📝 Four-tier กรอก'!CC78="Y",'📝 Four-tier กรอก'!CD78&lt;&gt;'📝 Four-tier กรอก'!CD51,'📝 Four-tier กรอก'!CE78="Y"),"❌ Misc.",IF(AND('📝 Four-tier กรอก'!CB78&lt;&gt;'📝 Four-tier กรอก'!CB51,'📝 Four-tier กรอก'!CC78="N",'📝 Four-tier กรอก'!CD78&lt;&gt;'📝 Four-tier กรอก'!CD51,'📝 Four-tier กรอก'!CE78="N"),"❓ NoK","🤔 Partial")))))</f>
        <v/>
      </c>
      <c r="X77" s="37">
        <f>COUNTIF(D77:W77,"✅ Sound")</f>
        <v/>
      </c>
      <c r="Y77" s="37">
        <f>COUNTIF(D77:W77,"❌ Misc.")</f>
        <v/>
      </c>
      <c r="Z77" s="37">
        <f>COUNTIF(D77:W77,"🎲 Guess")</f>
        <v/>
      </c>
      <c r="AA77" s="37">
        <f>COUNTIF(D77:W77,"❓ NoK")</f>
        <v/>
      </c>
    </row>
    <row r="78" ht="18" customHeight="1">
      <c r="B78" s="46">
        <f>'📝 Four-tier กรอก'!B79</f>
        <v/>
      </c>
      <c r="C78" s="51">
        <f>'📝 Four-tier กรอก'!C79</f>
        <v/>
      </c>
      <c r="D78" s="68">
        <f>IF(OR('📝 Four-tier กรอก'!D79="",'📝 Four-tier กรอก'!F79=""),"—",IF(AND('📝 Four-tier กรอก'!D79='📝 Four-tier กรอก'!D51,'📝 Four-tier กรอก'!E79="Y",'📝 Four-tier กรอก'!F79='📝 Four-tier กรอก'!F51,'📝 Four-tier กรอก'!G79="Y"),"✅ Sound",IF(AND('📝 Four-tier กรอก'!D79='📝 Four-tier กรอก'!D51,'📝 Four-tier กรอก'!E79="Y",'📝 Four-tier กรอก'!F79&lt;&gt;'📝 Four-tier กรอก'!F51,'📝 Four-tier กรอก'!G79="Y"),"🎲 Guess",IF(AND('📝 Four-tier กรอก'!D79&lt;&gt;'📝 Four-tier กรอก'!D51,'📝 Four-tier กรอก'!E79="Y",'📝 Four-tier กรอก'!F79&lt;&gt;'📝 Four-tier กรอก'!F51,'📝 Four-tier กรอก'!G79="Y"),"❌ Misc.",IF(AND('📝 Four-tier กรอก'!D79&lt;&gt;'📝 Four-tier กรอก'!D51,'📝 Four-tier กรอก'!E79="N",'📝 Four-tier กรอก'!F79&lt;&gt;'📝 Four-tier กรอก'!F51,'📝 Four-tier กรอก'!G79="N"),"❓ NoK","🤔 Partial")))))</f>
        <v/>
      </c>
      <c r="E78" s="68">
        <f>IF(OR('📝 Four-tier กรอก'!H79="",'📝 Four-tier กรอก'!J79=""),"—",IF(AND('📝 Four-tier กรอก'!H79='📝 Four-tier กรอก'!H51,'📝 Four-tier กรอก'!I79="Y",'📝 Four-tier กรอก'!J79='📝 Four-tier กรอก'!J51,'📝 Four-tier กรอก'!K79="Y"),"✅ Sound",IF(AND('📝 Four-tier กรอก'!H79='📝 Four-tier กรอก'!H51,'📝 Four-tier กรอก'!I79="Y",'📝 Four-tier กรอก'!J79&lt;&gt;'📝 Four-tier กรอก'!J51,'📝 Four-tier กรอก'!K79="Y"),"🎲 Guess",IF(AND('📝 Four-tier กรอก'!H79&lt;&gt;'📝 Four-tier กรอก'!H51,'📝 Four-tier กรอก'!I79="Y",'📝 Four-tier กรอก'!J79&lt;&gt;'📝 Four-tier กรอก'!J51,'📝 Four-tier กรอก'!K79="Y"),"❌ Misc.",IF(AND('📝 Four-tier กรอก'!H79&lt;&gt;'📝 Four-tier กรอก'!H51,'📝 Four-tier กรอก'!I79="N",'📝 Four-tier กรอก'!J79&lt;&gt;'📝 Four-tier กรอก'!J51,'📝 Four-tier กรอก'!K79="N"),"❓ NoK","🤔 Partial")))))</f>
        <v/>
      </c>
      <c r="F78" s="68">
        <f>IF(OR('📝 Four-tier กรอก'!L79="",'📝 Four-tier กรอก'!N79=""),"—",IF(AND('📝 Four-tier กรอก'!L79='📝 Four-tier กรอก'!L51,'📝 Four-tier กรอก'!M79="Y",'📝 Four-tier กรอก'!N79='📝 Four-tier กรอก'!N51,'📝 Four-tier กรอก'!O79="Y"),"✅ Sound",IF(AND('📝 Four-tier กรอก'!L79='📝 Four-tier กรอก'!L51,'📝 Four-tier กรอก'!M79="Y",'📝 Four-tier กรอก'!N79&lt;&gt;'📝 Four-tier กรอก'!N51,'📝 Four-tier กรอก'!O79="Y"),"🎲 Guess",IF(AND('📝 Four-tier กรอก'!L79&lt;&gt;'📝 Four-tier กรอก'!L51,'📝 Four-tier กรอก'!M79="Y",'📝 Four-tier กรอก'!N79&lt;&gt;'📝 Four-tier กรอก'!N51,'📝 Four-tier กรอก'!O79="Y"),"❌ Misc.",IF(AND('📝 Four-tier กรอก'!L79&lt;&gt;'📝 Four-tier กรอก'!L51,'📝 Four-tier กรอก'!M79="N",'📝 Four-tier กรอก'!N79&lt;&gt;'📝 Four-tier กรอก'!N51,'📝 Four-tier กรอก'!O79="N"),"❓ NoK","🤔 Partial")))))</f>
        <v/>
      </c>
      <c r="G78" s="68">
        <f>IF(OR('📝 Four-tier กรอก'!P79="",'📝 Four-tier กรอก'!R79=""),"—",IF(AND('📝 Four-tier กรอก'!P79='📝 Four-tier กรอก'!P51,'📝 Four-tier กรอก'!Q79="Y",'📝 Four-tier กรอก'!R79='📝 Four-tier กรอก'!R51,'📝 Four-tier กรอก'!S79="Y"),"✅ Sound",IF(AND('📝 Four-tier กรอก'!P79='📝 Four-tier กรอก'!P51,'📝 Four-tier กรอก'!Q79="Y",'📝 Four-tier กรอก'!R79&lt;&gt;'📝 Four-tier กรอก'!R51,'📝 Four-tier กรอก'!S79="Y"),"🎲 Guess",IF(AND('📝 Four-tier กรอก'!P79&lt;&gt;'📝 Four-tier กรอก'!P51,'📝 Four-tier กรอก'!Q79="Y",'📝 Four-tier กรอก'!R79&lt;&gt;'📝 Four-tier กรอก'!R51,'📝 Four-tier กรอก'!S79="Y"),"❌ Misc.",IF(AND('📝 Four-tier กรอก'!P79&lt;&gt;'📝 Four-tier กรอก'!P51,'📝 Four-tier กรอก'!Q79="N",'📝 Four-tier กรอก'!R79&lt;&gt;'📝 Four-tier กรอก'!R51,'📝 Four-tier กรอก'!S79="N"),"❓ NoK","🤔 Partial")))))</f>
        <v/>
      </c>
      <c r="H78" s="68">
        <f>IF(OR('📝 Four-tier กรอก'!T79="",'📝 Four-tier กรอก'!V79=""),"—",IF(AND('📝 Four-tier กรอก'!T79='📝 Four-tier กรอก'!T51,'📝 Four-tier กรอก'!U79="Y",'📝 Four-tier กรอก'!V79='📝 Four-tier กรอก'!V51,'📝 Four-tier กรอก'!W79="Y"),"✅ Sound",IF(AND('📝 Four-tier กรอก'!T79='📝 Four-tier กรอก'!T51,'📝 Four-tier กรอก'!U79="Y",'📝 Four-tier กรอก'!V79&lt;&gt;'📝 Four-tier กรอก'!V51,'📝 Four-tier กรอก'!W79="Y"),"🎲 Guess",IF(AND('📝 Four-tier กรอก'!T79&lt;&gt;'📝 Four-tier กรอก'!T51,'📝 Four-tier กรอก'!U79="Y",'📝 Four-tier กรอก'!V79&lt;&gt;'📝 Four-tier กรอก'!V51,'📝 Four-tier กรอก'!W79="Y"),"❌ Misc.",IF(AND('📝 Four-tier กรอก'!T79&lt;&gt;'📝 Four-tier กรอก'!T51,'📝 Four-tier กรอก'!U79="N",'📝 Four-tier กรอก'!V79&lt;&gt;'📝 Four-tier กรอก'!V51,'📝 Four-tier กรอก'!W79="N"),"❓ NoK","🤔 Partial")))))</f>
        <v/>
      </c>
      <c r="I78" s="68">
        <f>IF(OR('📝 Four-tier กรอก'!X79="",'📝 Four-tier กรอก'!Z79=""),"—",IF(AND('📝 Four-tier กรอก'!X79='📝 Four-tier กรอก'!X51,'📝 Four-tier กรอก'!Y79="Y",'📝 Four-tier กรอก'!Z79='📝 Four-tier กรอก'!Z51,'📝 Four-tier กรอก'!AA79="Y"),"✅ Sound",IF(AND('📝 Four-tier กรอก'!X79='📝 Four-tier กรอก'!X51,'📝 Four-tier กรอก'!Y79="Y",'📝 Four-tier กรอก'!Z79&lt;&gt;'📝 Four-tier กรอก'!Z51,'📝 Four-tier กรอก'!AA79="Y"),"🎲 Guess",IF(AND('📝 Four-tier กรอก'!X79&lt;&gt;'📝 Four-tier กรอก'!X51,'📝 Four-tier กรอก'!Y79="Y",'📝 Four-tier กรอก'!Z79&lt;&gt;'📝 Four-tier กรอก'!Z51,'📝 Four-tier กรอก'!AA79="Y"),"❌ Misc.",IF(AND('📝 Four-tier กรอก'!X79&lt;&gt;'📝 Four-tier กรอก'!X51,'📝 Four-tier กรอก'!Y79="N",'📝 Four-tier กรอก'!Z79&lt;&gt;'📝 Four-tier กรอก'!Z51,'📝 Four-tier กรอก'!AA79="N"),"❓ NoK","🤔 Partial")))))</f>
        <v/>
      </c>
      <c r="J78" s="68">
        <f>IF(OR('📝 Four-tier กรอก'!AB79="",'📝 Four-tier กรอก'!AD79=""),"—",IF(AND('📝 Four-tier กรอก'!AB79='📝 Four-tier กรอก'!AB51,'📝 Four-tier กรอก'!AC79="Y",'📝 Four-tier กรอก'!AD79='📝 Four-tier กรอก'!AD51,'📝 Four-tier กรอก'!AE79="Y"),"✅ Sound",IF(AND('📝 Four-tier กรอก'!AB79='📝 Four-tier กรอก'!AB51,'📝 Four-tier กรอก'!AC79="Y",'📝 Four-tier กรอก'!AD79&lt;&gt;'📝 Four-tier กรอก'!AD51,'📝 Four-tier กรอก'!AE79="Y"),"🎲 Guess",IF(AND('📝 Four-tier กรอก'!AB79&lt;&gt;'📝 Four-tier กรอก'!AB51,'📝 Four-tier กรอก'!AC79="Y",'📝 Four-tier กรอก'!AD79&lt;&gt;'📝 Four-tier กรอก'!AD51,'📝 Four-tier กรอก'!AE79="Y"),"❌ Misc.",IF(AND('📝 Four-tier กรอก'!AB79&lt;&gt;'📝 Four-tier กรอก'!AB51,'📝 Four-tier กรอก'!AC79="N",'📝 Four-tier กรอก'!AD79&lt;&gt;'📝 Four-tier กรอก'!AD51,'📝 Four-tier กรอก'!AE79="N"),"❓ NoK","🤔 Partial")))))</f>
        <v/>
      </c>
      <c r="K78" s="68">
        <f>IF(OR('📝 Four-tier กรอก'!AF79="",'📝 Four-tier กรอก'!AH79=""),"—",IF(AND('📝 Four-tier กรอก'!AF79='📝 Four-tier กรอก'!AF51,'📝 Four-tier กรอก'!AG79="Y",'📝 Four-tier กรอก'!AH79='📝 Four-tier กรอก'!AH51,'📝 Four-tier กรอก'!AI79="Y"),"✅ Sound",IF(AND('📝 Four-tier กรอก'!AF79='📝 Four-tier กรอก'!AF51,'📝 Four-tier กรอก'!AG79="Y",'📝 Four-tier กรอก'!AH79&lt;&gt;'📝 Four-tier กรอก'!AH51,'📝 Four-tier กรอก'!AI79="Y"),"🎲 Guess",IF(AND('📝 Four-tier กรอก'!AF79&lt;&gt;'📝 Four-tier กรอก'!AF51,'📝 Four-tier กรอก'!AG79="Y",'📝 Four-tier กรอก'!AH79&lt;&gt;'📝 Four-tier กรอก'!AH51,'📝 Four-tier กรอก'!AI79="Y"),"❌ Misc.",IF(AND('📝 Four-tier กรอก'!AF79&lt;&gt;'📝 Four-tier กรอก'!AF51,'📝 Four-tier กรอก'!AG79="N",'📝 Four-tier กรอก'!AH79&lt;&gt;'📝 Four-tier กรอก'!AH51,'📝 Four-tier กรอก'!AI79="N"),"❓ NoK","🤔 Partial")))))</f>
        <v/>
      </c>
      <c r="L78" s="68">
        <f>IF(OR('📝 Four-tier กรอก'!AJ79="",'📝 Four-tier กรอก'!AL79=""),"—",IF(AND('📝 Four-tier กรอก'!AJ79='📝 Four-tier กรอก'!AJ51,'📝 Four-tier กรอก'!AK79="Y",'📝 Four-tier กรอก'!AL79='📝 Four-tier กรอก'!AL51,'📝 Four-tier กรอก'!AM79="Y"),"✅ Sound",IF(AND('📝 Four-tier กรอก'!AJ79='📝 Four-tier กรอก'!AJ51,'📝 Four-tier กรอก'!AK79="Y",'📝 Four-tier กรอก'!AL79&lt;&gt;'📝 Four-tier กรอก'!AL51,'📝 Four-tier กรอก'!AM79="Y"),"🎲 Guess",IF(AND('📝 Four-tier กรอก'!AJ79&lt;&gt;'📝 Four-tier กรอก'!AJ51,'📝 Four-tier กรอก'!AK79="Y",'📝 Four-tier กรอก'!AL79&lt;&gt;'📝 Four-tier กรอก'!AL51,'📝 Four-tier กรอก'!AM79="Y"),"❌ Misc.",IF(AND('📝 Four-tier กรอก'!AJ79&lt;&gt;'📝 Four-tier กรอก'!AJ51,'📝 Four-tier กรอก'!AK79="N",'📝 Four-tier กรอก'!AL79&lt;&gt;'📝 Four-tier กรอก'!AL51,'📝 Four-tier กรอก'!AM79="N"),"❓ NoK","🤔 Partial")))))</f>
        <v/>
      </c>
      <c r="M78" s="68">
        <f>IF(OR('📝 Four-tier กรอก'!AN79="",'📝 Four-tier กรอก'!AP79=""),"—",IF(AND('📝 Four-tier กรอก'!AN79='📝 Four-tier กรอก'!AN51,'📝 Four-tier กรอก'!AO79="Y",'📝 Four-tier กรอก'!AP79='📝 Four-tier กรอก'!AP51,'📝 Four-tier กรอก'!AQ79="Y"),"✅ Sound",IF(AND('📝 Four-tier กรอก'!AN79='📝 Four-tier กรอก'!AN51,'📝 Four-tier กรอก'!AO79="Y",'📝 Four-tier กรอก'!AP79&lt;&gt;'📝 Four-tier กรอก'!AP51,'📝 Four-tier กรอก'!AQ79="Y"),"🎲 Guess",IF(AND('📝 Four-tier กรอก'!AN79&lt;&gt;'📝 Four-tier กรอก'!AN51,'📝 Four-tier กรอก'!AO79="Y",'📝 Four-tier กรอก'!AP79&lt;&gt;'📝 Four-tier กรอก'!AP51,'📝 Four-tier กรอก'!AQ79="Y"),"❌ Misc.",IF(AND('📝 Four-tier กรอก'!AN79&lt;&gt;'📝 Four-tier กรอก'!AN51,'📝 Four-tier กรอก'!AO79="N",'📝 Four-tier กรอก'!AP79&lt;&gt;'📝 Four-tier กรอก'!AP51,'📝 Four-tier กรอก'!AQ79="N"),"❓ NoK","🤔 Partial")))))</f>
        <v/>
      </c>
      <c r="N78" s="68">
        <f>IF(OR('📝 Four-tier กรอก'!AR79="",'📝 Four-tier กรอก'!AT79=""),"—",IF(AND('📝 Four-tier กรอก'!AR79='📝 Four-tier กรอก'!AR51,'📝 Four-tier กรอก'!AS79="Y",'📝 Four-tier กรอก'!AT79='📝 Four-tier กรอก'!AT51,'📝 Four-tier กรอก'!AU79="Y"),"✅ Sound",IF(AND('📝 Four-tier กรอก'!AR79='📝 Four-tier กรอก'!AR51,'📝 Four-tier กรอก'!AS79="Y",'📝 Four-tier กรอก'!AT79&lt;&gt;'📝 Four-tier กรอก'!AT51,'📝 Four-tier กรอก'!AU79="Y"),"🎲 Guess",IF(AND('📝 Four-tier กรอก'!AR79&lt;&gt;'📝 Four-tier กรอก'!AR51,'📝 Four-tier กรอก'!AS79="Y",'📝 Four-tier กรอก'!AT79&lt;&gt;'📝 Four-tier กรอก'!AT51,'📝 Four-tier กรอก'!AU79="Y"),"❌ Misc.",IF(AND('📝 Four-tier กรอก'!AR79&lt;&gt;'📝 Four-tier กรอก'!AR51,'📝 Four-tier กรอก'!AS79="N",'📝 Four-tier กรอก'!AT79&lt;&gt;'📝 Four-tier กรอก'!AT51,'📝 Four-tier กรอก'!AU79="N"),"❓ NoK","🤔 Partial")))))</f>
        <v/>
      </c>
      <c r="O78" s="68">
        <f>IF(OR('📝 Four-tier กรอก'!AV79="",'📝 Four-tier กรอก'!AX79=""),"—",IF(AND('📝 Four-tier กรอก'!AV79='📝 Four-tier กรอก'!AV51,'📝 Four-tier กรอก'!AW79="Y",'📝 Four-tier กรอก'!AX79='📝 Four-tier กรอก'!AX51,'📝 Four-tier กรอก'!AY79="Y"),"✅ Sound",IF(AND('📝 Four-tier กรอก'!AV79='📝 Four-tier กรอก'!AV51,'📝 Four-tier กรอก'!AW79="Y",'📝 Four-tier กรอก'!AX79&lt;&gt;'📝 Four-tier กรอก'!AX51,'📝 Four-tier กรอก'!AY79="Y"),"🎲 Guess",IF(AND('📝 Four-tier กรอก'!AV79&lt;&gt;'📝 Four-tier กรอก'!AV51,'📝 Four-tier กรอก'!AW79="Y",'📝 Four-tier กรอก'!AX79&lt;&gt;'📝 Four-tier กรอก'!AX51,'📝 Four-tier กรอก'!AY79="Y"),"❌ Misc.",IF(AND('📝 Four-tier กรอก'!AV79&lt;&gt;'📝 Four-tier กรอก'!AV51,'📝 Four-tier กรอก'!AW79="N",'📝 Four-tier กรอก'!AX79&lt;&gt;'📝 Four-tier กรอก'!AX51,'📝 Four-tier กรอก'!AY79="N"),"❓ NoK","🤔 Partial")))))</f>
        <v/>
      </c>
      <c r="P78" s="68">
        <f>IF(OR('📝 Four-tier กรอก'!AZ79="",'📝 Four-tier กรอก'!BB79=""),"—",IF(AND('📝 Four-tier กรอก'!AZ79='📝 Four-tier กรอก'!AZ51,'📝 Four-tier กรอก'!BA79="Y",'📝 Four-tier กรอก'!BB79='📝 Four-tier กรอก'!BB51,'📝 Four-tier กรอก'!BC79="Y"),"✅ Sound",IF(AND('📝 Four-tier กรอก'!AZ79='📝 Four-tier กรอก'!AZ51,'📝 Four-tier กรอก'!BA79="Y",'📝 Four-tier กรอก'!BB79&lt;&gt;'📝 Four-tier กรอก'!BB51,'📝 Four-tier กรอก'!BC79="Y"),"🎲 Guess",IF(AND('📝 Four-tier กรอก'!AZ79&lt;&gt;'📝 Four-tier กรอก'!AZ51,'📝 Four-tier กรอก'!BA79="Y",'📝 Four-tier กรอก'!BB79&lt;&gt;'📝 Four-tier กรอก'!BB51,'📝 Four-tier กรอก'!BC79="Y"),"❌ Misc.",IF(AND('📝 Four-tier กรอก'!AZ79&lt;&gt;'📝 Four-tier กรอก'!AZ51,'📝 Four-tier กรอก'!BA79="N",'📝 Four-tier กรอก'!BB79&lt;&gt;'📝 Four-tier กรอก'!BB51,'📝 Four-tier กรอก'!BC79="N"),"❓ NoK","🤔 Partial")))))</f>
        <v/>
      </c>
      <c r="Q78" s="68">
        <f>IF(OR('📝 Four-tier กรอก'!BD79="",'📝 Four-tier กรอก'!BF79=""),"—",IF(AND('📝 Four-tier กรอก'!BD79='📝 Four-tier กรอก'!BD51,'📝 Four-tier กรอก'!BE79="Y",'📝 Four-tier กรอก'!BF79='📝 Four-tier กรอก'!BF51,'📝 Four-tier กรอก'!BG79="Y"),"✅ Sound",IF(AND('📝 Four-tier กรอก'!BD79='📝 Four-tier กรอก'!BD51,'📝 Four-tier กรอก'!BE79="Y",'📝 Four-tier กรอก'!BF79&lt;&gt;'📝 Four-tier กรอก'!BF51,'📝 Four-tier กรอก'!BG79="Y"),"🎲 Guess",IF(AND('📝 Four-tier กรอก'!BD79&lt;&gt;'📝 Four-tier กรอก'!BD51,'📝 Four-tier กรอก'!BE79="Y",'📝 Four-tier กรอก'!BF79&lt;&gt;'📝 Four-tier กรอก'!BF51,'📝 Four-tier กรอก'!BG79="Y"),"❌ Misc.",IF(AND('📝 Four-tier กรอก'!BD79&lt;&gt;'📝 Four-tier กรอก'!BD51,'📝 Four-tier กรอก'!BE79="N",'📝 Four-tier กรอก'!BF79&lt;&gt;'📝 Four-tier กรอก'!BF51,'📝 Four-tier กรอก'!BG79="N"),"❓ NoK","🤔 Partial")))))</f>
        <v/>
      </c>
      <c r="R78" s="68">
        <f>IF(OR('📝 Four-tier กรอก'!BH79="",'📝 Four-tier กรอก'!BJ79=""),"—",IF(AND('📝 Four-tier กรอก'!BH79='📝 Four-tier กรอก'!BH51,'📝 Four-tier กรอก'!BI79="Y",'📝 Four-tier กรอก'!BJ79='📝 Four-tier กรอก'!BJ51,'📝 Four-tier กรอก'!BK79="Y"),"✅ Sound",IF(AND('📝 Four-tier กรอก'!BH79='📝 Four-tier กรอก'!BH51,'📝 Four-tier กรอก'!BI79="Y",'📝 Four-tier กรอก'!BJ79&lt;&gt;'📝 Four-tier กรอก'!BJ51,'📝 Four-tier กรอก'!BK79="Y"),"🎲 Guess",IF(AND('📝 Four-tier กรอก'!BH79&lt;&gt;'📝 Four-tier กรอก'!BH51,'📝 Four-tier กรอก'!BI79="Y",'📝 Four-tier กรอก'!BJ79&lt;&gt;'📝 Four-tier กรอก'!BJ51,'📝 Four-tier กรอก'!BK79="Y"),"❌ Misc.",IF(AND('📝 Four-tier กรอก'!BH79&lt;&gt;'📝 Four-tier กรอก'!BH51,'📝 Four-tier กรอก'!BI79="N",'📝 Four-tier กรอก'!BJ79&lt;&gt;'📝 Four-tier กรอก'!BJ51,'📝 Four-tier กรอก'!BK79="N"),"❓ NoK","🤔 Partial")))))</f>
        <v/>
      </c>
      <c r="S78" s="68">
        <f>IF(OR('📝 Four-tier กรอก'!BL79="",'📝 Four-tier กรอก'!BN79=""),"—",IF(AND('📝 Four-tier กรอก'!BL79='📝 Four-tier กรอก'!BL51,'📝 Four-tier กรอก'!BM79="Y",'📝 Four-tier กรอก'!BN79='📝 Four-tier กรอก'!BN51,'📝 Four-tier กรอก'!BO79="Y"),"✅ Sound",IF(AND('📝 Four-tier กรอก'!BL79='📝 Four-tier กรอก'!BL51,'📝 Four-tier กรอก'!BM79="Y",'📝 Four-tier กรอก'!BN79&lt;&gt;'📝 Four-tier กรอก'!BN51,'📝 Four-tier กรอก'!BO79="Y"),"🎲 Guess",IF(AND('📝 Four-tier กรอก'!BL79&lt;&gt;'📝 Four-tier กรอก'!BL51,'📝 Four-tier กรอก'!BM79="Y",'📝 Four-tier กรอก'!BN79&lt;&gt;'📝 Four-tier กรอก'!BN51,'📝 Four-tier กรอก'!BO79="Y"),"❌ Misc.",IF(AND('📝 Four-tier กรอก'!BL79&lt;&gt;'📝 Four-tier กรอก'!BL51,'📝 Four-tier กรอก'!BM79="N",'📝 Four-tier กรอก'!BN79&lt;&gt;'📝 Four-tier กรอก'!BN51,'📝 Four-tier กรอก'!BO79="N"),"❓ NoK","🤔 Partial")))))</f>
        <v/>
      </c>
      <c r="T78" s="68">
        <f>IF(OR('📝 Four-tier กรอก'!BP79="",'📝 Four-tier กรอก'!BR79=""),"—",IF(AND('📝 Four-tier กรอก'!BP79='📝 Four-tier กรอก'!BP51,'📝 Four-tier กรอก'!BQ79="Y",'📝 Four-tier กรอก'!BR79='📝 Four-tier กรอก'!BR51,'📝 Four-tier กรอก'!BS79="Y"),"✅ Sound",IF(AND('📝 Four-tier กรอก'!BP79='📝 Four-tier กรอก'!BP51,'📝 Four-tier กรอก'!BQ79="Y",'📝 Four-tier กรอก'!BR79&lt;&gt;'📝 Four-tier กรอก'!BR51,'📝 Four-tier กรอก'!BS79="Y"),"🎲 Guess",IF(AND('📝 Four-tier กรอก'!BP79&lt;&gt;'📝 Four-tier กรอก'!BP51,'📝 Four-tier กรอก'!BQ79="Y",'📝 Four-tier กรอก'!BR79&lt;&gt;'📝 Four-tier กรอก'!BR51,'📝 Four-tier กรอก'!BS79="Y"),"❌ Misc.",IF(AND('📝 Four-tier กรอก'!BP79&lt;&gt;'📝 Four-tier กรอก'!BP51,'📝 Four-tier กรอก'!BQ79="N",'📝 Four-tier กรอก'!BR79&lt;&gt;'📝 Four-tier กรอก'!BR51,'📝 Four-tier กรอก'!BS79="N"),"❓ NoK","🤔 Partial")))))</f>
        <v/>
      </c>
      <c r="U78" s="68">
        <f>IF(OR('📝 Four-tier กรอก'!BT79="",'📝 Four-tier กรอก'!BV79=""),"—",IF(AND('📝 Four-tier กรอก'!BT79='📝 Four-tier กรอก'!BT51,'📝 Four-tier กรอก'!BU79="Y",'📝 Four-tier กรอก'!BV79='📝 Four-tier กรอก'!BV51,'📝 Four-tier กรอก'!BW79="Y"),"✅ Sound",IF(AND('📝 Four-tier กรอก'!BT79='📝 Four-tier กรอก'!BT51,'📝 Four-tier กรอก'!BU79="Y",'📝 Four-tier กรอก'!BV79&lt;&gt;'📝 Four-tier กรอก'!BV51,'📝 Four-tier กรอก'!BW79="Y"),"🎲 Guess",IF(AND('📝 Four-tier กรอก'!BT79&lt;&gt;'📝 Four-tier กรอก'!BT51,'📝 Four-tier กรอก'!BU79="Y",'📝 Four-tier กรอก'!BV79&lt;&gt;'📝 Four-tier กรอก'!BV51,'📝 Four-tier กรอก'!BW79="Y"),"❌ Misc.",IF(AND('📝 Four-tier กรอก'!BT79&lt;&gt;'📝 Four-tier กรอก'!BT51,'📝 Four-tier กรอก'!BU79="N",'📝 Four-tier กรอก'!BV79&lt;&gt;'📝 Four-tier กรอก'!BV51,'📝 Four-tier กรอก'!BW79="N"),"❓ NoK","🤔 Partial")))))</f>
        <v/>
      </c>
      <c r="V78" s="68">
        <f>IF(OR('📝 Four-tier กรอก'!BX79="",'📝 Four-tier กรอก'!BZ79=""),"—",IF(AND('📝 Four-tier กรอก'!BX79='📝 Four-tier กรอก'!BX51,'📝 Four-tier กรอก'!BY79="Y",'📝 Four-tier กรอก'!BZ79='📝 Four-tier กรอก'!BZ51,'📝 Four-tier กรอก'!CA79="Y"),"✅ Sound",IF(AND('📝 Four-tier กรอก'!BX79='📝 Four-tier กรอก'!BX51,'📝 Four-tier กรอก'!BY79="Y",'📝 Four-tier กรอก'!BZ79&lt;&gt;'📝 Four-tier กรอก'!BZ51,'📝 Four-tier กรอก'!CA79="Y"),"🎲 Guess",IF(AND('📝 Four-tier กรอก'!BX79&lt;&gt;'📝 Four-tier กรอก'!BX51,'📝 Four-tier กรอก'!BY79="Y",'📝 Four-tier กรอก'!BZ79&lt;&gt;'📝 Four-tier กรอก'!BZ51,'📝 Four-tier กรอก'!CA79="Y"),"❌ Misc.",IF(AND('📝 Four-tier กรอก'!BX79&lt;&gt;'📝 Four-tier กรอก'!BX51,'📝 Four-tier กรอก'!BY79="N",'📝 Four-tier กรอก'!BZ79&lt;&gt;'📝 Four-tier กรอก'!BZ51,'📝 Four-tier กรอก'!CA79="N"),"❓ NoK","🤔 Partial")))))</f>
        <v/>
      </c>
      <c r="W78" s="68">
        <f>IF(OR('📝 Four-tier กรอก'!CB79="",'📝 Four-tier กรอก'!CD79=""),"—",IF(AND('📝 Four-tier กรอก'!CB79='📝 Four-tier กรอก'!CB51,'📝 Four-tier กรอก'!CC79="Y",'📝 Four-tier กรอก'!CD79='📝 Four-tier กรอก'!CD51,'📝 Four-tier กรอก'!CE79="Y"),"✅ Sound",IF(AND('📝 Four-tier กรอก'!CB79='📝 Four-tier กรอก'!CB51,'📝 Four-tier กรอก'!CC79="Y",'📝 Four-tier กรอก'!CD79&lt;&gt;'📝 Four-tier กรอก'!CD51,'📝 Four-tier กรอก'!CE79="Y"),"🎲 Guess",IF(AND('📝 Four-tier กรอก'!CB79&lt;&gt;'📝 Four-tier กรอก'!CB51,'📝 Four-tier กรอก'!CC79="Y",'📝 Four-tier กรอก'!CD79&lt;&gt;'📝 Four-tier กรอก'!CD51,'📝 Four-tier กรอก'!CE79="Y"),"❌ Misc.",IF(AND('📝 Four-tier กรอก'!CB79&lt;&gt;'📝 Four-tier กรอก'!CB51,'📝 Four-tier กรอก'!CC79="N",'📝 Four-tier กรอก'!CD79&lt;&gt;'📝 Four-tier กรอก'!CD51,'📝 Four-tier กรอก'!CE79="N"),"❓ NoK","🤔 Partial")))))</f>
        <v/>
      </c>
      <c r="X78" s="37">
        <f>COUNTIF(D78:W78,"✅ Sound")</f>
        <v/>
      </c>
      <c r="Y78" s="37">
        <f>COUNTIF(D78:W78,"❌ Misc.")</f>
        <v/>
      </c>
      <c r="Z78" s="37">
        <f>COUNTIF(D78:W78,"🎲 Guess")</f>
        <v/>
      </c>
      <c r="AA78" s="37">
        <f>COUNTIF(D78:W78,"❓ NoK")</f>
        <v/>
      </c>
    </row>
    <row r="79" ht="18" customHeight="1">
      <c r="B79" s="46">
        <f>'📝 Four-tier กรอก'!B80</f>
        <v/>
      </c>
      <c r="C79" s="47">
        <f>'📝 Four-tier กรอก'!C80</f>
        <v/>
      </c>
      <c r="D79" s="67">
        <f>IF(OR('📝 Four-tier กรอก'!D80="",'📝 Four-tier กรอก'!F80=""),"—",IF(AND('📝 Four-tier กรอก'!D80='📝 Four-tier กรอก'!D51,'📝 Four-tier กรอก'!E80="Y",'📝 Four-tier กรอก'!F80='📝 Four-tier กรอก'!F51,'📝 Four-tier กรอก'!G80="Y"),"✅ Sound",IF(AND('📝 Four-tier กรอก'!D80='📝 Four-tier กรอก'!D51,'📝 Four-tier กรอก'!E80="Y",'📝 Four-tier กรอก'!F80&lt;&gt;'📝 Four-tier กรอก'!F51,'📝 Four-tier กรอก'!G80="Y"),"🎲 Guess",IF(AND('📝 Four-tier กรอก'!D80&lt;&gt;'📝 Four-tier กรอก'!D51,'📝 Four-tier กรอก'!E80="Y",'📝 Four-tier กรอก'!F80&lt;&gt;'📝 Four-tier กรอก'!F51,'📝 Four-tier กรอก'!G80="Y"),"❌ Misc.",IF(AND('📝 Four-tier กรอก'!D80&lt;&gt;'📝 Four-tier กรอก'!D51,'📝 Four-tier กรอก'!E80="N",'📝 Four-tier กรอก'!F80&lt;&gt;'📝 Four-tier กรอก'!F51,'📝 Four-tier กรอก'!G80="N"),"❓ NoK","🤔 Partial")))))</f>
        <v/>
      </c>
      <c r="E79" s="67">
        <f>IF(OR('📝 Four-tier กรอก'!H80="",'📝 Four-tier กรอก'!J80=""),"—",IF(AND('📝 Four-tier กรอก'!H80='📝 Four-tier กรอก'!H51,'📝 Four-tier กรอก'!I80="Y",'📝 Four-tier กรอก'!J80='📝 Four-tier กรอก'!J51,'📝 Four-tier กรอก'!K80="Y"),"✅ Sound",IF(AND('📝 Four-tier กรอก'!H80='📝 Four-tier กรอก'!H51,'📝 Four-tier กรอก'!I80="Y",'📝 Four-tier กรอก'!J80&lt;&gt;'📝 Four-tier กรอก'!J51,'📝 Four-tier กรอก'!K80="Y"),"🎲 Guess",IF(AND('📝 Four-tier กรอก'!H80&lt;&gt;'📝 Four-tier กรอก'!H51,'📝 Four-tier กรอก'!I80="Y",'📝 Four-tier กรอก'!J80&lt;&gt;'📝 Four-tier กรอก'!J51,'📝 Four-tier กรอก'!K80="Y"),"❌ Misc.",IF(AND('📝 Four-tier กรอก'!H80&lt;&gt;'📝 Four-tier กรอก'!H51,'📝 Four-tier กรอก'!I80="N",'📝 Four-tier กรอก'!J80&lt;&gt;'📝 Four-tier กรอก'!J51,'📝 Four-tier กรอก'!K80="N"),"❓ NoK","🤔 Partial")))))</f>
        <v/>
      </c>
      <c r="F79" s="67">
        <f>IF(OR('📝 Four-tier กรอก'!L80="",'📝 Four-tier กรอก'!N80=""),"—",IF(AND('📝 Four-tier กรอก'!L80='📝 Four-tier กรอก'!L51,'📝 Four-tier กรอก'!M80="Y",'📝 Four-tier กรอก'!N80='📝 Four-tier กรอก'!N51,'📝 Four-tier กรอก'!O80="Y"),"✅ Sound",IF(AND('📝 Four-tier กรอก'!L80='📝 Four-tier กรอก'!L51,'📝 Four-tier กรอก'!M80="Y",'📝 Four-tier กรอก'!N80&lt;&gt;'📝 Four-tier กรอก'!N51,'📝 Four-tier กรอก'!O80="Y"),"🎲 Guess",IF(AND('📝 Four-tier กรอก'!L80&lt;&gt;'📝 Four-tier กรอก'!L51,'📝 Four-tier กรอก'!M80="Y",'📝 Four-tier กรอก'!N80&lt;&gt;'📝 Four-tier กรอก'!N51,'📝 Four-tier กรอก'!O80="Y"),"❌ Misc.",IF(AND('📝 Four-tier กรอก'!L80&lt;&gt;'📝 Four-tier กรอก'!L51,'📝 Four-tier กรอก'!M80="N",'📝 Four-tier กรอก'!N80&lt;&gt;'📝 Four-tier กรอก'!N51,'📝 Four-tier กรอก'!O80="N"),"❓ NoK","🤔 Partial")))))</f>
        <v/>
      </c>
      <c r="G79" s="67">
        <f>IF(OR('📝 Four-tier กรอก'!P80="",'📝 Four-tier กรอก'!R80=""),"—",IF(AND('📝 Four-tier กรอก'!P80='📝 Four-tier กรอก'!P51,'📝 Four-tier กรอก'!Q80="Y",'📝 Four-tier กรอก'!R80='📝 Four-tier กรอก'!R51,'📝 Four-tier กรอก'!S80="Y"),"✅ Sound",IF(AND('📝 Four-tier กรอก'!P80='📝 Four-tier กรอก'!P51,'📝 Four-tier กรอก'!Q80="Y",'📝 Four-tier กรอก'!R80&lt;&gt;'📝 Four-tier กรอก'!R51,'📝 Four-tier กรอก'!S80="Y"),"🎲 Guess",IF(AND('📝 Four-tier กรอก'!P80&lt;&gt;'📝 Four-tier กรอก'!P51,'📝 Four-tier กรอก'!Q80="Y",'📝 Four-tier กรอก'!R80&lt;&gt;'📝 Four-tier กรอก'!R51,'📝 Four-tier กรอก'!S80="Y"),"❌ Misc.",IF(AND('📝 Four-tier กรอก'!P80&lt;&gt;'📝 Four-tier กรอก'!P51,'📝 Four-tier กรอก'!Q80="N",'📝 Four-tier กรอก'!R80&lt;&gt;'📝 Four-tier กรอก'!R51,'📝 Four-tier กรอก'!S80="N"),"❓ NoK","🤔 Partial")))))</f>
        <v/>
      </c>
      <c r="H79" s="67">
        <f>IF(OR('📝 Four-tier กรอก'!T80="",'📝 Four-tier กรอก'!V80=""),"—",IF(AND('📝 Four-tier กรอก'!T80='📝 Four-tier กรอก'!T51,'📝 Four-tier กรอก'!U80="Y",'📝 Four-tier กรอก'!V80='📝 Four-tier กรอก'!V51,'📝 Four-tier กรอก'!W80="Y"),"✅ Sound",IF(AND('📝 Four-tier กรอก'!T80='📝 Four-tier กรอก'!T51,'📝 Four-tier กรอก'!U80="Y",'📝 Four-tier กรอก'!V80&lt;&gt;'📝 Four-tier กรอก'!V51,'📝 Four-tier กรอก'!W80="Y"),"🎲 Guess",IF(AND('📝 Four-tier กรอก'!T80&lt;&gt;'📝 Four-tier กรอก'!T51,'📝 Four-tier กรอก'!U80="Y",'📝 Four-tier กรอก'!V80&lt;&gt;'📝 Four-tier กรอก'!V51,'📝 Four-tier กรอก'!W80="Y"),"❌ Misc.",IF(AND('📝 Four-tier กรอก'!T80&lt;&gt;'📝 Four-tier กรอก'!T51,'📝 Four-tier กรอก'!U80="N",'📝 Four-tier กรอก'!V80&lt;&gt;'📝 Four-tier กรอก'!V51,'📝 Four-tier กรอก'!W80="N"),"❓ NoK","🤔 Partial")))))</f>
        <v/>
      </c>
      <c r="I79" s="67">
        <f>IF(OR('📝 Four-tier กรอก'!X80="",'📝 Four-tier กรอก'!Z80=""),"—",IF(AND('📝 Four-tier กรอก'!X80='📝 Four-tier กรอก'!X51,'📝 Four-tier กรอก'!Y80="Y",'📝 Four-tier กรอก'!Z80='📝 Four-tier กรอก'!Z51,'📝 Four-tier กรอก'!AA80="Y"),"✅ Sound",IF(AND('📝 Four-tier กรอก'!X80='📝 Four-tier กรอก'!X51,'📝 Four-tier กรอก'!Y80="Y",'📝 Four-tier กรอก'!Z80&lt;&gt;'📝 Four-tier กรอก'!Z51,'📝 Four-tier กรอก'!AA80="Y"),"🎲 Guess",IF(AND('📝 Four-tier กรอก'!X80&lt;&gt;'📝 Four-tier กรอก'!X51,'📝 Four-tier กรอก'!Y80="Y",'📝 Four-tier กรอก'!Z80&lt;&gt;'📝 Four-tier กรอก'!Z51,'📝 Four-tier กรอก'!AA80="Y"),"❌ Misc.",IF(AND('📝 Four-tier กรอก'!X80&lt;&gt;'📝 Four-tier กรอก'!X51,'📝 Four-tier กรอก'!Y80="N",'📝 Four-tier กรอก'!Z80&lt;&gt;'📝 Four-tier กรอก'!Z51,'📝 Four-tier กรอก'!AA80="N"),"❓ NoK","🤔 Partial")))))</f>
        <v/>
      </c>
      <c r="J79" s="67">
        <f>IF(OR('📝 Four-tier กรอก'!AB80="",'📝 Four-tier กรอก'!AD80=""),"—",IF(AND('📝 Four-tier กรอก'!AB80='📝 Four-tier กรอก'!AB51,'📝 Four-tier กรอก'!AC80="Y",'📝 Four-tier กรอก'!AD80='📝 Four-tier กรอก'!AD51,'📝 Four-tier กรอก'!AE80="Y"),"✅ Sound",IF(AND('📝 Four-tier กรอก'!AB80='📝 Four-tier กรอก'!AB51,'📝 Four-tier กรอก'!AC80="Y",'📝 Four-tier กรอก'!AD80&lt;&gt;'📝 Four-tier กรอก'!AD51,'📝 Four-tier กรอก'!AE80="Y"),"🎲 Guess",IF(AND('📝 Four-tier กรอก'!AB80&lt;&gt;'📝 Four-tier กรอก'!AB51,'📝 Four-tier กรอก'!AC80="Y",'📝 Four-tier กรอก'!AD80&lt;&gt;'📝 Four-tier กรอก'!AD51,'📝 Four-tier กรอก'!AE80="Y"),"❌ Misc.",IF(AND('📝 Four-tier กรอก'!AB80&lt;&gt;'📝 Four-tier กรอก'!AB51,'📝 Four-tier กรอก'!AC80="N",'📝 Four-tier กรอก'!AD80&lt;&gt;'📝 Four-tier กรอก'!AD51,'📝 Four-tier กรอก'!AE80="N"),"❓ NoK","🤔 Partial")))))</f>
        <v/>
      </c>
      <c r="K79" s="67">
        <f>IF(OR('📝 Four-tier กรอก'!AF80="",'📝 Four-tier กรอก'!AH80=""),"—",IF(AND('📝 Four-tier กรอก'!AF80='📝 Four-tier กรอก'!AF51,'📝 Four-tier กรอก'!AG80="Y",'📝 Four-tier กรอก'!AH80='📝 Four-tier กรอก'!AH51,'📝 Four-tier กรอก'!AI80="Y"),"✅ Sound",IF(AND('📝 Four-tier กรอก'!AF80='📝 Four-tier กรอก'!AF51,'📝 Four-tier กรอก'!AG80="Y",'📝 Four-tier กรอก'!AH80&lt;&gt;'📝 Four-tier กรอก'!AH51,'📝 Four-tier กรอก'!AI80="Y"),"🎲 Guess",IF(AND('📝 Four-tier กรอก'!AF80&lt;&gt;'📝 Four-tier กรอก'!AF51,'📝 Four-tier กรอก'!AG80="Y",'📝 Four-tier กรอก'!AH80&lt;&gt;'📝 Four-tier กรอก'!AH51,'📝 Four-tier กรอก'!AI80="Y"),"❌ Misc.",IF(AND('📝 Four-tier กรอก'!AF80&lt;&gt;'📝 Four-tier กรอก'!AF51,'📝 Four-tier กรอก'!AG80="N",'📝 Four-tier กรอก'!AH80&lt;&gt;'📝 Four-tier กรอก'!AH51,'📝 Four-tier กรอก'!AI80="N"),"❓ NoK","🤔 Partial")))))</f>
        <v/>
      </c>
      <c r="L79" s="67">
        <f>IF(OR('📝 Four-tier กรอก'!AJ80="",'📝 Four-tier กรอก'!AL80=""),"—",IF(AND('📝 Four-tier กรอก'!AJ80='📝 Four-tier กรอก'!AJ51,'📝 Four-tier กรอก'!AK80="Y",'📝 Four-tier กรอก'!AL80='📝 Four-tier กรอก'!AL51,'📝 Four-tier กรอก'!AM80="Y"),"✅ Sound",IF(AND('📝 Four-tier กรอก'!AJ80='📝 Four-tier กรอก'!AJ51,'📝 Four-tier กรอก'!AK80="Y",'📝 Four-tier กรอก'!AL80&lt;&gt;'📝 Four-tier กรอก'!AL51,'📝 Four-tier กรอก'!AM80="Y"),"🎲 Guess",IF(AND('📝 Four-tier กรอก'!AJ80&lt;&gt;'📝 Four-tier กรอก'!AJ51,'📝 Four-tier กรอก'!AK80="Y",'📝 Four-tier กรอก'!AL80&lt;&gt;'📝 Four-tier กรอก'!AL51,'📝 Four-tier กรอก'!AM80="Y"),"❌ Misc.",IF(AND('📝 Four-tier กรอก'!AJ80&lt;&gt;'📝 Four-tier กรอก'!AJ51,'📝 Four-tier กรอก'!AK80="N",'📝 Four-tier กรอก'!AL80&lt;&gt;'📝 Four-tier กรอก'!AL51,'📝 Four-tier กรอก'!AM80="N"),"❓ NoK","🤔 Partial")))))</f>
        <v/>
      </c>
      <c r="M79" s="67">
        <f>IF(OR('📝 Four-tier กรอก'!AN80="",'📝 Four-tier กรอก'!AP80=""),"—",IF(AND('📝 Four-tier กรอก'!AN80='📝 Four-tier กรอก'!AN51,'📝 Four-tier กรอก'!AO80="Y",'📝 Four-tier กรอก'!AP80='📝 Four-tier กรอก'!AP51,'📝 Four-tier กรอก'!AQ80="Y"),"✅ Sound",IF(AND('📝 Four-tier กรอก'!AN80='📝 Four-tier กรอก'!AN51,'📝 Four-tier กรอก'!AO80="Y",'📝 Four-tier กรอก'!AP80&lt;&gt;'📝 Four-tier กรอก'!AP51,'📝 Four-tier กรอก'!AQ80="Y"),"🎲 Guess",IF(AND('📝 Four-tier กรอก'!AN80&lt;&gt;'📝 Four-tier กรอก'!AN51,'📝 Four-tier กรอก'!AO80="Y",'📝 Four-tier กรอก'!AP80&lt;&gt;'📝 Four-tier กรอก'!AP51,'📝 Four-tier กรอก'!AQ80="Y"),"❌ Misc.",IF(AND('📝 Four-tier กรอก'!AN80&lt;&gt;'📝 Four-tier กรอก'!AN51,'📝 Four-tier กรอก'!AO80="N",'📝 Four-tier กรอก'!AP80&lt;&gt;'📝 Four-tier กรอก'!AP51,'📝 Four-tier กรอก'!AQ80="N"),"❓ NoK","🤔 Partial")))))</f>
        <v/>
      </c>
      <c r="N79" s="67">
        <f>IF(OR('📝 Four-tier กรอก'!AR80="",'📝 Four-tier กรอก'!AT80=""),"—",IF(AND('📝 Four-tier กรอก'!AR80='📝 Four-tier กรอก'!AR51,'📝 Four-tier กรอก'!AS80="Y",'📝 Four-tier กรอก'!AT80='📝 Four-tier กรอก'!AT51,'📝 Four-tier กรอก'!AU80="Y"),"✅ Sound",IF(AND('📝 Four-tier กรอก'!AR80='📝 Four-tier กรอก'!AR51,'📝 Four-tier กรอก'!AS80="Y",'📝 Four-tier กรอก'!AT80&lt;&gt;'📝 Four-tier กรอก'!AT51,'📝 Four-tier กรอก'!AU80="Y"),"🎲 Guess",IF(AND('📝 Four-tier กรอก'!AR80&lt;&gt;'📝 Four-tier กรอก'!AR51,'📝 Four-tier กรอก'!AS80="Y",'📝 Four-tier กรอก'!AT80&lt;&gt;'📝 Four-tier กรอก'!AT51,'📝 Four-tier กรอก'!AU80="Y"),"❌ Misc.",IF(AND('📝 Four-tier กรอก'!AR80&lt;&gt;'📝 Four-tier กรอก'!AR51,'📝 Four-tier กรอก'!AS80="N",'📝 Four-tier กรอก'!AT80&lt;&gt;'📝 Four-tier กรอก'!AT51,'📝 Four-tier กรอก'!AU80="N"),"❓ NoK","🤔 Partial")))))</f>
        <v/>
      </c>
      <c r="O79" s="67">
        <f>IF(OR('📝 Four-tier กรอก'!AV80="",'📝 Four-tier กรอก'!AX80=""),"—",IF(AND('📝 Four-tier กรอก'!AV80='📝 Four-tier กรอก'!AV51,'📝 Four-tier กรอก'!AW80="Y",'📝 Four-tier กรอก'!AX80='📝 Four-tier กรอก'!AX51,'📝 Four-tier กรอก'!AY80="Y"),"✅ Sound",IF(AND('📝 Four-tier กรอก'!AV80='📝 Four-tier กรอก'!AV51,'📝 Four-tier กรอก'!AW80="Y",'📝 Four-tier กรอก'!AX80&lt;&gt;'📝 Four-tier กรอก'!AX51,'📝 Four-tier กรอก'!AY80="Y"),"🎲 Guess",IF(AND('📝 Four-tier กรอก'!AV80&lt;&gt;'📝 Four-tier กรอก'!AV51,'📝 Four-tier กรอก'!AW80="Y",'📝 Four-tier กรอก'!AX80&lt;&gt;'📝 Four-tier กรอก'!AX51,'📝 Four-tier กรอก'!AY80="Y"),"❌ Misc.",IF(AND('📝 Four-tier กรอก'!AV80&lt;&gt;'📝 Four-tier กรอก'!AV51,'📝 Four-tier กรอก'!AW80="N",'📝 Four-tier กรอก'!AX80&lt;&gt;'📝 Four-tier กรอก'!AX51,'📝 Four-tier กรอก'!AY80="N"),"❓ NoK","🤔 Partial")))))</f>
        <v/>
      </c>
      <c r="P79" s="67">
        <f>IF(OR('📝 Four-tier กรอก'!AZ80="",'📝 Four-tier กรอก'!BB80=""),"—",IF(AND('📝 Four-tier กรอก'!AZ80='📝 Four-tier กรอก'!AZ51,'📝 Four-tier กรอก'!BA80="Y",'📝 Four-tier กรอก'!BB80='📝 Four-tier กรอก'!BB51,'📝 Four-tier กรอก'!BC80="Y"),"✅ Sound",IF(AND('📝 Four-tier กรอก'!AZ80='📝 Four-tier กรอก'!AZ51,'📝 Four-tier กรอก'!BA80="Y",'📝 Four-tier กรอก'!BB80&lt;&gt;'📝 Four-tier กรอก'!BB51,'📝 Four-tier กรอก'!BC80="Y"),"🎲 Guess",IF(AND('📝 Four-tier กรอก'!AZ80&lt;&gt;'📝 Four-tier กรอก'!AZ51,'📝 Four-tier กรอก'!BA80="Y",'📝 Four-tier กรอก'!BB80&lt;&gt;'📝 Four-tier กรอก'!BB51,'📝 Four-tier กรอก'!BC80="Y"),"❌ Misc.",IF(AND('📝 Four-tier กรอก'!AZ80&lt;&gt;'📝 Four-tier กรอก'!AZ51,'📝 Four-tier กรอก'!BA80="N",'📝 Four-tier กรอก'!BB80&lt;&gt;'📝 Four-tier กรอก'!BB51,'📝 Four-tier กรอก'!BC80="N"),"❓ NoK","🤔 Partial")))))</f>
        <v/>
      </c>
      <c r="Q79" s="67">
        <f>IF(OR('📝 Four-tier กรอก'!BD80="",'📝 Four-tier กรอก'!BF80=""),"—",IF(AND('📝 Four-tier กรอก'!BD80='📝 Four-tier กรอก'!BD51,'📝 Four-tier กรอก'!BE80="Y",'📝 Four-tier กรอก'!BF80='📝 Four-tier กรอก'!BF51,'📝 Four-tier กรอก'!BG80="Y"),"✅ Sound",IF(AND('📝 Four-tier กรอก'!BD80='📝 Four-tier กรอก'!BD51,'📝 Four-tier กรอก'!BE80="Y",'📝 Four-tier กรอก'!BF80&lt;&gt;'📝 Four-tier กรอก'!BF51,'📝 Four-tier กรอก'!BG80="Y"),"🎲 Guess",IF(AND('📝 Four-tier กรอก'!BD80&lt;&gt;'📝 Four-tier กรอก'!BD51,'📝 Four-tier กรอก'!BE80="Y",'📝 Four-tier กรอก'!BF80&lt;&gt;'📝 Four-tier กรอก'!BF51,'📝 Four-tier กรอก'!BG80="Y"),"❌ Misc.",IF(AND('📝 Four-tier กรอก'!BD80&lt;&gt;'📝 Four-tier กรอก'!BD51,'📝 Four-tier กรอก'!BE80="N",'📝 Four-tier กรอก'!BF80&lt;&gt;'📝 Four-tier กรอก'!BF51,'📝 Four-tier กรอก'!BG80="N"),"❓ NoK","🤔 Partial")))))</f>
        <v/>
      </c>
      <c r="R79" s="67">
        <f>IF(OR('📝 Four-tier กรอก'!BH80="",'📝 Four-tier กรอก'!BJ80=""),"—",IF(AND('📝 Four-tier กรอก'!BH80='📝 Four-tier กรอก'!BH51,'📝 Four-tier กรอก'!BI80="Y",'📝 Four-tier กรอก'!BJ80='📝 Four-tier กรอก'!BJ51,'📝 Four-tier กรอก'!BK80="Y"),"✅ Sound",IF(AND('📝 Four-tier กรอก'!BH80='📝 Four-tier กรอก'!BH51,'📝 Four-tier กรอก'!BI80="Y",'📝 Four-tier กรอก'!BJ80&lt;&gt;'📝 Four-tier กรอก'!BJ51,'📝 Four-tier กรอก'!BK80="Y"),"🎲 Guess",IF(AND('📝 Four-tier กรอก'!BH80&lt;&gt;'📝 Four-tier กรอก'!BH51,'📝 Four-tier กรอก'!BI80="Y",'📝 Four-tier กรอก'!BJ80&lt;&gt;'📝 Four-tier กรอก'!BJ51,'📝 Four-tier กรอก'!BK80="Y"),"❌ Misc.",IF(AND('📝 Four-tier กรอก'!BH80&lt;&gt;'📝 Four-tier กรอก'!BH51,'📝 Four-tier กรอก'!BI80="N",'📝 Four-tier กรอก'!BJ80&lt;&gt;'📝 Four-tier กรอก'!BJ51,'📝 Four-tier กรอก'!BK80="N"),"❓ NoK","🤔 Partial")))))</f>
        <v/>
      </c>
      <c r="S79" s="67">
        <f>IF(OR('📝 Four-tier กรอก'!BL80="",'📝 Four-tier กรอก'!BN80=""),"—",IF(AND('📝 Four-tier กรอก'!BL80='📝 Four-tier กรอก'!BL51,'📝 Four-tier กรอก'!BM80="Y",'📝 Four-tier กรอก'!BN80='📝 Four-tier กรอก'!BN51,'📝 Four-tier กรอก'!BO80="Y"),"✅ Sound",IF(AND('📝 Four-tier กรอก'!BL80='📝 Four-tier กรอก'!BL51,'📝 Four-tier กรอก'!BM80="Y",'📝 Four-tier กรอก'!BN80&lt;&gt;'📝 Four-tier กรอก'!BN51,'📝 Four-tier กรอก'!BO80="Y"),"🎲 Guess",IF(AND('📝 Four-tier กรอก'!BL80&lt;&gt;'📝 Four-tier กรอก'!BL51,'📝 Four-tier กรอก'!BM80="Y",'📝 Four-tier กรอก'!BN80&lt;&gt;'📝 Four-tier กรอก'!BN51,'📝 Four-tier กรอก'!BO80="Y"),"❌ Misc.",IF(AND('📝 Four-tier กรอก'!BL80&lt;&gt;'📝 Four-tier กรอก'!BL51,'📝 Four-tier กรอก'!BM80="N",'📝 Four-tier กรอก'!BN80&lt;&gt;'📝 Four-tier กรอก'!BN51,'📝 Four-tier กรอก'!BO80="N"),"❓ NoK","🤔 Partial")))))</f>
        <v/>
      </c>
      <c r="T79" s="67">
        <f>IF(OR('📝 Four-tier กรอก'!BP80="",'📝 Four-tier กรอก'!BR80=""),"—",IF(AND('📝 Four-tier กรอก'!BP80='📝 Four-tier กรอก'!BP51,'📝 Four-tier กรอก'!BQ80="Y",'📝 Four-tier กรอก'!BR80='📝 Four-tier กรอก'!BR51,'📝 Four-tier กรอก'!BS80="Y"),"✅ Sound",IF(AND('📝 Four-tier กรอก'!BP80='📝 Four-tier กรอก'!BP51,'📝 Four-tier กรอก'!BQ80="Y",'📝 Four-tier กรอก'!BR80&lt;&gt;'📝 Four-tier กรอก'!BR51,'📝 Four-tier กรอก'!BS80="Y"),"🎲 Guess",IF(AND('📝 Four-tier กรอก'!BP80&lt;&gt;'📝 Four-tier กรอก'!BP51,'📝 Four-tier กรอก'!BQ80="Y",'📝 Four-tier กรอก'!BR80&lt;&gt;'📝 Four-tier กรอก'!BR51,'📝 Four-tier กรอก'!BS80="Y"),"❌ Misc.",IF(AND('📝 Four-tier กรอก'!BP80&lt;&gt;'📝 Four-tier กรอก'!BP51,'📝 Four-tier กรอก'!BQ80="N",'📝 Four-tier กรอก'!BR80&lt;&gt;'📝 Four-tier กรอก'!BR51,'📝 Four-tier กรอก'!BS80="N"),"❓ NoK","🤔 Partial")))))</f>
        <v/>
      </c>
      <c r="U79" s="67">
        <f>IF(OR('📝 Four-tier กรอก'!BT80="",'📝 Four-tier กรอก'!BV80=""),"—",IF(AND('📝 Four-tier กรอก'!BT80='📝 Four-tier กรอก'!BT51,'📝 Four-tier กรอก'!BU80="Y",'📝 Four-tier กรอก'!BV80='📝 Four-tier กรอก'!BV51,'📝 Four-tier กรอก'!BW80="Y"),"✅ Sound",IF(AND('📝 Four-tier กรอก'!BT80='📝 Four-tier กรอก'!BT51,'📝 Four-tier กรอก'!BU80="Y",'📝 Four-tier กรอก'!BV80&lt;&gt;'📝 Four-tier กรอก'!BV51,'📝 Four-tier กรอก'!BW80="Y"),"🎲 Guess",IF(AND('📝 Four-tier กรอก'!BT80&lt;&gt;'📝 Four-tier กรอก'!BT51,'📝 Four-tier กรอก'!BU80="Y",'📝 Four-tier กรอก'!BV80&lt;&gt;'📝 Four-tier กรอก'!BV51,'📝 Four-tier กรอก'!BW80="Y"),"❌ Misc.",IF(AND('📝 Four-tier กรอก'!BT80&lt;&gt;'📝 Four-tier กรอก'!BT51,'📝 Four-tier กรอก'!BU80="N",'📝 Four-tier กรอก'!BV80&lt;&gt;'📝 Four-tier กรอก'!BV51,'📝 Four-tier กรอก'!BW80="N"),"❓ NoK","🤔 Partial")))))</f>
        <v/>
      </c>
      <c r="V79" s="67">
        <f>IF(OR('📝 Four-tier กรอก'!BX80="",'📝 Four-tier กรอก'!BZ80=""),"—",IF(AND('📝 Four-tier กรอก'!BX80='📝 Four-tier กรอก'!BX51,'📝 Four-tier กรอก'!BY80="Y",'📝 Four-tier กรอก'!BZ80='📝 Four-tier กรอก'!BZ51,'📝 Four-tier กรอก'!CA80="Y"),"✅ Sound",IF(AND('📝 Four-tier กรอก'!BX80='📝 Four-tier กรอก'!BX51,'📝 Four-tier กรอก'!BY80="Y",'📝 Four-tier กรอก'!BZ80&lt;&gt;'📝 Four-tier กรอก'!BZ51,'📝 Four-tier กรอก'!CA80="Y"),"🎲 Guess",IF(AND('📝 Four-tier กรอก'!BX80&lt;&gt;'📝 Four-tier กรอก'!BX51,'📝 Four-tier กรอก'!BY80="Y",'📝 Four-tier กรอก'!BZ80&lt;&gt;'📝 Four-tier กรอก'!BZ51,'📝 Four-tier กรอก'!CA80="Y"),"❌ Misc.",IF(AND('📝 Four-tier กรอก'!BX80&lt;&gt;'📝 Four-tier กรอก'!BX51,'📝 Four-tier กรอก'!BY80="N",'📝 Four-tier กรอก'!BZ80&lt;&gt;'📝 Four-tier กรอก'!BZ51,'📝 Four-tier กรอก'!CA80="N"),"❓ NoK","🤔 Partial")))))</f>
        <v/>
      </c>
      <c r="W79" s="67">
        <f>IF(OR('📝 Four-tier กรอก'!CB80="",'📝 Four-tier กรอก'!CD80=""),"—",IF(AND('📝 Four-tier กรอก'!CB80='📝 Four-tier กรอก'!CB51,'📝 Four-tier กรอก'!CC80="Y",'📝 Four-tier กรอก'!CD80='📝 Four-tier กรอก'!CD51,'📝 Four-tier กรอก'!CE80="Y"),"✅ Sound",IF(AND('📝 Four-tier กรอก'!CB80='📝 Four-tier กรอก'!CB51,'📝 Four-tier กรอก'!CC80="Y",'📝 Four-tier กรอก'!CD80&lt;&gt;'📝 Four-tier กรอก'!CD51,'📝 Four-tier กรอก'!CE80="Y"),"🎲 Guess",IF(AND('📝 Four-tier กรอก'!CB80&lt;&gt;'📝 Four-tier กรอก'!CB51,'📝 Four-tier กรอก'!CC80="Y",'📝 Four-tier กรอก'!CD80&lt;&gt;'📝 Four-tier กรอก'!CD51,'📝 Four-tier กรอก'!CE80="Y"),"❌ Misc.",IF(AND('📝 Four-tier กรอก'!CB80&lt;&gt;'📝 Four-tier กรอก'!CB51,'📝 Four-tier กรอก'!CC80="N",'📝 Four-tier กรอก'!CD80&lt;&gt;'📝 Four-tier กรอก'!CD51,'📝 Four-tier กรอก'!CE80="N"),"❓ NoK","🤔 Partial")))))</f>
        <v/>
      </c>
      <c r="X79" s="37">
        <f>COUNTIF(D79:W79,"✅ Sound")</f>
        <v/>
      </c>
      <c r="Y79" s="37">
        <f>COUNTIF(D79:W79,"❌ Misc.")</f>
        <v/>
      </c>
      <c r="Z79" s="37">
        <f>COUNTIF(D79:W79,"🎲 Guess")</f>
        <v/>
      </c>
      <c r="AA79" s="37">
        <f>COUNTIF(D79:W79,"❓ NoK")</f>
        <v/>
      </c>
    </row>
    <row r="80" ht="18" customHeight="1">
      <c r="B80" s="46">
        <f>'📝 Four-tier กรอก'!B81</f>
        <v/>
      </c>
      <c r="C80" s="51">
        <f>'📝 Four-tier กรอก'!C81</f>
        <v/>
      </c>
      <c r="D80" s="68">
        <f>IF(OR('📝 Four-tier กรอก'!D81="",'📝 Four-tier กรอก'!F81=""),"—",IF(AND('📝 Four-tier กรอก'!D81='📝 Four-tier กรอก'!D51,'📝 Four-tier กรอก'!E81="Y",'📝 Four-tier กรอก'!F81='📝 Four-tier กรอก'!F51,'📝 Four-tier กรอก'!G81="Y"),"✅ Sound",IF(AND('📝 Four-tier กรอก'!D81='📝 Four-tier กรอก'!D51,'📝 Four-tier กรอก'!E81="Y",'📝 Four-tier กรอก'!F81&lt;&gt;'📝 Four-tier กรอก'!F51,'📝 Four-tier กรอก'!G81="Y"),"🎲 Guess",IF(AND('📝 Four-tier กรอก'!D81&lt;&gt;'📝 Four-tier กรอก'!D51,'📝 Four-tier กรอก'!E81="Y",'📝 Four-tier กรอก'!F81&lt;&gt;'📝 Four-tier กรอก'!F51,'📝 Four-tier กรอก'!G81="Y"),"❌ Misc.",IF(AND('📝 Four-tier กรอก'!D81&lt;&gt;'📝 Four-tier กรอก'!D51,'📝 Four-tier กรอก'!E81="N",'📝 Four-tier กรอก'!F81&lt;&gt;'📝 Four-tier กรอก'!F51,'📝 Four-tier กรอก'!G81="N"),"❓ NoK","🤔 Partial")))))</f>
        <v/>
      </c>
      <c r="E80" s="68">
        <f>IF(OR('📝 Four-tier กรอก'!H81="",'📝 Four-tier กรอก'!J81=""),"—",IF(AND('📝 Four-tier กรอก'!H81='📝 Four-tier กรอก'!H51,'📝 Four-tier กรอก'!I81="Y",'📝 Four-tier กรอก'!J81='📝 Four-tier กรอก'!J51,'📝 Four-tier กรอก'!K81="Y"),"✅ Sound",IF(AND('📝 Four-tier กรอก'!H81='📝 Four-tier กรอก'!H51,'📝 Four-tier กรอก'!I81="Y",'📝 Four-tier กรอก'!J81&lt;&gt;'📝 Four-tier กรอก'!J51,'📝 Four-tier กรอก'!K81="Y"),"🎲 Guess",IF(AND('📝 Four-tier กรอก'!H81&lt;&gt;'📝 Four-tier กรอก'!H51,'📝 Four-tier กรอก'!I81="Y",'📝 Four-tier กรอก'!J81&lt;&gt;'📝 Four-tier กรอก'!J51,'📝 Four-tier กรอก'!K81="Y"),"❌ Misc.",IF(AND('📝 Four-tier กรอก'!H81&lt;&gt;'📝 Four-tier กรอก'!H51,'📝 Four-tier กรอก'!I81="N",'📝 Four-tier กรอก'!J81&lt;&gt;'📝 Four-tier กรอก'!J51,'📝 Four-tier กรอก'!K81="N"),"❓ NoK","🤔 Partial")))))</f>
        <v/>
      </c>
      <c r="F80" s="68">
        <f>IF(OR('📝 Four-tier กรอก'!L81="",'📝 Four-tier กรอก'!N81=""),"—",IF(AND('📝 Four-tier กรอก'!L81='📝 Four-tier กรอก'!L51,'📝 Four-tier กรอก'!M81="Y",'📝 Four-tier กรอก'!N81='📝 Four-tier กรอก'!N51,'📝 Four-tier กรอก'!O81="Y"),"✅ Sound",IF(AND('📝 Four-tier กรอก'!L81='📝 Four-tier กรอก'!L51,'📝 Four-tier กรอก'!M81="Y",'📝 Four-tier กรอก'!N81&lt;&gt;'📝 Four-tier กรอก'!N51,'📝 Four-tier กรอก'!O81="Y"),"🎲 Guess",IF(AND('📝 Four-tier กรอก'!L81&lt;&gt;'📝 Four-tier กรอก'!L51,'📝 Four-tier กรอก'!M81="Y",'📝 Four-tier กรอก'!N81&lt;&gt;'📝 Four-tier กรอก'!N51,'📝 Four-tier กรอก'!O81="Y"),"❌ Misc.",IF(AND('📝 Four-tier กรอก'!L81&lt;&gt;'📝 Four-tier กรอก'!L51,'📝 Four-tier กรอก'!M81="N",'📝 Four-tier กรอก'!N81&lt;&gt;'📝 Four-tier กรอก'!N51,'📝 Four-tier กรอก'!O81="N"),"❓ NoK","🤔 Partial")))))</f>
        <v/>
      </c>
      <c r="G80" s="68">
        <f>IF(OR('📝 Four-tier กรอก'!P81="",'📝 Four-tier กรอก'!R81=""),"—",IF(AND('📝 Four-tier กรอก'!P81='📝 Four-tier กรอก'!P51,'📝 Four-tier กรอก'!Q81="Y",'📝 Four-tier กรอก'!R81='📝 Four-tier กรอก'!R51,'📝 Four-tier กรอก'!S81="Y"),"✅ Sound",IF(AND('📝 Four-tier กรอก'!P81='📝 Four-tier กรอก'!P51,'📝 Four-tier กรอก'!Q81="Y",'📝 Four-tier กรอก'!R81&lt;&gt;'📝 Four-tier กรอก'!R51,'📝 Four-tier กรอก'!S81="Y"),"🎲 Guess",IF(AND('📝 Four-tier กรอก'!P81&lt;&gt;'📝 Four-tier กรอก'!P51,'📝 Four-tier กรอก'!Q81="Y",'📝 Four-tier กรอก'!R81&lt;&gt;'📝 Four-tier กรอก'!R51,'📝 Four-tier กรอก'!S81="Y"),"❌ Misc.",IF(AND('📝 Four-tier กรอก'!P81&lt;&gt;'📝 Four-tier กรอก'!P51,'📝 Four-tier กรอก'!Q81="N",'📝 Four-tier กรอก'!R81&lt;&gt;'📝 Four-tier กรอก'!R51,'📝 Four-tier กรอก'!S81="N"),"❓ NoK","🤔 Partial")))))</f>
        <v/>
      </c>
      <c r="H80" s="68">
        <f>IF(OR('📝 Four-tier กรอก'!T81="",'📝 Four-tier กรอก'!V81=""),"—",IF(AND('📝 Four-tier กรอก'!T81='📝 Four-tier กรอก'!T51,'📝 Four-tier กรอก'!U81="Y",'📝 Four-tier กรอก'!V81='📝 Four-tier กรอก'!V51,'📝 Four-tier กรอก'!W81="Y"),"✅ Sound",IF(AND('📝 Four-tier กรอก'!T81='📝 Four-tier กรอก'!T51,'📝 Four-tier กรอก'!U81="Y",'📝 Four-tier กรอก'!V81&lt;&gt;'📝 Four-tier กรอก'!V51,'📝 Four-tier กรอก'!W81="Y"),"🎲 Guess",IF(AND('📝 Four-tier กรอก'!T81&lt;&gt;'📝 Four-tier กรอก'!T51,'📝 Four-tier กรอก'!U81="Y",'📝 Four-tier กรอก'!V81&lt;&gt;'📝 Four-tier กรอก'!V51,'📝 Four-tier กรอก'!W81="Y"),"❌ Misc.",IF(AND('📝 Four-tier กรอก'!T81&lt;&gt;'📝 Four-tier กรอก'!T51,'📝 Four-tier กรอก'!U81="N",'📝 Four-tier กรอก'!V81&lt;&gt;'📝 Four-tier กรอก'!V51,'📝 Four-tier กรอก'!W81="N"),"❓ NoK","🤔 Partial")))))</f>
        <v/>
      </c>
      <c r="I80" s="68">
        <f>IF(OR('📝 Four-tier กรอก'!X81="",'📝 Four-tier กรอก'!Z81=""),"—",IF(AND('📝 Four-tier กรอก'!X81='📝 Four-tier กรอก'!X51,'📝 Four-tier กรอก'!Y81="Y",'📝 Four-tier กรอก'!Z81='📝 Four-tier กรอก'!Z51,'📝 Four-tier กรอก'!AA81="Y"),"✅ Sound",IF(AND('📝 Four-tier กรอก'!X81='📝 Four-tier กรอก'!X51,'📝 Four-tier กรอก'!Y81="Y",'📝 Four-tier กรอก'!Z81&lt;&gt;'📝 Four-tier กรอก'!Z51,'📝 Four-tier กรอก'!AA81="Y"),"🎲 Guess",IF(AND('📝 Four-tier กรอก'!X81&lt;&gt;'📝 Four-tier กรอก'!X51,'📝 Four-tier กรอก'!Y81="Y",'📝 Four-tier กรอก'!Z81&lt;&gt;'📝 Four-tier กรอก'!Z51,'📝 Four-tier กรอก'!AA81="Y"),"❌ Misc.",IF(AND('📝 Four-tier กรอก'!X81&lt;&gt;'📝 Four-tier กรอก'!X51,'📝 Four-tier กรอก'!Y81="N",'📝 Four-tier กรอก'!Z81&lt;&gt;'📝 Four-tier กรอก'!Z51,'📝 Four-tier กรอก'!AA81="N"),"❓ NoK","🤔 Partial")))))</f>
        <v/>
      </c>
      <c r="J80" s="68">
        <f>IF(OR('📝 Four-tier กรอก'!AB81="",'📝 Four-tier กรอก'!AD81=""),"—",IF(AND('📝 Four-tier กรอก'!AB81='📝 Four-tier กรอก'!AB51,'📝 Four-tier กรอก'!AC81="Y",'📝 Four-tier กรอก'!AD81='📝 Four-tier กรอก'!AD51,'📝 Four-tier กรอก'!AE81="Y"),"✅ Sound",IF(AND('📝 Four-tier กรอก'!AB81='📝 Four-tier กรอก'!AB51,'📝 Four-tier กรอก'!AC81="Y",'📝 Four-tier กรอก'!AD81&lt;&gt;'📝 Four-tier กรอก'!AD51,'📝 Four-tier กรอก'!AE81="Y"),"🎲 Guess",IF(AND('📝 Four-tier กรอก'!AB81&lt;&gt;'📝 Four-tier กรอก'!AB51,'📝 Four-tier กรอก'!AC81="Y",'📝 Four-tier กรอก'!AD81&lt;&gt;'📝 Four-tier กรอก'!AD51,'📝 Four-tier กรอก'!AE81="Y"),"❌ Misc.",IF(AND('📝 Four-tier กรอก'!AB81&lt;&gt;'📝 Four-tier กรอก'!AB51,'📝 Four-tier กรอก'!AC81="N",'📝 Four-tier กรอก'!AD81&lt;&gt;'📝 Four-tier กรอก'!AD51,'📝 Four-tier กรอก'!AE81="N"),"❓ NoK","🤔 Partial")))))</f>
        <v/>
      </c>
      <c r="K80" s="68">
        <f>IF(OR('📝 Four-tier กรอก'!AF81="",'📝 Four-tier กรอก'!AH81=""),"—",IF(AND('📝 Four-tier กรอก'!AF81='📝 Four-tier กรอก'!AF51,'📝 Four-tier กรอก'!AG81="Y",'📝 Four-tier กรอก'!AH81='📝 Four-tier กรอก'!AH51,'📝 Four-tier กรอก'!AI81="Y"),"✅ Sound",IF(AND('📝 Four-tier กรอก'!AF81='📝 Four-tier กรอก'!AF51,'📝 Four-tier กรอก'!AG81="Y",'📝 Four-tier กรอก'!AH81&lt;&gt;'📝 Four-tier กรอก'!AH51,'📝 Four-tier กรอก'!AI81="Y"),"🎲 Guess",IF(AND('📝 Four-tier กรอก'!AF81&lt;&gt;'📝 Four-tier กรอก'!AF51,'📝 Four-tier กรอก'!AG81="Y",'📝 Four-tier กรอก'!AH81&lt;&gt;'📝 Four-tier กรอก'!AH51,'📝 Four-tier กรอก'!AI81="Y"),"❌ Misc.",IF(AND('📝 Four-tier กรอก'!AF81&lt;&gt;'📝 Four-tier กรอก'!AF51,'📝 Four-tier กรอก'!AG81="N",'📝 Four-tier กรอก'!AH81&lt;&gt;'📝 Four-tier กรอก'!AH51,'📝 Four-tier กรอก'!AI81="N"),"❓ NoK","🤔 Partial")))))</f>
        <v/>
      </c>
      <c r="L80" s="68">
        <f>IF(OR('📝 Four-tier กรอก'!AJ81="",'📝 Four-tier กรอก'!AL81=""),"—",IF(AND('📝 Four-tier กรอก'!AJ81='📝 Four-tier กรอก'!AJ51,'📝 Four-tier กรอก'!AK81="Y",'📝 Four-tier กรอก'!AL81='📝 Four-tier กรอก'!AL51,'📝 Four-tier กรอก'!AM81="Y"),"✅ Sound",IF(AND('📝 Four-tier กรอก'!AJ81='📝 Four-tier กรอก'!AJ51,'📝 Four-tier กรอก'!AK81="Y",'📝 Four-tier กรอก'!AL81&lt;&gt;'📝 Four-tier กรอก'!AL51,'📝 Four-tier กรอก'!AM81="Y"),"🎲 Guess",IF(AND('📝 Four-tier กรอก'!AJ81&lt;&gt;'📝 Four-tier กรอก'!AJ51,'📝 Four-tier กรอก'!AK81="Y",'📝 Four-tier กรอก'!AL81&lt;&gt;'📝 Four-tier กรอก'!AL51,'📝 Four-tier กรอก'!AM81="Y"),"❌ Misc.",IF(AND('📝 Four-tier กรอก'!AJ81&lt;&gt;'📝 Four-tier กรอก'!AJ51,'📝 Four-tier กรอก'!AK81="N",'📝 Four-tier กรอก'!AL81&lt;&gt;'📝 Four-tier กรอก'!AL51,'📝 Four-tier กรอก'!AM81="N"),"❓ NoK","🤔 Partial")))))</f>
        <v/>
      </c>
      <c r="M80" s="68">
        <f>IF(OR('📝 Four-tier กรอก'!AN81="",'📝 Four-tier กรอก'!AP81=""),"—",IF(AND('📝 Four-tier กรอก'!AN81='📝 Four-tier กรอก'!AN51,'📝 Four-tier กรอก'!AO81="Y",'📝 Four-tier กรอก'!AP81='📝 Four-tier กรอก'!AP51,'📝 Four-tier กรอก'!AQ81="Y"),"✅ Sound",IF(AND('📝 Four-tier กรอก'!AN81='📝 Four-tier กรอก'!AN51,'📝 Four-tier กรอก'!AO81="Y",'📝 Four-tier กรอก'!AP81&lt;&gt;'📝 Four-tier กรอก'!AP51,'📝 Four-tier กรอก'!AQ81="Y"),"🎲 Guess",IF(AND('📝 Four-tier กรอก'!AN81&lt;&gt;'📝 Four-tier กรอก'!AN51,'📝 Four-tier กรอก'!AO81="Y",'📝 Four-tier กรอก'!AP81&lt;&gt;'📝 Four-tier กรอก'!AP51,'📝 Four-tier กรอก'!AQ81="Y"),"❌ Misc.",IF(AND('📝 Four-tier กรอก'!AN81&lt;&gt;'📝 Four-tier กรอก'!AN51,'📝 Four-tier กรอก'!AO81="N",'📝 Four-tier กรอก'!AP81&lt;&gt;'📝 Four-tier กรอก'!AP51,'📝 Four-tier กรอก'!AQ81="N"),"❓ NoK","🤔 Partial")))))</f>
        <v/>
      </c>
      <c r="N80" s="68">
        <f>IF(OR('📝 Four-tier กรอก'!AR81="",'📝 Four-tier กรอก'!AT81=""),"—",IF(AND('📝 Four-tier กรอก'!AR81='📝 Four-tier กรอก'!AR51,'📝 Four-tier กรอก'!AS81="Y",'📝 Four-tier กรอก'!AT81='📝 Four-tier กรอก'!AT51,'📝 Four-tier กรอก'!AU81="Y"),"✅ Sound",IF(AND('📝 Four-tier กรอก'!AR81='📝 Four-tier กรอก'!AR51,'📝 Four-tier กรอก'!AS81="Y",'📝 Four-tier กรอก'!AT81&lt;&gt;'📝 Four-tier กรอก'!AT51,'📝 Four-tier กรอก'!AU81="Y"),"🎲 Guess",IF(AND('📝 Four-tier กรอก'!AR81&lt;&gt;'📝 Four-tier กรอก'!AR51,'📝 Four-tier กรอก'!AS81="Y",'📝 Four-tier กรอก'!AT81&lt;&gt;'📝 Four-tier กรอก'!AT51,'📝 Four-tier กรอก'!AU81="Y"),"❌ Misc.",IF(AND('📝 Four-tier กรอก'!AR81&lt;&gt;'📝 Four-tier กรอก'!AR51,'📝 Four-tier กรอก'!AS81="N",'📝 Four-tier กรอก'!AT81&lt;&gt;'📝 Four-tier กรอก'!AT51,'📝 Four-tier กรอก'!AU81="N"),"❓ NoK","🤔 Partial")))))</f>
        <v/>
      </c>
      <c r="O80" s="68">
        <f>IF(OR('📝 Four-tier กรอก'!AV81="",'📝 Four-tier กรอก'!AX81=""),"—",IF(AND('📝 Four-tier กรอก'!AV81='📝 Four-tier กรอก'!AV51,'📝 Four-tier กรอก'!AW81="Y",'📝 Four-tier กรอก'!AX81='📝 Four-tier กรอก'!AX51,'📝 Four-tier กรอก'!AY81="Y"),"✅ Sound",IF(AND('📝 Four-tier กรอก'!AV81='📝 Four-tier กรอก'!AV51,'📝 Four-tier กรอก'!AW81="Y",'📝 Four-tier กรอก'!AX81&lt;&gt;'📝 Four-tier กรอก'!AX51,'📝 Four-tier กรอก'!AY81="Y"),"🎲 Guess",IF(AND('📝 Four-tier กรอก'!AV81&lt;&gt;'📝 Four-tier กรอก'!AV51,'📝 Four-tier กรอก'!AW81="Y",'📝 Four-tier กรอก'!AX81&lt;&gt;'📝 Four-tier กรอก'!AX51,'📝 Four-tier กรอก'!AY81="Y"),"❌ Misc.",IF(AND('📝 Four-tier กรอก'!AV81&lt;&gt;'📝 Four-tier กรอก'!AV51,'📝 Four-tier กรอก'!AW81="N",'📝 Four-tier กรอก'!AX81&lt;&gt;'📝 Four-tier กรอก'!AX51,'📝 Four-tier กรอก'!AY81="N"),"❓ NoK","🤔 Partial")))))</f>
        <v/>
      </c>
      <c r="P80" s="68">
        <f>IF(OR('📝 Four-tier กรอก'!AZ81="",'📝 Four-tier กรอก'!BB81=""),"—",IF(AND('📝 Four-tier กรอก'!AZ81='📝 Four-tier กรอก'!AZ51,'📝 Four-tier กรอก'!BA81="Y",'📝 Four-tier กรอก'!BB81='📝 Four-tier กรอก'!BB51,'📝 Four-tier กรอก'!BC81="Y"),"✅ Sound",IF(AND('📝 Four-tier กรอก'!AZ81='📝 Four-tier กรอก'!AZ51,'📝 Four-tier กรอก'!BA81="Y",'📝 Four-tier กรอก'!BB81&lt;&gt;'📝 Four-tier กรอก'!BB51,'📝 Four-tier กรอก'!BC81="Y"),"🎲 Guess",IF(AND('📝 Four-tier กรอก'!AZ81&lt;&gt;'📝 Four-tier กรอก'!AZ51,'📝 Four-tier กรอก'!BA81="Y",'📝 Four-tier กรอก'!BB81&lt;&gt;'📝 Four-tier กรอก'!BB51,'📝 Four-tier กรอก'!BC81="Y"),"❌ Misc.",IF(AND('📝 Four-tier กรอก'!AZ81&lt;&gt;'📝 Four-tier กรอก'!AZ51,'📝 Four-tier กรอก'!BA81="N",'📝 Four-tier กรอก'!BB81&lt;&gt;'📝 Four-tier กรอก'!BB51,'📝 Four-tier กรอก'!BC81="N"),"❓ NoK","🤔 Partial")))))</f>
        <v/>
      </c>
      <c r="Q80" s="68">
        <f>IF(OR('📝 Four-tier กรอก'!BD81="",'📝 Four-tier กรอก'!BF81=""),"—",IF(AND('📝 Four-tier กรอก'!BD81='📝 Four-tier กรอก'!BD51,'📝 Four-tier กรอก'!BE81="Y",'📝 Four-tier กรอก'!BF81='📝 Four-tier กรอก'!BF51,'📝 Four-tier กรอก'!BG81="Y"),"✅ Sound",IF(AND('📝 Four-tier กรอก'!BD81='📝 Four-tier กรอก'!BD51,'📝 Four-tier กรอก'!BE81="Y",'📝 Four-tier กรอก'!BF81&lt;&gt;'📝 Four-tier กรอก'!BF51,'📝 Four-tier กรอก'!BG81="Y"),"🎲 Guess",IF(AND('📝 Four-tier กรอก'!BD81&lt;&gt;'📝 Four-tier กรอก'!BD51,'📝 Four-tier กรอก'!BE81="Y",'📝 Four-tier กรอก'!BF81&lt;&gt;'📝 Four-tier กรอก'!BF51,'📝 Four-tier กรอก'!BG81="Y"),"❌ Misc.",IF(AND('📝 Four-tier กรอก'!BD81&lt;&gt;'📝 Four-tier กรอก'!BD51,'📝 Four-tier กรอก'!BE81="N",'📝 Four-tier กรอก'!BF81&lt;&gt;'📝 Four-tier กรอก'!BF51,'📝 Four-tier กรอก'!BG81="N"),"❓ NoK","🤔 Partial")))))</f>
        <v/>
      </c>
      <c r="R80" s="68">
        <f>IF(OR('📝 Four-tier กรอก'!BH81="",'📝 Four-tier กรอก'!BJ81=""),"—",IF(AND('📝 Four-tier กรอก'!BH81='📝 Four-tier กรอก'!BH51,'📝 Four-tier กรอก'!BI81="Y",'📝 Four-tier กรอก'!BJ81='📝 Four-tier กรอก'!BJ51,'📝 Four-tier กรอก'!BK81="Y"),"✅ Sound",IF(AND('📝 Four-tier กรอก'!BH81='📝 Four-tier กรอก'!BH51,'📝 Four-tier กรอก'!BI81="Y",'📝 Four-tier กรอก'!BJ81&lt;&gt;'📝 Four-tier กรอก'!BJ51,'📝 Four-tier กรอก'!BK81="Y"),"🎲 Guess",IF(AND('📝 Four-tier กรอก'!BH81&lt;&gt;'📝 Four-tier กรอก'!BH51,'📝 Four-tier กรอก'!BI81="Y",'📝 Four-tier กรอก'!BJ81&lt;&gt;'📝 Four-tier กรอก'!BJ51,'📝 Four-tier กรอก'!BK81="Y"),"❌ Misc.",IF(AND('📝 Four-tier กรอก'!BH81&lt;&gt;'📝 Four-tier กรอก'!BH51,'📝 Four-tier กรอก'!BI81="N",'📝 Four-tier กรอก'!BJ81&lt;&gt;'📝 Four-tier กรอก'!BJ51,'📝 Four-tier กรอก'!BK81="N"),"❓ NoK","🤔 Partial")))))</f>
        <v/>
      </c>
      <c r="S80" s="68">
        <f>IF(OR('📝 Four-tier กรอก'!BL81="",'📝 Four-tier กรอก'!BN81=""),"—",IF(AND('📝 Four-tier กรอก'!BL81='📝 Four-tier กรอก'!BL51,'📝 Four-tier กรอก'!BM81="Y",'📝 Four-tier กรอก'!BN81='📝 Four-tier กรอก'!BN51,'📝 Four-tier กรอก'!BO81="Y"),"✅ Sound",IF(AND('📝 Four-tier กรอก'!BL81='📝 Four-tier กรอก'!BL51,'📝 Four-tier กรอก'!BM81="Y",'📝 Four-tier กรอก'!BN81&lt;&gt;'📝 Four-tier กรอก'!BN51,'📝 Four-tier กรอก'!BO81="Y"),"🎲 Guess",IF(AND('📝 Four-tier กรอก'!BL81&lt;&gt;'📝 Four-tier กรอก'!BL51,'📝 Four-tier กรอก'!BM81="Y",'📝 Four-tier กรอก'!BN81&lt;&gt;'📝 Four-tier กรอก'!BN51,'📝 Four-tier กรอก'!BO81="Y"),"❌ Misc.",IF(AND('📝 Four-tier กรอก'!BL81&lt;&gt;'📝 Four-tier กรอก'!BL51,'📝 Four-tier กรอก'!BM81="N",'📝 Four-tier กรอก'!BN81&lt;&gt;'📝 Four-tier กรอก'!BN51,'📝 Four-tier กรอก'!BO81="N"),"❓ NoK","🤔 Partial")))))</f>
        <v/>
      </c>
      <c r="T80" s="68">
        <f>IF(OR('📝 Four-tier กรอก'!BP81="",'📝 Four-tier กรอก'!BR81=""),"—",IF(AND('📝 Four-tier กรอก'!BP81='📝 Four-tier กรอก'!BP51,'📝 Four-tier กรอก'!BQ81="Y",'📝 Four-tier กรอก'!BR81='📝 Four-tier กรอก'!BR51,'📝 Four-tier กรอก'!BS81="Y"),"✅ Sound",IF(AND('📝 Four-tier กรอก'!BP81='📝 Four-tier กรอก'!BP51,'📝 Four-tier กรอก'!BQ81="Y",'📝 Four-tier กรอก'!BR81&lt;&gt;'📝 Four-tier กรอก'!BR51,'📝 Four-tier กรอก'!BS81="Y"),"🎲 Guess",IF(AND('📝 Four-tier กรอก'!BP81&lt;&gt;'📝 Four-tier กรอก'!BP51,'📝 Four-tier กรอก'!BQ81="Y",'📝 Four-tier กรอก'!BR81&lt;&gt;'📝 Four-tier กรอก'!BR51,'📝 Four-tier กรอก'!BS81="Y"),"❌ Misc.",IF(AND('📝 Four-tier กรอก'!BP81&lt;&gt;'📝 Four-tier กรอก'!BP51,'📝 Four-tier กรอก'!BQ81="N",'📝 Four-tier กรอก'!BR81&lt;&gt;'📝 Four-tier กรอก'!BR51,'📝 Four-tier กรอก'!BS81="N"),"❓ NoK","🤔 Partial")))))</f>
        <v/>
      </c>
      <c r="U80" s="68">
        <f>IF(OR('📝 Four-tier กรอก'!BT81="",'📝 Four-tier กรอก'!BV81=""),"—",IF(AND('📝 Four-tier กรอก'!BT81='📝 Four-tier กรอก'!BT51,'📝 Four-tier กรอก'!BU81="Y",'📝 Four-tier กรอก'!BV81='📝 Four-tier กรอก'!BV51,'📝 Four-tier กรอก'!BW81="Y"),"✅ Sound",IF(AND('📝 Four-tier กรอก'!BT81='📝 Four-tier กรอก'!BT51,'📝 Four-tier กรอก'!BU81="Y",'📝 Four-tier กรอก'!BV81&lt;&gt;'📝 Four-tier กรอก'!BV51,'📝 Four-tier กรอก'!BW81="Y"),"🎲 Guess",IF(AND('📝 Four-tier กรอก'!BT81&lt;&gt;'📝 Four-tier กรอก'!BT51,'📝 Four-tier กรอก'!BU81="Y",'📝 Four-tier กรอก'!BV81&lt;&gt;'📝 Four-tier กรอก'!BV51,'📝 Four-tier กรอก'!BW81="Y"),"❌ Misc.",IF(AND('📝 Four-tier กรอก'!BT81&lt;&gt;'📝 Four-tier กรอก'!BT51,'📝 Four-tier กรอก'!BU81="N",'📝 Four-tier กรอก'!BV81&lt;&gt;'📝 Four-tier กรอก'!BV51,'📝 Four-tier กรอก'!BW81="N"),"❓ NoK","🤔 Partial")))))</f>
        <v/>
      </c>
      <c r="V80" s="68">
        <f>IF(OR('📝 Four-tier กรอก'!BX81="",'📝 Four-tier กรอก'!BZ81=""),"—",IF(AND('📝 Four-tier กรอก'!BX81='📝 Four-tier กรอก'!BX51,'📝 Four-tier กรอก'!BY81="Y",'📝 Four-tier กรอก'!BZ81='📝 Four-tier กรอก'!BZ51,'📝 Four-tier กรอก'!CA81="Y"),"✅ Sound",IF(AND('📝 Four-tier กรอก'!BX81='📝 Four-tier กรอก'!BX51,'📝 Four-tier กรอก'!BY81="Y",'📝 Four-tier กรอก'!BZ81&lt;&gt;'📝 Four-tier กรอก'!BZ51,'📝 Four-tier กรอก'!CA81="Y"),"🎲 Guess",IF(AND('📝 Four-tier กรอก'!BX81&lt;&gt;'📝 Four-tier กรอก'!BX51,'📝 Four-tier กรอก'!BY81="Y",'📝 Four-tier กรอก'!BZ81&lt;&gt;'📝 Four-tier กรอก'!BZ51,'📝 Four-tier กรอก'!CA81="Y"),"❌ Misc.",IF(AND('📝 Four-tier กรอก'!BX81&lt;&gt;'📝 Four-tier กรอก'!BX51,'📝 Four-tier กรอก'!BY81="N",'📝 Four-tier กรอก'!BZ81&lt;&gt;'📝 Four-tier กรอก'!BZ51,'📝 Four-tier กรอก'!CA81="N"),"❓ NoK","🤔 Partial")))))</f>
        <v/>
      </c>
      <c r="W80" s="68">
        <f>IF(OR('📝 Four-tier กรอก'!CB81="",'📝 Four-tier กรอก'!CD81=""),"—",IF(AND('📝 Four-tier กรอก'!CB81='📝 Four-tier กรอก'!CB51,'📝 Four-tier กรอก'!CC81="Y",'📝 Four-tier กรอก'!CD81='📝 Four-tier กรอก'!CD51,'📝 Four-tier กรอก'!CE81="Y"),"✅ Sound",IF(AND('📝 Four-tier กรอก'!CB81='📝 Four-tier กรอก'!CB51,'📝 Four-tier กรอก'!CC81="Y",'📝 Four-tier กรอก'!CD81&lt;&gt;'📝 Four-tier กรอก'!CD51,'📝 Four-tier กรอก'!CE81="Y"),"🎲 Guess",IF(AND('📝 Four-tier กรอก'!CB81&lt;&gt;'📝 Four-tier กรอก'!CB51,'📝 Four-tier กรอก'!CC81="Y",'📝 Four-tier กรอก'!CD81&lt;&gt;'📝 Four-tier กรอก'!CD51,'📝 Four-tier กรอก'!CE81="Y"),"❌ Misc.",IF(AND('📝 Four-tier กรอก'!CB81&lt;&gt;'📝 Four-tier กรอก'!CB51,'📝 Four-tier กรอก'!CC81="N",'📝 Four-tier กรอก'!CD81&lt;&gt;'📝 Four-tier กรอก'!CD51,'📝 Four-tier กรอก'!CE81="N"),"❓ NoK","🤔 Partial")))))</f>
        <v/>
      </c>
      <c r="X80" s="37">
        <f>COUNTIF(D80:W80,"✅ Sound")</f>
        <v/>
      </c>
      <c r="Y80" s="37">
        <f>COUNTIF(D80:W80,"❌ Misc.")</f>
        <v/>
      </c>
      <c r="Z80" s="37">
        <f>COUNTIF(D80:W80,"🎲 Guess")</f>
        <v/>
      </c>
      <c r="AA80" s="37">
        <f>COUNTIF(D80:W80,"❓ NoK")</f>
        <v/>
      </c>
    </row>
    <row r="81" ht="18" customHeight="1">
      <c r="B81" s="46">
        <f>'📝 Four-tier กรอก'!B82</f>
        <v/>
      </c>
      <c r="C81" s="47">
        <f>'📝 Four-tier กรอก'!C82</f>
        <v/>
      </c>
      <c r="D81" s="67">
        <f>IF(OR('📝 Four-tier กรอก'!D82="",'📝 Four-tier กรอก'!F82=""),"—",IF(AND('📝 Four-tier กรอก'!D82='📝 Four-tier กรอก'!D51,'📝 Four-tier กรอก'!E82="Y",'📝 Four-tier กรอก'!F82='📝 Four-tier กรอก'!F51,'📝 Four-tier กรอก'!G82="Y"),"✅ Sound",IF(AND('📝 Four-tier กรอก'!D82='📝 Four-tier กรอก'!D51,'📝 Four-tier กรอก'!E82="Y",'📝 Four-tier กรอก'!F82&lt;&gt;'📝 Four-tier กรอก'!F51,'📝 Four-tier กรอก'!G82="Y"),"🎲 Guess",IF(AND('📝 Four-tier กรอก'!D82&lt;&gt;'📝 Four-tier กรอก'!D51,'📝 Four-tier กรอก'!E82="Y",'📝 Four-tier กรอก'!F82&lt;&gt;'📝 Four-tier กรอก'!F51,'📝 Four-tier กรอก'!G82="Y"),"❌ Misc.",IF(AND('📝 Four-tier กรอก'!D82&lt;&gt;'📝 Four-tier กรอก'!D51,'📝 Four-tier กรอก'!E82="N",'📝 Four-tier กรอก'!F82&lt;&gt;'📝 Four-tier กรอก'!F51,'📝 Four-tier กรอก'!G82="N"),"❓ NoK","🤔 Partial")))))</f>
        <v/>
      </c>
      <c r="E81" s="67">
        <f>IF(OR('📝 Four-tier กรอก'!H82="",'📝 Four-tier กรอก'!J82=""),"—",IF(AND('📝 Four-tier กรอก'!H82='📝 Four-tier กรอก'!H51,'📝 Four-tier กรอก'!I82="Y",'📝 Four-tier กรอก'!J82='📝 Four-tier กรอก'!J51,'📝 Four-tier กรอก'!K82="Y"),"✅ Sound",IF(AND('📝 Four-tier กรอก'!H82='📝 Four-tier กรอก'!H51,'📝 Four-tier กรอก'!I82="Y",'📝 Four-tier กรอก'!J82&lt;&gt;'📝 Four-tier กรอก'!J51,'📝 Four-tier กรอก'!K82="Y"),"🎲 Guess",IF(AND('📝 Four-tier กรอก'!H82&lt;&gt;'📝 Four-tier กรอก'!H51,'📝 Four-tier กรอก'!I82="Y",'📝 Four-tier กรอก'!J82&lt;&gt;'📝 Four-tier กรอก'!J51,'📝 Four-tier กรอก'!K82="Y"),"❌ Misc.",IF(AND('📝 Four-tier กรอก'!H82&lt;&gt;'📝 Four-tier กรอก'!H51,'📝 Four-tier กรอก'!I82="N",'📝 Four-tier กรอก'!J82&lt;&gt;'📝 Four-tier กรอก'!J51,'📝 Four-tier กรอก'!K82="N"),"❓ NoK","🤔 Partial")))))</f>
        <v/>
      </c>
      <c r="F81" s="67">
        <f>IF(OR('📝 Four-tier กรอก'!L82="",'📝 Four-tier กรอก'!N82=""),"—",IF(AND('📝 Four-tier กรอก'!L82='📝 Four-tier กรอก'!L51,'📝 Four-tier กรอก'!M82="Y",'📝 Four-tier กรอก'!N82='📝 Four-tier กรอก'!N51,'📝 Four-tier กรอก'!O82="Y"),"✅ Sound",IF(AND('📝 Four-tier กรอก'!L82='📝 Four-tier กรอก'!L51,'📝 Four-tier กรอก'!M82="Y",'📝 Four-tier กรอก'!N82&lt;&gt;'📝 Four-tier กรอก'!N51,'📝 Four-tier กรอก'!O82="Y"),"🎲 Guess",IF(AND('📝 Four-tier กรอก'!L82&lt;&gt;'📝 Four-tier กรอก'!L51,'📝 Four-tier กรอก'!M82="Y",'📝 Four-tier กรอก'!N82&lt;&gt;'📝 Four-tier กรอก'!N51,'📝 Four-tier กรอก'!O82="Y"),"❌ Misc.",IF(AND('📝 Four-tier กรอก'!L82&lt;&gt;'📝 Four-tier กรอก'!L51,'📝 Four-tier กรอก'!M82="N",'📝 Four-tier กรอก'!N82&lt;&gt;'📝 Four-tier กรอก'!N51,'📝 Four-tier กรอก'!O82="N"),"❓ NoK","🤔 Partial")))))</f>
        <v/>
      </c>
      <c r="G81" s="67">
        <f>IF(OR('📝 Four-tier กรอก'!P82="",'📝 Four-tier กรอก'!R82=""),"—",IF(AND('📝 Four-tier กรอก'!P82='📝 Four-tier กรอก'!P51,'📝 Four-tier กรอก'!Q82="Y",'📝 Four-tier กรอก'!R82='📝 Four-tier กรอก'!R51,'📝 Four-tier กรอก'!S82="Y"),"✅ Sound",IF(AND('📝 Four-tier กรอก'!P82='📝 Four-tier กรอก'!P51,'📝 Four-tier กรอก'!Q82="Y",'📝 Four-tier กรอก'!R82&lt;&gt;'📝 Four-tier กรอก'!R51,'📝 Four-tier กรอก'!S82="Y"),"🎲 Guess",IF(AND('📝 Four-tier กรอก'!P82&lt;&gt;'📝 Four-tier กรอก'!P51,'📝 Four-tier กรอก'!Q82="Y",'📝 Four-tier กรอก'!R82&lt;&gt;'📝 Four-tier กรอก'!R51,'📝 Four-tier กรอก'!S82="Y"),"❌ Misc.",IF(AND('📝 Four-tier กรอก'!P82&lt;&gt;'📝 Four-tier กรอก'!P51,'📝 Four-tier กรอก'!Q82="N",'📝 Four-tier กรอก'!R82&lt;&gt;'📝 Four-tier กรอก'!R51,'📝 Four-tier กรอก'!S82="N"),"❓ NoK","🤔 Partial")))))</f>
        <v/>
      </c>
      <c r="H81" s="67">
        <f>IF(OR('📝 Four-tier กรอก'!T82="",'📝 Four-tier กรอก'!V82=""),"—",IF(AND('📝 Four-tier กรอก'!T82='📝 Four-tier กรอก'!T51,'📝 Four-tier กรอก'!U82="Y",'📝 Four-tier กรอก'!V82='📝 Four-tier กรอก'!V51,'📝 Four-tier กรอก'!W82="Y"),"✅ Sound",IF(AND('📝 Four-tier กรอก'!T82='📝 Four-tier กรอก'!T51,'📝 Four-tier กรอก'!U82="Y",'📝 Four-tier กรอก'!V82&lt;&gt;'📝 Four-tier กรอก'!V51,'📝 Four-tier กรอก'!W82="Y"),"🎲 Guess",IF(AND('📝 Four-tier กรอก'!T82&lt;&gt;'📝 Four-tier กรอก'!T51,'📝 Four-tier กรอก'!U82="Y",'📝 Four-tier กรอก'!V82&lt;&gt;'📝 Four-tier กรอก'!V51,'📝 Four-tier กรอก'!W82="Y"),"❌ Misc.",IF(AND('📝 Four-tier กรอก'!T82&lt;&gt;'📝 Four-tier กรอก'!T51,'📝 Four-tier กรอก'!U82="N",'📝 Four-tier กรอก'!V82&lt;&gt;'📝 Four-tier กรอก'!V51,'📝 Four-tier กรอก'!W82="N"),"❓ NoK","🤔 Partial")))))</f>
        <v/>
      </c>
      <c r="I81" s="67">
        <f>IF(OR('📝 Four-tier กรอก'!X82="",'📝 Four-tier กรอก'!Z82=""),"—",IF(AND('📝 Four-tier กรอก'!X82='📝 Four-tier กรอก'!X51,'📝 Four-tier กรอก'!Y82="Y",'📝 Four-tier กรอก'!Z82='📝 Four-tier กรอก'!Z51,'📝 Four-tier กรอก'!AA82="Y"),"✅ Sound",IF(AND('📝 Four-tier กรอก'!X82='📝 Four-tier กรอก'!X51,'📝 Four-tier กรอก'!Y82="Y",'📝 Four-tier กรอก'!Z82&lt;&gt;'📝 Four-tier กรอก'!Z51,'📝 Four-tier กรอก'!AA82="Y"),"🎲 Guess",IF(AND('📝 Four-tier กรอก'!X82&lt;&gt;'📝 Four-tier กรอก'!X51,'📝 Four-tier กรอก'!Y82="Y",'📝 Four-tier กรอก'!Z82&lt;&gt;'📝 Four-tier กรอก'!Z51,'📝 Four-tier กรอก'!AA82="Y"),"❌ Misc.",IF(AND('📝 Four-tier กรอก'!X82&lt;&gt;'📝 Four-tier กรอก'!X51,'📝 Four-tier กรอก'!Y82="N",'📝 Four-tier กรอก'!Z82&lt;&gt;'📝 Four-tier กรอก'!Z51,'📝 Four-tier กรอก'!AA82="N"),"❓ NoK","🤔 Partial")))))</f>
        <v/>
      </c>
      <c r="J81" s="67">
        <f>IF(OR('📝 Four-tier กรอก'!AB82="",'📝 Four-tier กรอก'!AD82=""),"—",IF(AND('📝 Four-tier กรอก'!AB82='📝 Four-tier กรอก'!AB51,'📝 Four-tier กรอก'!AC82="Y",'📝 Four-tier กรอก'!AD82='📝 Four-tier กรอก'!AD51,'📝 Four-tier กรอก'!AE82="Y"),"✅ Sound",IF(AND('📝 Four-tier กรอก'!AB82='📝 Four-tier กรอก'!AB51,'📝 Four-tier กรอก'!AC82="Y",'📝 Four-tier กรอก'!AD82&lt;&gt;'📝 Four-tier กรอก'!AD51,'📝 Four-tier กรอก'!AE82="Y"),"🎲 Guess",IF(AND('📝 Four-tier กรอก'!AB82&lt;&gt;'📝 Four-tier กรอก'!AB51,'📝 Four-tier กรอก'!AC82="Y",'📝 Four-tier กรอก'!AD82&lt;&gt;'📝 Four-tier กรอก'!AD51,'📝 Four-tier กรอก'!AE82="Y"),"❌ Misc.",IF(AND('📝 Four-tier กรอก'!AB82&lt;&gt;'📝 Four-tier กรอก'!AB51,'📝 Four-tier กรอก'!AC82="N",'📝 Four-tier กรอก'!AD82&lt;&gt;'📝 Four-tier กรอก'!AD51,'📝 Four-tier กรอก'!AE82="N"),"❓ NoK","🤔 Partial")))))</f>
        <v/>
      </c>
      <c r="K81" s="67">
        <f>IF(OR('📝 Four-tier กรอก'!AF82="",'📝 Four-tier กรอก'!AH82=""),"—",IF(AND('📝 Four-tier กรอก'!AF82='📝 Four-tier กรอก'!AF51,'📝 Four-tier กรอก'!AG82="Y",'📝 Four-tier กรอก'!AH82='📝 Four-tier กรอก'!AH51,'📝 Four-tier กรอก'!AI82="Y"),"✅ Sound",IF(AND('📝 Four-tier กรอก'!AF82='📝 Four-tier กรอก'!AF51,'📝 Four-tier กรอก'!AG82="Y",'📝 Four-tier กรอก'!AH82&lt;&gt;'📝 Four-tier กรอก'!AH51,'📝 Four-tier กรอก'!AI82="Y"),"🎲 Guess",IF(AND('📝 Four-tier กรอก'!AF82&lt;&gt;'📝 Four-tier กรอก'!AF51,'📝 Four-tier กรอก'!AG82="Y",'📝 Four-tier กรอก'!AH82&lt;&gt;'📝 Four-tier กรอก'!AH51,'📝 Four-tier กรอก'!AI82="Y"),"❌ Misc.",IF(AND('📝 Four-tier กรอก'!AF82&lt;&gt;'📝 Four-tier กรอก'!AF51,'📝 Four-tier กรอก'!AG82="N",'📝 Four-tier กรอก'!AH82&lt;&gt;'📝 Four-tier กรอก'!AH51,'📝 Four-tier กรอก'!AI82="N"),"❓ NoK","🤔 Partial")))))</f>
        <v/>
      </c>
      <c r="L81" s="67">
        <f>IF(OR('📝 Four-tier กรอก'!AJ82="",'📝 Four-tier กรอก'!AL82=""),"—",IF(AND('📝 Four-tier กรอก'!AJ82='📝 Four-tier กรอก'!AJ51,'📝 Four-tier กรอก'!AK82="Y",'📝 Four-tier กรอก'!AL82='📝 Four-tier กรอก'!AL51,'📝 Four-tier กรอก'!AM82="Y"),"✅ Sound",IF(AND('📝 Four-tier กรอก'!AJ82='📝 Four-tier กรอก'!AJ51,'📝 Four-tier กรอก'!AK82="Y",'📝 Four-tier กรอก'!AL82&lt;&gt;'📝 Four-tier กรอก'!AL51,'📝 Four-tier กรอก'!AM82="Y"),"🎲 Guess",IF(AND('📝 Four-tier กรอก'!AJ82&lt;&gt;'📝 Four-tier กรอก'!AJ51,'📝 Four-tier กรอก'!AK82="Y",'📝 Four-tier กรอก'!AL82&lt;&gt;'📝 Four-tier กรอก'!AL51,'📝 Four-tier กรอก'!AM82="Y"),"❌ Misc.",IF(AND('📝 Four-tier กรอก'!AJ82&lt;&gt;'📝 Four-tier กรอก'!AJ51,'📝 Four-tier กรอก'!AK82="N",'📝 Four-tier กรอก'!AL82&lt;&gt;'📝 Four-tier กรอก'!AL51,'📝 Four-tier กรอก'!AM82="N"),"❓ NoK","🤔 Partial")))))</f>
        <v/>
      </c>
      <c r="M81" s="67">
        <f>IF(OR('📝 Four-tier กรอก'!AN82="",'📝 Four-tier กรอก'!AP82=""),"—",IF(AND('📝 Four-tier กรอก'!AN82='📝 Four-tier กรอก'!AN51,'📝 Four-tier กรอก'!AO82="Y",'📝 Four-tier กรอก'!AP82='📝 Four-tier กรอก'!AP51,'📝 Four-tier กรอก'!AQ82="Y"),"✅ Sound",IF(AND('📝 Four-tier กรอก'!AN82='📝 Four-tier กรอก'!AN51,'📝 Four-tier กรอก'!AO82="Y",'📝 Four-tier กรอก'!AP82&lt;&gt;'📝 Four-tier กรอก'!AP51,'📝 Four-tier กรอก'!AQ82="Y"),"🎲 Guess",IF(AND('📝 Four-tier กรอก'!AN82&lt;&gt;'📝 Four-tier กรอก'!AN51,'📝 Four-tier กรอก'!AO82="Y",'📝 Four-tier กรอก'!AP82&lt;&gt;'📝 Four-tier กรอก'!AP51,'📝 Four-tier กรอก'!AQ82="Y"),"❌ Misc.",IF(AND('📝 Four-tier กรอก'!AN82&lt;&gt;'📝 Four-tier กรอก'!AN51,'📝 Four-tier กรอก'!AO82="N",'📝 Four-tier กรอก'!AP82&lt;&gt;'📝 Four-tier กรอก'!AP51,'📝 Four-tier กรอก'!AQ82="N"),"❓ NoK","🤔 Partial")))))</f>
        <v/>
      </c>
      <c r="N81" s="67">
        <f>IF(OR('📝 Four-tier กรอก'!AR82="",'📝 Four-tier กรอก'!AT82=""),"—",IF(AND('📝 Four-tier กรอก'!AR82='📝 Four-tier กรอก'!AR51,'📝 Four-tier กรอก'!AS82="Y",'📝 Four-tier กรอก'!AT82='📝 Four-tier กรอก'!AT51,'📝 Four-tier กรอก'!AU82="Y"),"✅ Sound",IF(AND('📝 Four-tier กรอก'!AR82='📝 Four-tier กรอก'!AR51,'📝 Four-tier กรอก'!AS82="Y",'📝 Four-tier กรอก'!AT82&lt;&gt;'📝 Four-tier กรอก'!AT51,'📝 Four-tier กรอก'!AU82="Y"),"🎲 Guess",IF(AND('📝 Four-tier กรอก'!AR82&lt;&gt;'📝 Four-tier กรอก'!AR51,'📝 Four-tier กรอก'!AS82="Y",'📝 Four-tier กรอก'!AT82&lt;&gt;'📝 Four-tier กรอก'!AT51,'📝 Four-tier กรอก'!AU82="Y"),"❌ Misc.",IF(AND('📝 Four-tier กรอก'!AR82&lt;&gt;'📝 Four-tier กรอก'!AR51,'📝 Four-tier กรอก'!AS82="N",'📝 Four-tier กรอก'!AT82&lt;&gt;'📝 Four-tier กรอก'!AT51,'📝 Four-tier กรอก'!AU82="N"),"❓ NoK","🤔 Partial")))))</f>
        <v/>
      </c>
      <c r="O81" s="67">
        <f>IF(OR('📝 Four-tier กรอก'!AV82="",'📝 Four-tier กรอก'!AX82=""),"—",IF(AND('📝 Four-tier กรอก'!AV82='📝 Four-tier กรอก'!AV51,'📝 Four-tier กรอก'!AW82="Y",'📝 Four-tier กรอก'!AX82='📝 Four-tier กรอก'!AX51,'📝 Four-tier กรอก'!AY82="Y"),"✅ Sound",IF(AND('📝 Four-tier กรอก'!AV82='📝 Four-tier กรอก'!AV51,'📝 Four-tier กรอก'!AW82="Y",'📝 Four-tier กรอก'!AX82&lt;&gt;'📝 Four-tier กรอก'!AX51,'📝 Four-tier กรอก'!AY82="Y"),"🎲 Guess",IF(AND('📝 Four-tier กรอก'!AV82&lt;&gt;'📝 Four-tier กรอก'!AV51,'📝 Four-tier กรอก'!AW82="Y",'📝 Four-tier กรอก'!AX82&lt;&gt;'📝 Four-tier กรอก'!AX51,'📝 Four-tier กรอก'!AY82="Y"),"❌ Misc.",IF(AND('📝 Four-tier กรอก'!AV82&lt;&gt;'📝 Four-tier กรอก'!AV51,'📝 Four-tier กรอก'!AW82="N",'📝 Four-tier กรอก'!AX82&lt;&gt;'📝 Four-tier กรอก'!AX51,'📝 Four-tier กรอก'!AY82="N"),"❓ NoK","🤔 Partial")))))</f>
        <v/>
      </c>
      <c r="P81" s="67">
        <f>IF(OR('📝 Four-tier กรอก'!AZ82="",'📝 Four-tier กรอก'!BB82=""),"—",IF(AND('📝 Four-tier กรอก'!AZ82='📝 Four-tier กรอก'!AZ51,'📝 Four-tier กรอก'!BA82="Y",'📝 Four-tier กรอก'!BB82='📝 Four-tier กรอก'!BB51,'📝 Four-tier กรอก'!BC82="Y"),"✅ Sound",IF(AND('📝 Four-tier กรอก'!AZ82='📝 Four-tier กรอก'!AZ51,'📝 Four-tier กรอก'!BA82="Y",'📝 Four-tier กรอก'!BB82&lt;&gt;'📝 Four-tier กรอก'!BB51,'📝 Four-tier กรอก'!BC82="Y"),"🎲 Guess",IF(AND('📝 Four-tier กรอก'!AZ82&lt;&gt;'📝 Four-tier กรอก'!AZ51,'📝 Four-tier กรอก'!BA82="Y",'📝 Four-tier กรอก'!BB82&lt;&gt;'📝 Four-tier กรอก'!BB51,'📝 Four-tier กรอก'!BC82="Y"),"❌ Misc.",IF(AND('📝 Four-tier กรอก'!AZ82&lt;&gt;'📝 Four-tier กรอก'!AZ51,'📝 Four-tier กรอก'!BA82="N",'📝 Four-tier กรอก'!BB82&lt;&gt;'📝 Four-tier กรอก'!BB51,'📝 Four-tier กรอก'!BC82="N"),"❓ NoK","🤔 Partial")))))</f>
        <v/>
      </c>
      <c r="Q81" s="67">
        <f>IF(OR('📝 Four-tier กรอก'!BD82="",'📝 Four-tier กรอก'!BF82=""),"—",IF(AND('📝 Four-tier กรอก'!BD82='📝 Four-tier กรอก'!BD51,'📝 Four-tier กรอก'!BE82="Y",'📝 Four-tier กรอก'!BF82='📝 Four-tier กรอก'!BF51,'📝 Four-tier กรอก'!BG82="Y"),"✅ Sound",IF(AND('📝 Four-tier กรอก'!BD82='📝 Four-tier กรอก'!BD51,'📝 Four-tier กรอก'!BE82="Y",'📝 Four-tier กรอก'!BF82&lt;&gt;'📝 Four-tier กรอก'!BF51,'📝 Four-tier กรอก'!BG82="Y"),"🎲 Guess",IF(AND('📝 Four-tier กรอก'!BD82&lt;&gt;'📝 Four-tier กรอก'!BD51,'📝 Four-tier กรอก'!BE82="Y",'📝 Four-tier กรอก'!BF82&lt;&gt;'📝 Four-tier กรอก'!BF51,'📝 Four-tier กรอก'!BG82="Y"),"❌ Misc.",IF(AND('📝 Four-tier กรอก'!BD82&lt;&gt;'📝 Four-tier กรอก'!BD51,'📝 Four-tier กรอก'!BE82="N",'📝 Four-tier กรอก'!BF82&lt;&gt;'📝 Four-tier กรอก'!BF51,'📝 Four-tier กรอก'!BG82="N"),"❓ NoK","🤔 Partial")))))</f>
        <v/>
      </c>
      <c r="R81" s="67">
        <f>IF(OR('📝 Four-tier กรอก'!BH82="",'📝 Four-tier กรอก'!BJ82=""),"—",IF(AND('📝 Four-tier กรอก'!BH82='📝 Four-tier กรอก'!BH51,'📝 Four-tier กรอก'!BI82="Y",'📝 Four-tier กรอก'!BJ82='📝 Four-tier กรอก'!BJ51,'📝 Four-tier กรอก'!BK82="Y"),"✅ Sound",IF(AND('📝 Four-tier กรอก'!BH82='📝 Four-tier กรอก'!BH51,'📝 Four-tier กรอก'!BI82="Y",'📝 Four-tier กรอก'!BJ82&lt;&gt;'📝 Four-tier กรอก'!BJ51,'📝 Four-tier กรอก'!BK82="Y"),"🎲 Guess",IF(AND('📝 Four-tier กรอก'!BH82&lt;&gt;'📝 Four-tier กรอก'!BH51,'📝 Four-tier กรอก'!BI82="Y",'📝 Four-tier กรอก'!BJ82&lt;&gt;'📝 Four-tier กรอก'!BJ51,'📝 Four-tier กรอก'!BK82="Y"),"❌ Misc.",IF(AND('📝 Four-tier กรอก'!BH82&lt;&gt;'📝 Four-tier กรอก'!BH51,'📝 Four-tier กรอก'!BI82="N",'📝 Four-tier กรอก'!BJ82&lt;&gt;'📝 Four-tier กรอก'!BJ51,'📝 Four-tier กรอก'!BK82="N"),"❓ NoK","🤔 Partial")))))</f>
        <v/>
      </c>
      <c r="S81" s="67">
        <f>IF(OR('📝 Four-tier กรอก'!BL82="",'📝 Four-tier กรอก'!BN82=""),"—",IF(AND('📝 Four-tier กรอก'!BL82='📝 Four-tier กรอก'!BL51,'📝 Four-tier กรอก'!BM82="Y",'📝 Four-tier กรอก'!BN82='📝 Four-tier กรอก'!BN51,'📝 Four-tier กรอก'!BO82="Y"),"✅ Sound",IF(AND('📝 Four-tier กรอก'!BL82='📝 Four-tier กรอก'!BL51,'📝 Four-tier กรอก'!BM82="Y",'📝 Four-tier กรอก'!BN82&lt;&gt;'📝 Four-tier กรอก'!BN51,'📝 Four-tier กรอก'!BO82="Y"),"🎲 Guess",IF(AND('📝 Four-tier กรอก'!BL82&lt;&gt;'📝 Four-tier กรอก'!BL51,'📝 Four-tier กรอก'!BM82="Y",'📝 Four-tier กรอก'!BN82&lt;&gt;'📝 Four-tier กรอก'!BN51,'📝 Four-tier กรอก'!BO82="Y"),"❌ Misc.",IF(AND('📝 Four-tier กรอก'!BL82&lt;&gt;'📝 Four-tier กรอก'!BL51,'📝 Four-tier กรอก'!BM82="N",'📝 Four-tier กรอก'!BN82&lt;&gt;'📝 Four-tier กรอก'!BN51,'📝 Four-tier กรอก'!BO82="N"),"❓ NoK","🤔 Partial")))))</f>
        <v/>
      </c>
      <c r="T81" s="67">
        <f>IF(OR('📝 Four-tier กรอก'!BP82="",'📝 Four-tier กรอก'!BR82=""),"—",IF(AND('📝 Four-tier กรอก'!BP82='📝 Four-tier กรอก'!BP51,'📝 Four-tier กรอก'!BQ82="Y",'📝 Four-tier กรอก'!BR82='📝 Four-tier กรอก'!BR51,'📝 Four-tier กรอก'!BS82="Y"),"✅ Sound",IF(AND('📝 Four-tier กรอก'!BP82='📝 Four-tier กรอก'!BP51,'📝 Four-tier กรอก'!BQ82="Y",'📝 Four-tier กรอก'!BR82&lt;&gt;'📝 Four-tier กรอก'!BR51,'📝 Four-tier กรอก'!BS82="Y"),"🎲 Guess",IF(AND('📝 Four-tier กรอก'!BP82&lt;&gt;'📝 Four-tier กรอก'!BP51,'📝 Four-tier กรอก'!BQ82="Y",'📝 Four-tier กรอก'!BR82&lt;&gt;'📝 Four-tier กรอก'!BR51,'📝 Four-tier กรอก'!BS82="Y"),"❌ Misc.",IF(AND('📝 Four-tier กรอก'!BP82&lt;&gt;'📝 Four-tier กรอก'!BP51,'📝 Four-tier กรอก'!BQ82="N",'📝 Four-tier กรอก'!BR82&lt;&gt;'📝 Four-tier กรอก'!BR51,'📝 Four-tier กรอก'!BS82="N"),"❓ NoK","🤔 Partial")))))</f>
        <v/>
      </c>
      <c r="U81" s="67">
        <f>IF(OR('📝 Four-tier กรอก'!BT82="",'📝 Four-tier กรอก'!BV82=""),"—",IF(AND('📝 Four-tier กรอก'!BT82='📝 Four-tier กรอก'!BT51,'📝 Four-tier กรอก'!BU82="Y",'📝 Four-tier กรอก'!BV82='📝 Four-tier กรอก'!BV51,'📝 Four-tier กรอก'!BW82="Y"),"✅ Sound",IF(AND('📝 Four-tier กรอก'!BT82='📝 Four-tier กรอก'!BT51,'📝 Four-tier กรอก'!BU82="Y",'📝 Four-tier กรอก'!BV82&lt;&gt;'📝 Four-tier กรอก'!BV51,'📝 Four-tier กรอก'!BW82="Y"),"🎲 Guess",IF(AND('📝 Four-tier กรอก'!BT82&lt;&gt;'📝 Four-tier กรอก'!BT51,'📝 Four-tier กรอก'!BU82="Y",'📝 Four-tier กรอก'!BV82&lt;&gt;'📝 Four-tier กรอก'!BV51,'📝 Four-tier กรอก'!BW82="Y"),"❌ Misc.",IF(AND('📝 Four-tier กรอก'!BT82&lt;&gt;'📝 Four-tier กรอก'!BT51,'📝 Four-tier กรอก'!BU82="N",'📝 Four-tier กรอก'!BV82&lt;&gt;'📝 Four-tier กรอก'!BV51,'📝 Four-tier กรอก'!BW82="N"),"❓ NoK","🤔 Partial")))))</f>
        <v/>
      </c>
      <c r="V81" s="67">
        <f>IF(OR('📝 Four-tier กรอก'!BX82="",'📝 Four-tier กรอก'!BZ82=""),"—",IF(AND('📝 Four-tier กรอก'!BX82='📝 Four-tier กรอก'!BX51,'📝 Four-tier กรอก'!BY82="Y",'📝 Four-tier กรอก'!BZ82='📝 Four-tier กรอก'!BZ51,'📝 Four-tier กรอก'!CA82="Y"),"✅ Sound",IF(AND('📝 Four-tier กรอก'!BX82='📝 Four-tier กรอก'!BX51,'📝 Four-tier กรอก'!BY82="Y",'📝 Four-tier กรอก'!BZ82&lt;&gt;'📝 Four-tier กรอก'!BZ51,'📝 Four-tier กรอก'!CA82="Y"),"🎲 Guess",IF(AND('📝 Four-tier กรอก'!BX82&lt;&gt;'📝 Four-tier กรอก'!BX51,'📝 Four-tier กรอก'!BY82="Y",'📝 Four-tier กรอก'!BZ82&lt;&gt;'📝 Four-tier กรอก'!BZ51,'📝 Four-tier กรอก'!CA82="Y"),"❌ Misc.",IF(AND('📝 Four-tier กรอก'!BX82&lt;&gt;'📝 Four-tier กรอก'!BX51,'📝 Four-tier กรอก'!BY82="N",'📝 Four-tier กรอก'!BZ82&lt;&gt;'📝 Four-tier กรอก'!BZ51,'📝 Four-tier กรอก'!CA82="N"),"❓ NoK","🤔 Partial")))))</f>
        <v/>
      </c>
      <c r="W81" s="67">
        <f>IF(OR('📝 Four-tier กรอก'!CB82="",'📝 Four-tier กรอก'!CD82=""),"—",IF(AND('📝 Four-tier กรอก'!CB82='📝 Four-tier กรอก'!CB51,'📝 Four-tier กรอก'!CC82="Y",'📝 Four-tier กรอก'!CD82='📝 Four-tier กรอก'!CD51,'📝 Four-tier กรอก'!CE82="Y"),"✅ Sound",IF(AND('📝 Four-tier กรอก'!CB82='📝 Four-tier กรอก'!CB51,'📝 Four-tier กรอก'!CC82="Y",'📝 Four-tier กรอก'!CD82&lt;&gt;'📝 Four-tier กรอก'!CD51,'📝 Four-tier กรอก'!CE82="Y"),"🎲 Guess",IF(AND('📝 Four-tier กรอก'!CB82&lt;&gt;'📝 Four-tier กรอก'!CB51,'📝 Four-tier กรอก'!CC82="Y",'📝 Four-tier กรอก'!CD82&lt;&gt;'📝 Four-tier กรอก'!CD51,'📝 Four-tier กรอก'!CE82="Y"),"❌ Misc.",IF(AND('📝 Four-tier กรอก'!CB82&lt;&gt;'📝 Four-tier กรอก'!CB51,'📝 Four-tier กรอก'!CC82="N",'📝 Four-tier กรอก'!CD82&lt;&gt;'📝 Four-tier กรอก'!CD51,'📝 Four-tier กรอก'!CE82="N"),"❓ NoK","🤔 Partial")))))</f>
        <v/>
      </c>
      <c r="X81" s="37">
        <f>COUNTIF(D81:W81,"✅ Sound")</f>
        <v/>
      </c>
      <c r="Y81" s="37">
        <f>COUNTIF(D81:W81,"❌ Misc.")</f>
        <v/>
      </c>
      <c r="Z81" s="37">
        <f>COUNTIF(D81:W81,"🎲 Guess")</f>
        <v/>
      </c>
      <c r="AA81" s="37">
        <f>COUNTIF(D81:W81,"❓ NoK")</f>
        <v/>
      </c>
    </row>
    <row r="82" ht="18" customHeight="1">
      <c r="B82" s="46">
        <f>'📝 Four-tier กรอก'!B83</f>
        <v/>
      </c>
      <c r="C82" s="51">
        <f>'📝 Four-tier กรอก'!C83</f>
        <v/>
      </c>
      <c r="D82" s="68">
        <f>IF(OR('📝 Four-tier กรอก'!D83="",'📝 Four-tier กรอก'!F83=""),"—",IF(AND('📝 Four-tier กรอก'!D83='📝 Four-tier กรอก'!D51,'📝 Four-tier กรอก'!E83="Y",'📝 Four-tier กรอก'!F83='📝 Four-tier กรอก'!F51,'📝 Four-tier กรอก'!G83="Y"),"✅ Sound",IF(AND('📝 Four-tier กรอก'!D83='📝 Four-tier กรอก'!D51,'📝 Four-tier กรอก'!E83="Y",'📝 Four-tier กรอก'!F83&lt;&gt;'📝 Four-tier กรอก'!F51,'📝 Four-tier กรอก'!G83="Y"),"🎲 Guess",IF(AND('📝 Four-tier กรอก'!D83&lt;&gt;'📝 Four-tier กรอก'!D51,'📝 Four-tier กรอก'!E83="Y",'📝 Four-tier กรอก'!F83&lt;&gt;'📝 Four-tier กรอก'!F51,'📝 Four-tier กรอก'!G83="Y"),"❌ Misc.",IF(AND('📝 Four-tier กรอก'!D83&lt;&gt;'📝 Four-tier กรอก'!D51,'📝 Four-tier กรอก'!E83="N",'📝 Four-tier กรอก'!F83&lt;&gt;'📝 Four-tier กรอก'!F51,'📝 Four-tier กรอก'!G83="N"),"❓ NoK","🤔 Partial")))))</f>
        <v/>
      </c>
      <c r="E82" s="68">
        <f>IF(OR('📝 Four-tier กรอก'!H83="",'📝 Four-tier กรอก'!J83=""),"—",IF(AND('📝 Four-tier กรอก'!H83='📝 Four-tier กรอก'!H51,'📝 Four-tier กรอก'!I83="Y",'📝 Four-tier กรอก'!J83='📝 Four-tier กรอก'!J51,'📝 Four-tier กรอก'!K83="Y"),"✅ Sound",IF(AND('📝 Four-tier กรอก'!H83='📝 Four-tier กรอก'!H51,'📝 Four-tier กรอก'!I83="Y",'📝 Four-tier กรอก'!J83&lt;&gt;'📝 Four-tier กรอก'!J51,'📝 Four-tier กรอก'!K83="Y"),"🎲 Guess",IF(AND('📝 Four-tier กรอก'!H83&lt;&gt;'📝 Four-tier กรอก'!H51,'📝 Four-tier กรอก'!I83="Y",'📝 Four-tier กรอก'!J83&lt;&gt;'📝 Four-tier กรอก'!J51,'📝 Four-tier กรอก'!K83="Y"),"❌ Misc.",IF(AND('📝 Four-tier กรอก'!H83&lt;&gt;'📝 Four-tier กรอก'!H51,'📝 Four-tier กรอก'!I83="N",'📝 Four-tier กรอก'!J83&lt;&gt;'📝 Four-tier กรอก'!J51,'📝 Four-tier กรอก'!K83="N"),"❓ NoK","🤔 Partial")))))</f>
        <v/>
      </c>
      <c r="F82" s="68">
        <f>IF(OR('📝 Four-tier กรอก'!L83="",'📝 Four-tier กรอก'!N83=""),"—",IF(AND('📝 Four-tier กรอก'!L83='📝 Four-tier กรอก'!L51,'📝 Four-tier กรอก'!M83="Y",'📝 Four-tier กรอก'!N83='📝 Four-tier กรอก'!N51,'📝 Four-tier กรอก'!O83="Y"),"✅ Sound",IF(AND('📝 Four-tier กรอก'!L83='📝 Four-tier กรอก'!L51,'📝 Four-tier กรอก'!M83="Y",'📝 Four-tier กรอก'!N83&lt;&gt;'📝 Four-tier กรอก'!N51,'📝 Four-tier กรอก'!O83="Y"),"🎲 Guess",IF(AND('📝 Four-tier กรอก'!L83&lt;&gt;'📝 Four-tier กรอก'!L51,'📝 Four-tier กรอก'!M83="Y",'📝 Four-tier กรอก'!N83&lt;&gt;'📝 Four-tier กรอก'!N51,'📝 Four-tier กรอก'!O83="Y"),"❌ Misc.",IF(AND('📝 Four-tier กรอก'!L83&lt;&gt;'📝 Four-tier กรอก'!L51,'📝 Four-tier กรอก'!M83="N",'📝 Four-tier กรอก'!N83&lt;&gt;'📝 Four-tier กรอก'!N51,'📝 Four-tier กรอก'!O83="N"),"❓ NoK","🤔 Partial")))))</f>
        <v/>
      </c>
      <c r="G82" s="68">
        <f>IF(OR('📝 Four-tier กรอก'!P83="",'📝 Four-tier กรอก'!R83=""),"—",IF(AND('📝 Four-tier กรอก'!P83='📝 Four-tier กรอก'!P51,'📝 Four-tier กรอก'!Q83="Y",'📝 Four-tier กรอก'!R83='📝 Four-tier กรอก'!R51,'📝 Four-tier กรอก'!S83="Y"),"✅ Sound",IF(AND('📝 Four-tier กรอก'!P83='📝 Four-tier กรอก'!P51,'📝 Four-tier กรอก'!Q83="Y",'📝 Four-tier กรอก'!R83&lt;&gt;'📝 Four-tier กรอก'!R51,'📝 Four-tier กรอก'!S83="Y"),"🎲 Guess",IF(AND('📝 Four-tier กรอก'!P83&lt;&gt;'📝 Four-tier กรอก'!P51,'📝 Four-tier กรอก'!Q83="Y",'📝 Four-tier กรอก'!R83&lt;&gt;'📝 Four-tier กรอก'!R51,'📝 Four-tier กรอก'!S83="Y"),"❌ Misc.",IF(AND('📝 Four-tier กรอก'!P83&lt;&gt;'📝 Four-tier กรอก'!P51,'📝 Four-tier กรอก'!Q83="N",'📝 Four-tier กรอก'!R83&lt;&gt;'📝 Four-tier กรอก'!R51,'📝 Four-tier กรอก'!S83="N"),"❓ NoK","🤔 Partial")))))</f>
        <v/>
      </c>
      <c r="H82" s="68">
        <f>IF(OR('📝 Four-tier กรอก'!T83="",'📝 Four-tier กรอก'!V83=""),"—",IF(AND('📝 Four-tier กรอก'!T83='📝 Four-tier กรอก'!T51,'📝 Four-tier กรอก'!U83="Y",'📝 Four-tier กรอก'!V83='📝 Four-tier กรอก'!V51,'📝 Four-tier กรอก'!W83="Y"),"✅ Sound",IF(AND('📝 Four-tier กรอก'!T83='📝 Four-tier กรอก'!T51,'📝 Four-tier กรอก'!U83="Y",'📝 Four-tier กรอก'!V83&lt;&gt;'📝 Four-tier กรอก'!V51,'📝 Four-tier กรอก'!W83="Y"),"🎲 Guess",IF(AND('📝 Four-tier กรอก'!T83&lt;&gt;'📝 Four-tier กรอก'!T51,'📝 Four-tier กรอก'!U83="Y",'📝 Four-tier กรอก'!V83&lt;&gt;'📝 Four-tier กรอก'!V51,'📝 Four-tier กรอก'!W83="Y"),"❌ Misc.",IF(AND('📝 Four-tier กรอก'!T83&lt;&gt;'📝 Four-tier กรอก'!T51,'📝 Four-tier กรอก'!U83="N",'📝 Four-tier กรอก'!V83&lt;&gt;'📝 Four-tier กรอก'!V51,'📝 Four-tier กรอก'!W83="N"),"❓ NoK","🤔 Partial")))))</f>
        <v/>
      </c>
      <c r="I82" s="68">
        <f>IF(OR('📝 Four-tier กรอก'!X83="",'📝 Four-tier กรอก'!Z83=""),"—",IF(AND('📝 Four-tier กรอก'!X83='📝 Four-tier กรอก'!X51,'📝 Four-tier กรอก'!Y83="Y",'📝 Four-tier กรอก'!Z83='📝 Four-tier กรอก'!Z51,'📝 Four-tier กรอก'!AA83="Y"),"✅ Sound",IF(AND('📝 Four-tier กรอก'!X83='📝 Four-tier กรอก'!X51,'📝 Four-tier กรอก'!Y83="Y",'📝 Four-tier กรอก'!Z83&lt;&gt;'📝 Four-tier กรอก'!Z51,'📝 Four-tier กรอก'!AA83="Y"),"🎲 Guess",IF(AND('📝 Four-tier กรอก'!X83&lt;&gt;'📝 Four-tier กรอก'!X51,'📝 Four-tier กรอก'!Y83="Y",'📝 Four-tier กรอก'!Z83&lt;&gt;'📝 Four-tier กรอก'!Z51,'📝 Four-tier กรอก'!AA83="Y"),"❌ Misc.",IF(AND('📝 Four-tier กรอก'!X83&lt;&gt;'📝 Four-tier กรอก'!X51,'📝 Four-tier กรอก'!Y83="N",'📝 Four-tier กรอก'!Z83&lt;&gt;'📝 Four-tier กรอก'!Z51,'📝 Four-tier กรอก'!AA83="N"),"❓ NoK","🤔 Partial")))))</f>
        <v/>
      </c>
      <c r="J82" s="68">
        <f>IF(OR('📝 Four-tier กรอก'!AB83="",'📝 Four-tier กรอก'!AD83=""),"—",IF(AND('📝 Four-tier กรอก'!AB83='📝 Four-tier กรอก'!AB51,'📝 Four-tier กรอก'!AC83="Y",'📝 Four-tier กรอก'!AD83='📝 Four-tier กรอก'!AD51,'📝 Four-tier กรอก'!AE83="Y"),"✅ Sound",IF(AND('📝 Four-tier กรอก'!AB83='📝 Four-tier กรอก'!AB51,'📝 Four-tier กรอก'!AC83="Y",'📝 Four-tier กรอก'!AD83&lt;&gt;'📝 Four-tier กรอก'!AD51,'📝 Four-tier กรอก'!AE83="Y"),"🎲 Guess",IF(AND('📝 Four-tier กรอก'!AB83&lt;&gt;'📝 Four-tier กรอก'!AB51,'📝 Four-tier กรอก'!AC83="Y",'📝 Four-tier กรอก'!AD83&lt;&gt;'📝 Four-tier กรอก'!AD51,'📝 Four-tier กรอก'!AE83="Y"),"❌ Misc.",IF(AND('📝 Four-tier กรอก'!AB83&lt;&gt;'📝 Four-tier กรอก'!AB51,'📝 Four-tier กรอก'!AC83="N",'📝 Four-tier กรอก'!AD83&lt;&gt;'📝 Four-tier กรอก'!AD51,'📝 Four-tier กรอก'!AE83="N"),"❓ NoK","🤔 Partial")))))</f>
        <v/>
      </c>
      <c r="K82" s="68">
        <f>IF(OR('📝 Four-tier กรอก'!AF83="",'📝 Four-tier กรอก'!AH83=""),"—",IF(AND('📝 Four-tier กรอก'!AF83='📝 Four-tier กรอก'!AF51,'📝 Four-tier กรอก'!AG83="Y",'📝 Four-tier กรอก'!AH83='📝 Four-tier กรอก'!AH51,'📝 Four-tier กรอก'!AI83="Y"),"✅ Sound",IF(AND('📝 Four-tier กรอก'!AF83='📝 Four-tier กรอก'!AF51,'📝 Four-tier กรอก'!AG83="Y",'📝 Four-tier กรอก'!AH83&lt;&gt;'📝 Four-tier กรอก'!AH51,'📝 Four-tier กรอก'!AI83="Y"),"🎲 Guess",IF(AND('📝 Four-tier กรอก'!AF83&lt;&gt;'📝 Four-tier กรอก'!AF51,'📝 Four-tier กรอก'!AG83="Y",'📝 Four-tier กรอก'!AH83&lt;&gt;'📝 Four-tier กรอก'!AH51,'📝 Four-tier กรอก'!AI83="Y"),"❌ Misc.",IF(AND('📝 Four-tier กรอก'!AF83&lt;&gt;'📝 Four-tier กรอก'!AF51,'📝 Four-tier กรอก'!AG83="N",'📝 Four-tier กรอก'!AH83&lt;&gt;'📝 Four-tier กรอก'!AH51,'📝 Four-tier กรอก'!AI83="N"),"❓ NoK","🤔 Partial")))))</f>
        <v/>
      </c>
      <c r="L82" s="68">
        <f>IF(OR('📝 Four-tier กรอก'!AJ83="",'📝 Four-tier กรอก'!AL83=""),"—",IF(AND('📝 Four-tier กรอก'!AJ83='📝 Four-tier กรอก'!AJ51,'📝 Four-tier กรอก'!AK83="Y",'📝 Four-tier กรอก'!AL83='📝 Four-tier กรอก'!AL51,'📝 Four-tier กรอก'!AM83="Y"),"✅ Sound",IF(AND('📝 Four-tier กรอก'!AJ83='📝 Four-tier กรอก'!AJ51,'📝 Four-tier กรอก'!AK83="Y",'📝 Four-tier กรอก'!AL83&lt;&gt;'📝 Four-tier กรอก'!AL51,'📝 Four-tier กรอก'!AM83="Y"),"🎲 Guess",IF(AND('📝 Four-tier กรอก'!AJ83&lt;&gt;'📝 Four-tier กรอก'!AJ51,'📝 Four-tier กรอก'!AK83="Y",'📝 Four-tier กรอก'!AL83&lt;&gt;'📝 Four-tier กรอก'!AL51,'📝 Four-tier กรอก'!AM83="Y"),"❌ Misc.",IF(AND('📝 Four-tier กรอก'!AJ83&lt;&gt;'📝 Four-tier กรอก'!AJ51,'📝 Four-tier กรอก'!AK83="N",'📝 Four-tier กรอก'!AL83&lt;&gt;'📝 Four-tier กรอก'!AL51,'📝 Four-tier กรอก'!AM83="N"),"❓ NoK","🤔 Partial")))))</f>
        <v/>
      </c>
      <c r="M82" s="68">
        <f>IF(OR('📝 Four-tier กรอก'!AN83="",'📝 Four-tier กรอก'!AP83=""),"—",IF(AND('📝 Four-tier กรอก'!AN83='📝 Four-tier กรอก'!AN51,'📝 Four-tier กรอก'!AO83="Y",'📝 Four-tier กรอก'!AP83='📝 Four-tier กรอก'!AP51,'📝 Four-tier กรอก'!AQ83="Y"),"✅ Sound",IF(AND('📝 Four-tier กรอก'!AN83='📝 Four-tier กรอก'!AN51,'📝 Four-tier กรอก'!AO83="Y",'📝 Four-tier กรอก'!AP83&lt;&gt;'📝 Four-tier กรอก'!AP51,'📝 Four-tier กรอก'!AQ83="Y"),"🎲 Guess",IF(AND('📝 Four-tier กรอก'!AN83&lt;&gt;'📝 Four-tier กรอก'!AN51,'📝 Four-tier กรอก'!AO83="Y",'📝 Four-tier กรอก'!AP83&lt;&gt;'📝 Four-tier กรอก'!AP51,'📝 Four-tier กรอก'!AQ83="Y"),"❌ Misc.",IF(AND('📝 Four-tier กรอก'!AN83&lt;&gt;'📝 Four-tier กรอก'!AN51,'📝 Four-tier กรอก'!AO83="N",'📝 Four-tier กรอก'!AP83&lt;&gt;'📝 Four-tier กรอก'!AP51,'📝 Four-tier กรอก'!AQ83="N"),"❓ NoK","🤔 Partial")))))</f>
        <v/>
      </c>
      <c r="N82" s="68">
        <f>IF(OR('📝 Four-tier กรอก'!AR83="",'📝 Four-tier กรอก'!AT83=""),"—",IF(AND('📝 Four-tier กรอก'!AR83='📝 Four-tier กรอก'!AR51,'📝 Four-tier กรอก'!AS83="Y",'📝 Four-tier กรอก'!AT83='📝 Four-tier กรอก'!AT51,'📝 Four-tier กรอก'!AU83="Y"),"✅ Sound",IF(AND('📝 Four-tier กรอก'!AR83='📝 Four-tier กรอก'!AR51,'📝 Four-tier กรอก'!AS83="Y",'📝 Four-tier กรอก'!AT83&lt;&gt;'📝 Four-tier กรอก'!AT51,'📝 Four-tier กรอก'!AU83="Y"),"🎲 Guess",IF(AND('📝 Four-tier กรอก'!AR83&lt;&gt;'📝 Four-tier กรอก'!AR51,'📝 Four-tier กรอก'!AS83="Y",'📝 Four-tier กรอก'!AT83&lt;&gt;'📝 Four-tier กรอก'!AT51,'📝 Four-tier กรอก'!AU83="Y"),"❌ Misc.",IF(AND('📝 Four-tier กรอก'!AR83&lt;&gt;'📝 Four-tier กรอก'!AR51,'📝 Four-tier กรอก'!AS83="N",'📝 Four-tier กรอก'!AT83&lt;&gt;'📝 Four-tier กรอก'!AT51,'📝 Four-tier กรอก'!AU83="N"),"❓ NoK","🤔 Partial")))))</f>
        <v/>
      </c>
      <c r="O82" s="68">
        <f>IF(OR('📝 Four-tier กรอก'!AV83="",'📝 Four-tier กรอก'!AX83=""),"—",IF(AND('📝 Four-tier กรอก'!AV83='📝 Four-tier กรอก'!AV51,'📝 Four-tier กรอก'!AW83="Y",'📝 Four-tier กรอก'!AX83='📝 Four-tier กรอก'!AX51,'📝 Four-tier กรอก'!AY83="Y"),"✅ Sound",IF(AND('📝 Four-tier กรอก'!AV83='📝 Four-tier กรอก'!AV51,'📝 Four-tier กรอก'!AW83="Y",'📝 Four-tier กรอก'!AX83&lt;&gt;'📝 Four-tier กรอก'!AX51,'📝 Four-tier กรอก'!AY83="Y"),"🎲 Guess",IF(AND('📝 Four-tier กรอก'!AV83&lt;&gt;'📝 Four-tier กรอก'!AV51,'📝 Four-tier กรอก'!AW83="Y",'📝 Four-tier กรอก'!AX83&lt;&gt;'📝 Four-tier กรอก'!AX51,'📝 Four-tier กรอก'!AY83="Y"),"❌ Misc.",IF(AND('📝 Four-tier กรอก'!AV83&lt;&gt;'📝 Four-tier กรอก'!AV51,'📝 Four-tier กรอก'!AW83="N",'📝 Four-tier กรอก'!AX83&lt;&gt;'📝 Four-tier กรอก'!AX51,'📝 Four-tier กรอก'!AY83="N"),"❓ NoK","🤔 Partial")))))</f>
        <v/>
      </c>
      <c r="P82" s="68">
        <f>IF(OR('📝 Four-tier กรอก'!AZ83="",'📝 Four-tier กรอก'!BB83=""),"—",IF(AND('📝 Four-tier กรอก'!AZ83='📝 Four-tier กรอก'!AZ51,'📝 Four-tier กรอก'!BA83="Y",'📝 Four-tier กรอก'!BB83='📝 Four-tier กรอก'!BB51,'📝 Four-tier กรอก'!BC83="Y"),"✅ Sound",IF(AND('📝 Four-tier กรอก'!AZ83='📝 Four-tier กรอก'!AZ51,'📝 Four-tier กรอก'!BA83="Y",'📝 Four-tier กรอก'!BB83&lt;&gt;'📝 Four-tier กรอก'!BB51,'📝 Four-tier กรอก'!BC83="Y"),"🎲 Guess",IF(AND('📝 Four-tier กรอก'!AZ83&lt;&gt;'📝 Four-tier กรอก'!AZ51,'📝 Four-tier กรอก'!BA83="Y",'📝 Four-tier กรอก'!BB83&lt;&gt;'📝 Four-tier กรอก'!BB51,'📝 Four-tier กรอก'!BC83="Y"),"❌ Misc.",IF(AND('📝 Four-tier กรอก'!AZ83&lt;&gt;'📝 Four-tier กรอก'!AZ51,'📝 Four-tier กรอก'!BA83="N",'📝 Four-tier กรอก'!BB83&lt;&gt;'📝 Four-tier กรอก'!BB51,'📝 Four-tier กรอก'!BC83="N"),"❓ NoK","🤔 Partial")))))</f>
        <v/>
      </c>
      <c r="Q82" s="68">
        <f>IF(OR('📝 Four-tier กรอก'!BD83="",'📝 Four-tier กรอก'!BF83=""),"—",IF(AND('📝 Four-tier กรอก'!BD83='📝 Four-tier กรอก'!BD51,'📝 Four-tier กรอก'!BE83="Y",'📝 Four-tier กรอก'!BF83='📝 Four-tier กรอก'!BF51,'📝 Four-tier กรอก'!BG83="Y"),"✅ Sound",IF(AND('📝 Four-tier กรอก'!BD83='📝 Four-tier กรอก'!BD51,'📝 Four-tier กรอก'!BE83="Y",'📝 Four-tier กรอก'!BF83&lt;&gt;'📝 Four-tier กรอก'!BF51,'📝 Four-tier กรอก'!BG83="Y"),"🎲 Guess",IF(AND('📝 Four-tier กรอก'!BD83&lt;&gt;'📝 Four-tier กรอก'!BD51,'📝 Four-tier กรอก'!BE83="Y",'📝 Four-tier กรอก'!BF83&lt;&gt;'📝 Four-tier กรอก'!BF51,'📝 Four-tier กรอก'!BG83="Y"),"❌ Misc.",IF(AND('📝 Four-tier กรอก'!BD83&lt;&gt;'📝 Four-tier กรอก'!BD51,'📝 Four-tier กรอก'!BE83="N",'📝 Four-tier กรอก'!BF83&lt;&gt;'📝 Four-tier กรอก'!BF51,'📝 Four-tier กรอก'!BG83="N"),"❓ NoK","🤔 Partial")))))</f>
        <v/>
      </c>
      <c r="R82" s="68">
        <f>IF(OR('📝 Four-tier กรอก'!BH83="",'📝 Four-tier กรอก'!BJ83=""),"—",IF(AND('📝 Four-tier กรอก'!BH83='📝 Four-tier กรอก'!BH51,'📝 Four-tier กรอก'!BI83="Y",'📝 Four-tier กรอก'!BJ83='📝 Four-tier กรอก'!BJ51,'📝 Four-tier กรอก'!BK83="Y"),"✅ Sound",IF(AND('📝 Four-tier กรอก'!BH83='📝 Four-tier กรอก'!BH51,'📝 Four-tier กรอก'!BI83="Y",'📝 Four-tier กรอก'!BJ83&lt;&gt;'📝 Four-tier กรอก'!BJ51,'📝 Four-tier กรอก'!BK83="Y"),"🎲 Guess",IF(AND('📝 Four-tier กรอก'!BH83&lt;&gt;'📝 Four-tier กรอก'!BH51,'📝 Four-tier กรอก'!BI83="Y",'📝 Four-tier กรอก'!BJ83&lt;&gt;'📝 Four-tier กรอก'!BJ51,'📝 Four-tier กรอก'!BK83="Y"),"❌ Misc.",IF(AND('📝 Four-tier กรอก'!BH83&lt;&gt;'📝 Four-tier กรอก'!BH51,'📝 Four-tier กรอก'!BI83="N",'📝 Four-tier กรอก'!BJ83&lt;&gt;'📝 Four-tier กรอก'!BJ51,'📝 Four-tier กรอก'!BK83="N"),"❓ NoK","🤔 Partial")))))</f>
        <v/>
      </c>
      <c r="S82" s="68">
        <f>IF(OR('📝 Four-tier กรอก'!BL83="",'📝 Four-tier กรอก'!BN83=""),"—",IF(AND('📝 Four-tier กรอก'!BL83='📝 Four-tier กรอก'!BL51,'📝 Four-tier กรอก'!BM83="Y",'📝 Four-tier กรอก'!BN83='📝 Four-tier กรอก'!BN51,'📝 Four-tier กรอก'!BO83="Y"),"✅ Sound",IF(AND('📝 Four-tier กรอก'!BL83='📝 Four-tier กรอก'!BL51,'📝 Four-tier กรอก'!BM83="Y",'📝 Four-tier กรอก'!BN83&lt;&gt;'📝 Four-tier กรอก'!BN51,'📝 Four-tier กรอก'!BO83="Y"),"🎲 Guess",IF(AND('📝 Four-tier กรอก'!BL83&lt;&gt;'📝 Four-tier กรอก'!BL51,'📝 Four-tier กรอก'!BM83="Y",'📝 Four-tier กรอก'!BN83&lt;&gt;'📝 Four-tier กรอก'!BN51,'📝 Four-tier กรอก'!BO83="Y"),"❌ Misc.",IF(AND('📝 Four-tier กรอก'!BL83&lt;&gt;'📝 Four-tier กรอก'!BL51,'📝 Four-tier กรอก'!BM83="N",'📝 Four-tier กรอก'!BN83&lt;&gt;'📝 Four-tier กรอก'!BN51,'📝 Four-tier กรอก'!BO83="N"),"❓ NoK","🤔 Partial")))))</f>
        <v/>
      </c>
      <c r="T82" s="68">
        <f>IF(OR('📝 Four-tier กรอก'!BP83="",'📝 Four-tier กรอก'!BR83=""),"—",IF(AND('📝 Four-tier กรอก'!BP83='📝 Four-tier กรอก'!BP51,'📝 Four-tier กรอก'!BQ83="Y",'📝 Four-tier กรอก'!BR83='📝 Four-tier กรอก'!BR51,'📝 Four-tier กรอก'!BS83="Y"),"✅ Sound",IF(AND('📝 Four-tier กรอก'!BP83='📝 Four-tier กรอก'!BP51,'📝 Four-tier กรอก'!BQ83="Y",'📝 Four-tier กรอก'!BR83&lt;&gt;'📝 Four-tier กรอก'!BR51,'📝 Four-tier กรอก'!BS83="Y"),"🎲 Guess",IF(AND('📝 Four-tier กรอก'!BP83&lt;&gt;'📝 Four-tier กรอก'!BP51,'📝 Four-tier กรอก'!BQ83="Y",'📝 Four-tier กรอก'!BR83&lt;&gt;'📝 Four-tier กรอก'!BR51,'📝 Four-tier กรอก'!BS83="Y"),"❌ Misc.",IF(AND('📝 Four-tier กรอก'!BP83&lt;&gt;'📝 Four-tier กรอก'!BP51,'📝 Four-tier กรอก'!BQ83="N",'📝 Four-tier กรอก'!BR83&lt;&gt;'📝 Four-tier กรอก'!BR51,'📝 Four-tier กรอก'!BS83="N"),"❓ NoK","🤔 Partial")))))</f>
        <v/>
      </c>
      <c r="U82" s="68">
        <f>IF(OR('📝 Four-tier กรอก'!BT83="",'📝 Four-tier กรอก'!BV83=""),"—",IF(AND('📝 Four-tier กรอก'!BT83='📝 Four-tier กรอก'!BT51,'📝 Four-tier กรอก'!BU83="Y",'📝 Four-tier กรอก'!BV83='📝 Four-tier กรอก'!BV51,'📝 Four-tier กรอก'!BW83="Y"),"✅ Sound",IF(AND('📝 Four-tier กรอก'!BT83='📝 Four-tier กรอก'!BT51,'📝 Four-tier กรอก'!BU83="Y",'📝 Four-tier กรอก'!BV83&lt;&gt;'📝 Four-tier กรอก'!BV51,'📝 Four-tier กรอก'!BW83="Y"),"🎲 Guess",IF(AND('📝 Four-tier กรอก'!BT83&lt;&gt;'📝 Four-tier กรอก'!BT51,'📝 Four-tier กรอก'!BU83="Y",'📝 Four-tier กรอก'!BV83&lt;&gt;'📝 Four-tier กรอก'!BV51,'📝 Four-tier กรอก'!BW83="Y"),"❌ Misc.",IF(AND('📝 Four-tier กรอก'!BT83&lt;&gt;'📝 Four-tier กรอก'!BT51,'📝 Four-tier กรอก'!BU83="N",'📝 Four-tier กรอก'!BV83&lt;&gt;'📝 Four-tier กรอก'!BV51,'📝 Four-tier กรอก'!BW83="N"),"❓ NoK","🤔 Partial")))))</f>
        <v/>
      </c>
      <c r="V82" s="68">
        <f>IF(OR('📝 Four-tier กรอก'!BX83="",'📝 Four-tier กรอก'!BZ83=""),"—",IF(AND('📝 Four-tier กรอก'!BX83='📝 Four-tier กรอก'!BX51,'📝 Four-tier กรอก'!BY83="Y",'📝 Four-tier กรอก'!BZ83='📝 Four-tier กรอก'!BZ51,'📝 Four-tier กรอก'!CA83="Y"),"✅ Sound",IF(AND('📝 Four-tier กรอก'!BX83='📝 Four-tier กรอก'!BX51,'📝 Four-tier กรอก'!BY83="Y",'📝 Four-tier กรอก'!BZ83&lt;&gt;'📝 Four-tier กรอก'!BZ51,'📝 Four-tier กรอก'!CA83="Y"),"🎲 Guess",IF(AND('📝 Four-tier กรอก'!BX83&lt;&gt;'📝 Four-tier กรอก'!BX51,'📝 Four-tier กรอก'!BY83="Y",'📝 Four-tier กรอก'!BZ83&lt;&gt;'📝 Four-tier กรอก'!BZ51,'📝 Four-tier กรอก'!CA83="Y"),"❌ Misc.",IF(AND('📝 Four-tier กรอก'!BX83&lt;&gt;'📝 Four-tier กรอก'!BX51,'📝 Four-tier กรอก'!BY83="N",'📝 Four-tier กรอก'!BZ83&lt;&gt;'📝 Four-tier กรอก'!BZ51,'📝 Four-tier กรอก'!CA83="N"),"❓ NoK","🤔 Partial")))))</f>
        <v/>
      </c>
      <c r="W82" s="68">
        <f>IF(OR('📝 Four-tier กรอก'!CB83="",'📝 Four-tier กรอก'!CD83=""),"—",IF(AND('📝 Four-tier กรอก'!CB83='📝 Four-tier กรอก'!CB51,'📝 Four-tier กรอก'!CC83="Y",'📝 Four-tier กรอก'!CD83='📝 Four-tier กรอก'!CD51,'📝 Four-tier กรอก'!CE83="Y"),"✅ Sound",IF(AND('📝 Four-tier กรอก'!CB83='📝 Four-tier กรอก'!CB51,'📝 Four-tier กรอก'!CC83="Y",'📝 Four-tier กรอก'!CD83&lt;&gt;'📝 Four-tier กรอก'!CD51,'📝 Four-tier กรอก'!CE83="Y"),"🎲 Guess",IF(AND('📝 Four-tier กรอก'!CB83&lt;&gt;'📝 Four-tier กรอก'!CB51,'📝 Four-tier กรอก'!CC83="Y",'📝 Four-tier กรอก'!CD83&lt;&gt;'📝 Four-tier กรอก'!CD51,'📝 Four-tier กรอก'!CE83="Y"),"❌ Misc.",IF(AND('📝 Four-tier กรอก'!CB83&lt;&gt;'📝 Four-tier กรอก'!CB51,'📝 Four-tier กรอก'!CC83="N",'📝 Four-tier กรอก'!CD83&lt;&gt;'📝 Four-tier กรอก'!CD51,'📝 Four-tier กรอก'!CE83="N"),"❓ NoK","🤔 Partial")))))</f>
        <v/>
      </c>
      <c r="X82" s="37">
        <f>COUNTIF(D82:W82,"✅ Sound")</f>
        <v/>
      </c>
      <c r="Y82" s="37">
        <f>COUNTIF(D82:W82,"❌ Misc.")</f>
        <v/>
      </c>
      <c r="Z82" s="37">
        <f>COUNTIF(D82:W82,"🎲 Guess")</f>
        <v/>
      </c>
      <c r="AA82" s="37">
        <f>COUNTIF(D82:W82,"❓ NoK")</f>
        <v/>
      </c>
    </row>
    <row r="83" ht="18" customHeight="1">
      <c r="B83" s="46">
        <f>'📝 Four-tier กรอก'!B84</f>
        <v/>
      </c>
      <c r="C83" s="47">
        <f>'📝 Four-tier กรอก'!C84</f>
        <v/>
      </c>
      <c r="D83" s="67">
        <f>IF(OR('📝 Four-tier กรอก'!D84="",'📝 Four-tier กรอก'!F84=""),"—",IF(AND('📝 Four-tier กรอก'!D84='📝 Four-tier กรอก'!D51,'📝 Four-tier กรอก'!E84="Y",'📝 Four-tier กรอก'!F84='📝 Four-tier กรอก'!F51,'📝 Four-tier กรอก'!G84="Y"),"✅ Sound",IF(AND('📝 Four-tier กรอก'!D84='📝 Four-tier กรอก'!D51,'📝 Four-tier กรอก'!E84="Y",'📝 Four-tier กรอก'!F84&lt;&gt;'📝 Four-tier กรอก'!F51,'📝 Four-tier กรอก'!G84="Y"),"🎲 Guess",IF(AND('📝 Four-tier กรอก'!D84&lt;&gt;'📝 Four-tier กรอก'!D51,'📝 Four-tier กรอก'!E84="Y",'📝 Four-tier กรอก'!F84&lt;&gt;'📝 Four-tier กรอก'!F51,'📝 Four-tier กรอก'!G84="Y"),"❌ Misc.",IF(AND('📝 Four-tier กรอก'!D84&lt;&gt;'📝 Four-tier กรอก'!D51,'📝 Four-tier กรอก'!E84="N",'📝 Four-tier กรอก'!F84&lt;&gt;'📝 Four-tier กรอก'!F51,'📝 Four-tier กรอก'!G84="N"),"❓ NoK","🤔 Partial")))))</f>
        <v/>
      </c>
      <c r="E83" s="67">
        <f>IF(OR('📝 Four-tier กรอก'!H84="",'📝 Four-tier กรอก'!J84=""),"—",IF(AND('📝 Four-tier กรอก'!H84='📝 Four-tier กรอก'!H51,'📝 Four-tier กรอก'!I84="Y",'📝 Four-tier กรอก'!J84='📝 Four-tier กรอก'!J51,'📝 Four-tier กรอก'!K84="Y"),"✅ Sound",IF(AND('📝 Four-tier กรอก'!H84='📝 Four-tier กรอก'!H51,'📝 Four-tier กรอก'!I84="Y",'📝 Four-tier กรอก'!J84&lt;&gt;'📝 Four-tier กรอก'!J51,'📝 Four-tier กรอก'!K84="Y"),"🎲 Guess",IF(AND('📝 Four-tier กรอก'!H84&lt;&gt;'📝 Four-tier กรอก'!H51,'📝 Four-tier กรอก'!I84="Y",'📝 Four-tier กรอก'!J84&lt;&gt;'📝 Four-tier กรอก'!J51,'📝 Four-tier กรอก'!K84="Y"),"❌ Misc.",IF(AND('📝 Four-tier กรอก'!H84&lt;&gt;'📝 Four-tier กรอก'!H51,'📝 Four-tier กรอก'!I84="N",'📝 Four-tier กรอก'!J84&lt;&gt;'📝 Four-tier กรอก'!J51,'📝 Four-tier กรอก'!K84="N"),"❓ NoK","🤔 Partial")))))</f>
        <v/>
      </c>
      <c r="F83" s="67">
        <f>IF(OR('📝 Four-tier กรอก'!L84="",'📝 Four-tier กรอก'!N84=""),"—",IF(AND('📝 Four-tier กรอก'!L84='📝 Four-tier กรอก'!L51,'📝 Four-tier กรอก'!M84="Y",'📝 Four-tier กรอก'!N84='📝 Four-tier กรอก'!N51,'📝 Four-tier กรอก'!O84="Y"),"✅ Sound",IF(AND('📝 Four-tier กรอก'!L84='📝 Four-tier กรอก'!L51,'📝 Four-tier กรอก'!M84="Y",'📝 Four-tier กรอก'!N84&lt;&gt;'📝 Four-tier กรอก'!N51,'📝 Four-tier กรอก'!O84="Y"),"🎲 Guess",IF(AND('📝 Four-tier กรอก'!L84&lt;&gt;'📝 Four-tier กรอก'!L51,'📝 Four-tier กรอก'!M84="Y",'📝 Four-tier กรอก'!N84&lt;&gt;'📝 Four-tier กรอก'!N51,'📝 Four-tier กรอก'!O84="Y"),"❌ Misc.",IF(AND('📝 Four-tier กรอก'!L84&lt;&gt;'📝 Four-tier กรอก'!L51,'📝 Four-tier กรอก'!M84="N",'📝 Four-tier กรอก'!N84&lt;&gt;'📝 Four-tier กรอก'!N51,'📝 Four-tier กรอก'!O84="N"),"❓ NoK","🤔 Partial")))))</f>
        <v/>
      </c>
      <c r="G83" s="67">
        <f>IF(OR('📝 Four-tier กรอก'!P84="",'📝 Four-tier กรอก'!R84=""),"—",IF(AND('📝 Four-tier กรอก'!P84='📝 Four-tier กรอก'!P51,'📝 Four-tier กรอก'!Q84="Y",'📝 Four-tier กรอก'!R84='📝 Four-tier กรอก'!R51,'📝 Four-tier กรอก'!S84="Y"),"✅ Sound",IF(AND('📝 Four-tier กรอก'!P84='📝 Four-tier กรอก'!P51,'📝 Four-tier กรอก'!Q84="Y",'📝 Four-tier กรอก'!R84&lt;&gt;'📝 Four-tier กรอก'!R51,'📝 Four-tier กรอก'!S84="Y"),"🎲 Guess",IF(AND('📝 Four-tier กรอก'!P84&lt;&gt;'📝 Four-tier กรอก'!P51,'📝 Four-tier กรอก'!Q84="Y",'📝 Four-tier กรอก'!R84&lt;&gt;'📝 Four-tier กรอก'!R51,'📝 Four-tier กรอก'!S84="Y"),"❌ Misc.",IF(AND('📝 Four-tier กรอก'!P84&lt;&gt;'📝 Four-tier กรอก'!P51,'📝 Four-tier กรอก'!Q84="N",'📝 Four-tier กรอก'!R84&lt;&gt;'📝 Four-tier กรอก'!R51,'📝 Four-tier กรอก'!S84="N"),"❓ NoK","🤔 Partial")))))</f>
        <v/>
      </c>
      <c r="H83" s="67">
        <f>IF(OR('📝 Four-tier กรอก'!T84="",'📝 Four-tier กรอก'!V84=""),"—",IF(AND('📝 Four-tier กรอก'!T84='📝 Four-tier กรอก'!T51,'📝 Four-tier กรอก'!U84="Y",'📝 Four-tier กรอก'!V84='📝 Four-tier กรอก'!V51,'📝 Four-tier กรอก'!W84="Y"),"✅ Sound",IF(AND('📝 Four-tier กรอก'!T84='📝 Four-tier กรอก'!T51,'📝 Four-tier กรอก'!U84="Y",'📝 Four-tier กรอก'!V84&lt;&gt;'📝 Four-tier กรอก'!V51,'📝 Four-tier กรอก'!W84="Y"),"🎲 Guess",IF(AND('📝 Four-tier กรอก'!T84&lt;&gt;'📝 Four-tier กรอก'!T51,'📝 Four-tier กรอก'!U84="Y",'📝 Four-tier กรอก'!V84&lt;&gt;'📝 Four-tier กรอก'!V51,'📝 Four-tier กรอก'!W84="Y"),"❌ Misc.",IF(AND('📝 Four-tier กรอก'!T84&lt;&gt;'📝 Four-tier กรอก'!T51,'📝 Four-tier กรอก'!U84="N",'📝 Four-tier กรอก'!V84&lt;&gt;'📝 Four-tier กรอก'!V51,'📝 Four-tier กรอก'!W84="N"),"❓ NoK","🤔 Partial")))))</f>
        <v/>
      </c>
      <c r="I83" s="67">
        <f>IF(OR('📝 Four-tier กรอก'!X84="",'📝 Four-tier กรอก'!Z84=""),"—",IF(AND('📝 Four-tier กรอก'!X84='📝 Four-tier กรอก'!X51,'📝 Four-tier กรอก'!Y84="Y",'📝 Four-tier กรอก'!Z84='📝 Four-tier กรอก'!Z51,'📝 Four-tier กรอก'!AA84="Y"),"✅ Sound",IF(AND('📝 Four-tier กรอก'!X84='📝 Four-tier กรอก'!X51,'📝 Four-tier กรอก'!Y84="Y",'📝 Four-tier กรอก'!Z84&lt;&gt;'📝 Four-tier กรอก'!Z51,'📝 Four-tier กรอก'!AA84="Y"),"🎲 Guess",IF(AND('📝 Four-tier กรอก'!X84&lt;&gt;'📝 Four-tier กรอก'!X51,'📝 Four-tier กรอก'!Y84="Y",'📝 Four-tier กรอก'!Z84&lt;&gt;'📝 Four-tier กรอก'!Z51,'📝 Four-tier กรอก'!AA84="Y"),"❌ Misc.",IF(AND('📝 Four-tier กรอก'!X84&lt;&gt;'📝 Four-tier กรอก'!X51,'📝 Four-tier กรอก'!Y84="N",'📝 Four-tier กรอก'!Z84&lt;&gt;'📝 Four-tier กรอก'!Z51,'📝 Four-tier กรอก'!AA84="N"),"❓ NoK","🤔 Partial")))))</f>
        <v/>
      </c>
      <c r="J83" s="67">
        <f>IF(OR('📝 Four-tier กรอก'!AB84="",'📝 Four-tier กรอก'!AD84=""),"—",IF(AND('📝 Four-tier กรอก'!AB84='📝 Four-tier กรอก'!AB51,'📝 Four-tier กรอก'!AC84="Y",'📝 Four-tier กรอก'!AD84='📝 Four-tier กรอก'!AD51,'📝 Four-tier กรอก'!AE84="Y"),"✅ Sound",IF(AND('📝 Four-tier กรอก'!AB84='📝 Four-tier กรอก'!AB51,'📝 Four-tier กรอก'!AC84="Y",'📝 Four-tier กรอก'!AD84&lt;&gt;'📝 Four-tier กรอก'!AD51,'📝 Four-tier กรอก'!AE84="Y"),"🎲 Guess",IF(AND('📝 Four-tier กรอก'!AB84&lt;&gt;'📝 Four-tier กรอก'!AB51,'📝 Four-tier กรอก'!AC84="Y",'📝 Four-tier กรอก'!AD84&lt;&gt;'📝 Four-tier กรอก'!AD51,'📝 Four-tier กรอก'!AE84="Y"),"❌ Misc.",IF(AND('📝 Four-tier กรอก'!AB84&lt;&gt;'📝 Four-tier กรอก'!AB51,'📝 Four-tier กรอก'!AC84="N",'📝 Four-tier กรอก'!AD84&lt;&gt;'📝 Four-tier กรอก'!AD51,'📝 Four-tier กรอก'!AE84="N"),"❓ NoK","🤔 Partial")))))</f>
        <v/>
      </c>
      <c r="K83" s="67">
        <f>IF(OR('📝 Four-tier กรอก'!AF84="",'📝 Four-tier กรอก'!AH84=""),"—",IF(AND('📝 Four-tier กรอก'!AF84='📝 Four-tier กรอก'!AF51,'📝 Four-tier กรอก'!AG84="Y",'📝 Four-tier กรอก'!AH84='📝 Four-tier กรอก'!AH51,'📝 Four-tier กรอก'!AI84="Y"),"✅ Sound",IF(AND('📝 Four-tier กรอก'!AF84='📝 Four-tier กรอก'!AF51,'📝 Four-tier กรอก'!AG84="Y",'📝 Four-tier กรอก'!AH84&lt;&gt;'📝 Four-tier กรอก'!AH51,'📝 Four-tier กรอก'!AI84="Y"),"🎲 Guess",IF(AND('📝 Four-tier กรอก'!AF84&lt;&gt;'📝 Four-tier กรอก'!AF51,'📝 Four-tier กรอก'!AG84="Y",'📝 Four-tier กรอก'!AH84&lt;&gt;'📝 Four-tier กรอก'!AH51,'📝 Four-tier กรอก'!AI84="Y"),"❌ Misc.",IF(AND('📝 Four-tier กรอก'!AF84&lt;&gt;'📝 Four-tier กรอก'!AF51,'📝 Four-tier กรอก'!AG84="N",'📝 Four-tier กรอก'!AH84&lt;&gt;'📝 Four-tier กรอก'!AH51,'📝 Four-tier กรอก'!AI84="N"),"❓ NoK","🤔 Partial")))))</f>
        <v/>
      </c>
      <c r="L83" s="67">
        <f>IF(OR('📝 Four-tier กรอก'!AJ84="",'📝 Four-tier กรอก'!AL84=""),"—",IF(AND('📝 Four-tier กรอก'!AJ84='📝 Four-tier กรอก'!AJ51,'📝 Four-tier กรอก'!AK84="Y",'📝 Four-tier กรอก'!AL84='📝 Four-tier กรอก'!AL51,'📝 Four-tier กรอก'!AM84="Y"),"✅ Sound",IF(AND('📝 Four-tier กรอก'!AJ84='📝 Four-tier กรอก'!AJ51,'📝 Four-tier กรอก'!AK84="Y",'📝 Four-tier กรอก'!AL84&lt;&gt;'📝 Four-tier กรอก'!AL51,'📝 Four-tier กรอก'!AM84="Y"),"🎲 Guess",IF(AND('📝 Four-tier กรอก'!AJ84&lt;&gt;'📝 Four-tier กรอก'!AJ51,'📝 Four-tier กรอก'!AK84="Y",'📝 Four-tier กรอก'!AL84&lt;&gt;'📝 Four-tier กรอก'!AL51,'📝 Four-tier กรอก'!AM84="Y"),"❌ Misc.",IF(AND('📝 Four-tier กรอก'!AJ84&lt;&gt;'📝 Four-tier กรอก'!AJ51,'📝 Four-tier กรอก'!AK84="N",'📝 Four-tier กรอก'!AL84&lt;&gt;'📝 Four-tier กรอก'!AL51,'📝 Four-tier กรอก'!AM84="N"),"❓ NoK","🤔 Partial")))))</f>
        <v/>
      </c>
      <c r="M83" s="67">
        <f>IF(OR('📝 Four-tier กรอก'!AN84="",'📝 Four-tier กรอก'!AP84=""),"—",IF(AND('📝 Four-tier กรอก'!AN84='📝 Four-tier กรอก'!AN51,'📝 Four-tier กรอก'!AO84="Y",'📝 Four-tier กรอก'!AP84='📝 Four-tier กรอก'!AP51,'📝 Four-tier กรอก'!AQ84="Y"),"✅ Sound",IF(AND('📝 Four-tier กรอก'!AN84='📝 Four-tier กรอก'!AN51,'📝 Four-tier กรอก'!AO84="Y",'📝 Four-tier กรอก'!AP84&lt;&gt;'📝 Four-tier กรอก'!AP51,'📝 Four-tier กรอก'!AQ84="Y"),"🎲 Guess",IF(AND('📝 Four-tier กรอก'!AN84&lt;&gt;'📝 Four-tier กรอก'!AN51,'📝 Four-tier กรอก'!AO84="Y",'📝 Four-tier กรอก'!AP84&lt;&gt;'📝 Four-tier กรอก'!AP51,'📝 Four-tier กรอก'!AQ84="Y"),"❌ Misc.",IF(AND('📝 Four-tier กรอก'!AN84&lt;&gt;'📝 Four-tier กรอก'!AN51,'📝 Four-tier กรอก'!AO84="N",'📝 Four-tier กรอก'!AP84&lt;&gt;'📝 Four-tier กรอก'!AP51,'📝 Four-tier กรอก'!AQ84="N"),"❓ NoK","🤔 Partial")))))</f>
        <v/>
      </c>
      <c r="N83" s="67">
        <f>IF(OR('📝 Four-tier กรอก'!AR84="",'📝 Four-tier กรอก'!AT84=""),"—",IF(AND('📝 Four-tier กรอก'!AR84='📝 Four-tier กรอก'!AR51,'📝 Four-tier กรอก'!AS84="Y",'📝 Four-tier กรอก'!AT84='📝 Four-tier กรอก'!AT51,'📝 Four-tier กรอก'!AU84="Y"),"✅ Sound",IF(AND('📝 Four-tier กรอก'!AR84='📝 Four-tier กรอก'!AR51,'📝 Four-tier กรอก'!AS84="Y",'📝 Four-tier กรอก'!AT84&lt;&gt;'📝 Four-tier กรอก'!AT51,'📝 Four-tier กรอก'!AU84="Y"),"🎲 Guess",IF(AND('📝 Four-tier กรอก'!AR84&lt;&gt;'📝 Four-tier กรอก'!AR51,'📝 Four-tier กรอก'!AS84="Y",'📝 Four-tier กรอก'!AT84&lt;&gt;'📝 Four-tier กรอก'!AT51,'📝 Four-tier กรอก'!AU84="Y"),"❌ Misc.",IF(AND('📝 Four-tier กรอก'!AR84&lt;&gt;'📝 Four-tier กรอก'!AR51,'📝 Four-tier กรอก'!AS84="N",'📝 Four-tier กรอก'!AT84&lt;&gt;'📝 Four-tier กรอก'!AT51,'📝 Four-tier กรอก'!AU84="N"),"❓ NoK","🤔 Partial")))))</f>
        <v/>
      </c>
      <c r="O83" s="67">
        <f>IF(OR('📝 Four-tier กรอก'!AV84="",'📝 Four-tier กรอก'!AX84=""),"—",IF(AND('📝 Four-tier กรอก'!AV84='📝 Four-tier กรอก'!AV51,'📝 Four-tier กรอก'!AW84="Y",'📝 Four-tier กรอก'!AX84='📝 Four-tier กรอก'!AX51,'📝 Four-tier กรอก'!AY84="Y"),"✅ Sound",IF(AND('📝 Four-tier กรอก'!AV84='📝 Four-tier กรอก'!AV51,'📝 Four-tier กรอก'!AW84="Y",'📝 Four-tier กรอก'!AX84&lt;&gt;'📝 Four-tier กรอก'!AX51,'📝 Four-tier กรอก'!AY84="Y"),"🎲 Guess",IF(AND('📝 Four-tier กรอก'!AV84&lt;&gt;'📝 Four-tier กรอก'!AV51,'📝 Four-tier กรอก'!AW84="Y",'📝 Four-tier กรอก'!AX84&lt;&gt;'📝 Four-tier กรอก'!AX51,'📝 Four-tier กรอก'!AY84="Y"),"❌ Misc.",IF(AND('📝 Four-tier กรอก'!AV84&lt;&gt;'📝 Four-tier กรอก'!AV51,'📝 Four-tier กรอก'!AW84="N",'📝 Four-tier กรอก'!AX84&lt;&gt;'📝 Four-tier กรอก'!AX51,'📝 Four-tier กรอก'!AY84="N"),"❓ NoK","🤔 Partial")))))</f>
        <v/>
      </c>
      <c r="P83" s="67">
        <f>IF(OR('📝 Four-tier กรอก'!AZ84="",'📝 Four-tier กรอก'!BB84=""),"—",IF(AND('📝 Four-tier กรอก'!AZ84='📝 Four-tier กรอก'!AZ51,'📝 Four-tier กรอก'!BA84="Y",'📝 Four-tier กรอก'!BB84='📝 Four-tier กรอก'!BB51,'📝 Four-tier กรอก'!BC84="Y"),"✅ Sound",IF(AND('📝 Four-tier กรอก'!AZ84='📝 Four-tier กรอก'!AZ51,'📝 Four-tier กรอก'!BA84="Y",'📝 Four-tier กรอก'!BB84&lt;&gt;'📝 Four-tier กรอก'!BB51,'📝 Four-tier กรอก'!BC84="Y"),"🎲 Guess",IF(AND('📝 Four-tier กรอก'!AZ84&lt;&gt;'📝 Four-tier กรอก'!AZ51,'📝 Four-tier กรอก'!BA84="Y",'📝 Four-tier กรอก'!BB84&lt;&gt;'📝 Four-tier กรอก'!BB51,'📝 Four-tier กรอก'!BC84="Y"),"❌ Misc.",IF(AND('📝 Four-tier กรอก'!AZ84&lt;&gt;'📝 Four-tier กรอก'!AZ51,'📝 Four-tier กรอก'!BA84="N",'📝 Four-tier กรอก'!BB84&lt;&gt;'📝 Four-tier กรอก'!BB51,'📝 Four-tier กรอก'!BC84="N"),"❓ NoK","🤔 Partial")))))</f>
        <v/>
      </c>
      <c r="Q83" s="67">
        <f>IF(OR('📝 Four-tier กรอก'!BD84="",'📝 Four-tier กรอก'!BF84=""),"—",IF(AND('📝 Four-tier กรอก'!BD84='📝 Four-tier กรอก'!BD51,'📝 Four-tier กรอก'!BE84="Y",'📝 Four-tier กรอก'!BF84='📝 Four-tier กรอก'!BF51,'📝 Four-tier กรอก'!BG84="Y"),"✅ Sound",IF(AND('📝 Four-tier กรอก'!BD84='📝 Four-tier กรอก'!BD51,'📝 Four-tier กรอก'!BE84="Y",'📝 Four-tier กรอก'!BF84&lt;&gt;'📝 Four-tier กรอก'!BF51,'📝 Four-tier กรอก'!BG84="Y"),"🎲 Guess",IF(AND('📝 Four-tier กรอก'!BD84&lt;&gt;'📝 Four-tier กรอก'!BD51,'📝 Four-tier กรอก'!BE84="Y",'📝 Four-tier กรอก'!BF84&lt;&gt;'📝 Four-tier กรอก'!BF51,'📝 Four-tier กรอก'!BG84="Y"),"❌ Misc.",IF(AND('📝 Four-tier กรอก'!BD84&lt;&gt;'📝 Four-tier กรอก'!BD51,'📝 Four-tier กรอก'!BE84="N",'📝 Four-tier กรอก'!BF84&lt;&gt;'📝 Four-tier กรอก'!BF51,'📝 Four-tier กรอก'!BG84="N"),"❓ NoK","🤔 Partial")))))</f>
        <v/>
      </c>
      <c r="R83" s="67">
        <f>IF(OR('📝 Four-tier กรอก'!BH84="",'📝 Four-tier กรอก'!BJ84=""),"—",IF(AND('📝 Four-tier กรอก'!BH84='📝 Four-tier กรอก'!BH51,'📝 Four-tier กรอก'!BI84="Y",'📝 Four-tier กรอก'!BJ84='📝 Four-tier กรอก'!BJ51,'📝 Four-tier กรอก'!BK84="Y"),"✅ Sound",IF(AND('📝 Four-tier กรอก'!BH84='📝 Four-tier กรอก'!BH51,'📝 Four-tier กรอก'!BI84="Y",'📝 Four-tier กรอก'!BJ84&lt;&gt;'📝 Four-tier กรอก'!BJ51,'📝 Four-tier กรอก'!BK84="Y"),"🎲 Guess",IF(AND('📝 Four-tier กรอก'!BH84&lt;&gt;'📝 Four-tier กรอก'!BH51,'📝 Four-tier กรอก'!BI84="Y",'📝 Four-tier กรอก'!BJ84&lt;&gt;'📝 Four-tier กรอก'!BJ51,'📝 Four-tier กรอก'!BK84="Y"),"❌ Misc.",IF(AND('📝 Four-tier กรอก'!BH84&lt;&gt;'📝 Four-tier กรอก'!BH51,'📝 Four-tier กรอก'!BI84="N",'📝 Four-tier กรอก'!BJ84&lt;&gt;'📝 Four-tier กรอก'!BJ51,'📝 Four-tier กรอก'!BK84="N"),"❓ NoK","🤔 Partial")))))</f>
        <v/>
      </c>
      <c r="S83" s="67">
        <f>IF(OR('📝 Four-tier กรอก'!BL84="",'📝 Four-tier กรอก'!BN84=""),"—",IF(AND('📝 Four-tier กรอก'!BL84='📝 Four-tier กรอก'!BL51,'📝 Four-tier กรอก'!BM84="Y",'📝 Four-tier กรอก'!BN84='📝 Four-tier กรอก'!BN51,'📝 Four-tier กรอก'!BO84="Y"),"✅ Sound",IF(AND('📝 Four-tier กรอก'!BL84='📝 Four-tier กรอก'!BL51,'📝 Four-tier กรอก'!BM84="Y",'📝 Four-tier กรอก'!BN84&lt;&gt;'📝 Four-tier กรอก'!BN51,'📝 Four-tier กรอก'!BO84="Y"),"🎲 Guess",IF(AND('📝 Four-tier กรอก'!BL84&lt;&gt;'📝 Four-tier กรอก'!BL51,'📝 Four-tier กรอก'!BM84="Y",'📝 Four-tier กรอก'!BN84&lt;&gt;'📝 Four-tier กรอก'!BN51,'📝 Four-tier กรอก'!BO84="Y"),"❌ Misc.",IF(AND('📝 Four-tier กรอก'!BL84&lt;&gt;'📝 Four-tier กรอก'!BL51,'📝 Four-tier กรอก'!BM84="N",'📝 Four-tier กรอก'!BN84&lt;&gt;'📝 Four-tier กรอก'!BN51,'📝 Four-tier กรอก'!BO84="N"),"❓ NoK","🤔 Partial")))))</f>
        <v/>
      </c>
      <c r="T83" s="67">
        <f>IF(OR('📝 Four-tier กรอก'!BP84="",'📝 Four-tier กรอก'!BR84=""),"—",IF(AND('📝 Four-tier กรอก'!BP84='📝 Four-tier กรอก'!BP51,'📝 Four-tier กรอก'!BQ84="Y",'📝 Four-tier กรอก'!BR84='📝 Four-tier กรอก'!BR51,'📝 Four-tier กรอก'!BS84="Y"),"✅ Sound",IF(AND('📝 Four-tier กรอก'!BP84='📝 Four-tier กรอก'!BP51,'📝 Four-tier กรอก'!BQ84="Y",'📝 Four-tier กรอก'!BR84&lt;&gt;'📝 Four-tier กรอก'!BR51,'📝 Four-tier กรอก'!BS84="Y"),"🎲 Guess",IF(AND('📝 Four-tier กรอก'!BP84&lt;&gt;'📝 Four-tier กรอก'!BP51,'📝 Four-tier กรอก'!BQ84="Y",'📝 Four-tier กรอก'!BR84&lt;&gt;'📝 Four-tier กรอก'!BR51,'📝 Four-tier กรอก'!BS84="Y"),"❌ Misc.",IF(AND('📝 Four-tier กรอก'!BP84&lt;&gt;'📝 Four-tier กรอก'!BP51,'📝 Four-tier กรอก'!BQ84="N",'📝 Four-tier กรอก'!BR84&lt;&gt;'📝 Four-tier กรอก'!BR51,'📝 Four-tier กรอก'!BS84="N"),"❓ NoK","🤔 Partial")))))</f>
        <v/>
      </c>
      <c r="U83" s="67">
        <f>IF(OR('📝 Four-tier กรอก'!BT84="",'📝 Four-tier กรอก'!BV84=""),"—",IF(AND('📝 Four-tier กรอก'!BT84='📝 Four-tier กรอก'!BT51,'📝 Four-tier กรอก'!BU84="Y",'📝 Four-tier กรอก'!BV84='📝 Four-tier กรอก'!BV51,'📝 Four-tier กรอก'!BW84="Y"),"✅ Sound",IF(AND('📝 Four-tier กรอก'!BT84='📝 Four-tier กรอก'!BT51,'📝 Four-tier กรอก'!BU84="Y",'📝 Four-tier กรอก'!BV84&lt;&gt;'📝 Four-tier กรอก'!BV51,'📝 Four-tier กรอก'!BW84="Y"),"🎲 Guess",IF(AND('📝 Four-tier กรอก'!BT84&lt;&gt;'📝 Four-tier กรอก'!BT51,'📝 Four-tier กรอก'!BU84="Y",'📝 Four-tier กรอก'!BV84&lt;&gt;'📝 Four-tier กรอก'!BV51,'📝 Four-tier กรอก'!BW84="Y"),"❌ Misc.",IF(AND('📝 Four-tier กรอก'!BT84&lt;&gt;'📝 Four-tier กรอก'!BT51,'📝 Four-tier กรอก'!BU84="N",'📝 Four-tier กรอก'!BV84&lt;&gt;'📝 Four-tier กรอก'!BV51,'📝 Four-tier กรอก'!BW84="N"),"❓ NoK","🤔 Partial")))))</f>
        <v/>
      </c>
      <c r="V83" s="67">
        <f>IF(OR('📝 Four-tier กรอก'!BX84="",'📝 Four-tier กรอก'!BZ84=""),"—",IF(AND('📝 Four-tier กรอก'!BX84='📝 Four-tier กรอก'!BX51,'📝 Four-tier กรอก'!BY84="Y",'📝 Four-tier กรอก'!BZ84='📝 Four-tier กรอก'!BZ51,'📝 Four-tier กรอก'!CA84="Y"),"✅ Sound",IF(AND('📝 Four-tier กรอก'!BX84='📝 Four-tier กรอก'!BX51,'📝 Four-tier กรอก'!BY84="Y",'📝 Four-tier กรอก'!BZ84&lt;&gt;'📝 Four-tier กรอก'!BZ51,'📝 Four-tier กรอก'!CA84="Y"),"🎲 Guess",IF(AND('📝 Four-tier กรอก'!BX84&lt;&gt;'📝 Four-tier กรอก'!BX51,'📝 Four-tier กรอก'!BY84="Y",'📝 Four-tier กรอก'!BZ84&lt;&gt;'📝 Four-tier กรอก'!BZ51,'📝 Four-tier กรอก'!CA84="Y"),"❌ Misc.",IF(AND('📝 Four-tier กรอก'!BX84&lt;&gt;'📝 Four-tier กรอก'!BX51,'📝 Four-tier กรอก'!BY84="N",'📝 Four-tier กรอก'!BZ84&lt;&gt;'📝 Four-tier กรอก'!BZ51,'📝 Four-tier กรอก'!CA84="N"),"❓ NoK","🤔 Partial")))))</f>
        <v/>
      </c>
      <c r="W83" s="67">
        <f>IF(OR('📝 Four-tier กรอก'!CB84="",'📝 Four-tier กรอก'!CD84=""),"—",IF(AND('📝 Four-tier กรอก'!CB84='📝 Four-tier กรอก'!CB51,'📝 Four-tier กรอก'!CC84="Y",'📝 Four-tier กรอก'!CD84='📝 Four-tier กรอก'!CD51,'📝 Four-tier กรอก'!CE84="Y"),"✅ Sound",IF(AND('📝 Four-tier กรอก'!CB84='📝 Four-tier กรอก'!CB51,'📝 Four-tier กรอก'!CC84="Y",'📝 Four-tier กรอก'!CD84&lt;&gt;'📝 Four-tier กรอก'!CD51,'📝 Four-tier กรอก'!CE84="Y"),"🎲 Guess",IF(AND('📝 Four-tier กรอก'!CB84&lt;&gt;'📝 Four-tier กรอก'!CB51,'📝 Four-tier กรอก'!CC84="Y",'📝 Four-tier กรอก'!CD84&lt;&gt;'📝 Four-tier กรอก'!CD51,'📝 Four-tier กรอก'!CE84="Y"),"❌ Misc.",IF(AND('📝 Four-tier กรอก'!CB84&lt;&gt;'📝 Four-tier กรอก'!CB51,'📝 Four-tier กรอก'!CC84="N",'📝 Four-tier กรอก'!CD84&lt;&gt;'📝 Four-tier กรอก'!CD51,'📝 Four-tier กรอก'!CE84="N"),"❓ NoK","🤔 Partial")))))</f>
        <v/>
      </c>
      <c r="X83" s="37">
        <f>COUNTIF(D83:W83,"✅ Sound")</f>
        <v/>
      </c>
      <c r="Y83" s="37">
        <f>COUNTIF(D83:W83,"❌ Misc.")</f>
        <v/>
      </c>
      <c r="Z83" s="37">
        <f>COUNTIF(D83:W83,"🎲 Guess")</f>
        <v/>
      </c>
      <c r="AA83" s="37">
        <f>COUNTIF(D83:W83,"❓ NoK")</f>
        <v/>
      </c>
    </row>
    <row r="84" ht="18" customHeight="1">
      <c r="B84" s="46">
        <f>'📝 Four-tier กรอก'!B85</f>
        <v/>
      </c>
      <c r="C84" s="51">
        <f>'📝 Four-tier กรอก'!C85</f>
        <v/>
      </c>
      <c r="D84" s="68">
        <f>IF(OR('📝 Four-tier กรอก'!D85="",'📝 Four-tier กรอก'!F85=""),"—",IF(AND('📝 Four-tier กรอก'!D85='📝 Four-tier กรอก'!D51,'📝 Four-tier กรอก'!E85="Y",'📝 Four-tier กรอก'!F85='📝 Four-tier กรอก'!F51,'📝 Four-tier กรอก'!G85="Y"),"✅ Sound",IF(AND('📝 Four-tier กรอก'!D85='📝 Four-tier กรอก'!D51,'📝 Four-tier กรอก'!E85="Y",'📝 Four-tier กรอก'!F85&lt;&gt;'📝 Four-tier กรอก'!F51,'📝 Four-tier กรอก'!G85="Y"),"🎲 Guess",IF(AND('📝 Four-tier กรอก'!D85&lt;&gt;'📝 Four-tier กรอก'!D51,'📝 Four-tier กรอก'!E85="Y",'📝 Four-tier กรอก'!F85&lt;&gt;'📝 Four-tier กรอก'!F51,'📝 Four-tier กรอก'!G85="Y"),"❌ Misc.",IF(AND('📝 Four-tier กรอก'!D85&lt;&gt;'📝 Four-tier กรอก'!D51,'📝 Four-tier กรอก'!E85="N",'📝 Four-tier กรอก'!F85&lt;&gt;'📝 Four-tier กรอก'!F51,'📝 Four-tier กรอก'!G85="N"),"❓ NoK","🤔 Partial")))))</f>
        <v/>
      </c>
      <c r="E84" s="68">
        <f>IF(OR('📝 Four-tier กรอก'!H85="",'📝 Four-tier กรอก'!J85=""),"—",IF(AND('📝 Four-tier กรอก'!H85='📝 Four-tier กรอก'!H51,'📝 Four-tier กรอก'!I85="Y",'📝 Four-tier กรอก'!J85='📝 Four-tier กรอก'!J51,'📝 Four-tier กรอก'!K85="Y"),"✅ Sound",IF(AND('📝 Four-tier กรอก'!H85='📝 Four-tier กรอก'!H51,'📝 Four-tier กรอก'!I85="Y",'📝 Four-tier กรอก'!J85&lt;&gt;'📝 Four-tier กรอก'!J51,'📝 Four-tier กรอก'!K85="Y"),"🎲 Guess",IF(AND('📝 Four-tier กรอก'!H85&lt;&gt;'📝 Four-tier กรอก'!H51,'📝 Four-tier กรอก'!I85="Y",'📝 Four-tier กรอก'!J85&lt;&gt;'📝 Four-tier กรอก'!J51,'📝 Four-tier กรอก'!K85="Y"),"❌ Misc.",IF(AND('📝 Four-tier กรอก'!H85&lt;&gt;'📝 Four-tier กรอก'!H51,'📝 Four-tier กรอก'!I85="N",'📝 Four-tier กรอก'!J85&lt;&gt;'📝 Four-tier กรอก'!J51,'📝 Four-tier กรอก'!K85="N"),"❓ NoK","🤔 Partial")))))</f>
        <v/>
      </c>
      <c r="F84" s="68">
        <f>IF(OR('📝 Four-tier กรอก'!L85="",'📝 Four-tier กรอก'!N85=""),"—",IF(AND('📝 Four-tier กรอก'!L85='📝 Four-tier กรอก'!L51,'📝 Four-tier กรอก'!M85="Y",'📝 Four-tier กรอก'!N85='📝 Four-tier กรอก'!N51,'📝 Four-tier กรอก'!O85="Y"),"✅ Sound",IF(AND('📝 Four-tier กรอก'!L85='📝 Four-tier กรอก'!L51,'📝 Four-tier กรอก'!M85="Y",'📝 Four-tier กรอก'!N85&lt;&gt;'📝 Four-tier กรอก'!N51,'📝 Four-tier กรอก'!O85="Y"),"🎲 Guess",IF(AND('📝 Four-tier กรอก'!L85&lt;&gt;'📝 Four-tier กรอก'!L51,'📝 Four-tier กรอก'!M85="Y",'📝 Four-tier กรอก'!N85&lt;&gt;'📝 Four-tier กรอก'!N51,'📝 Four-tier กรอก'!O85="Y"),"❌ Misc.",IF(AND('📝 Four-tier กรอก'!L85&lt;&gt;'📝 Four-tier กรอก'!L51,'📝 Four-tier กรอก'!M85="N",'📝 Four-tier กรอก'!N85&lt;&gt;'📝 Four-tier กรอก'!N51,'📝 Four-tier กรอก'!O85="N"),"❓ NoK","🤔 Partial")))))</f>
        <v/>
      </c>
      <c r="G84" s="68">
        <f>IF(OR('📝 Four-tier กรอก'!P85="",'📝 Four-tier กรอก'!R85=""),"—",IF(AND('📝 Four-tier กรอก'!P85='📝 Four-tier กรอก'!P51,'📝 Four-tier กรอก'!Q85="Y",'📝 Four-tier กรอก'!R85='📝 Four-tier กรอก'!R51,'📝 Four-tier กรอก'!S85="Y"),"✅ Sound",IF(AND('📝 Four-tier กรอก'!P85='📝 Four-tier กรอก'!P51,'📝 Four-tier กรอก'!Q85="Y",'📝 Four-tier กรอก'!R85&lt;&gt;'📝 Four-tier กรอก'!R51,'📝 Four-tier กรอก'!S85="Y"),"🎲 Guess",IF(AND('📝 Four-tier กรอก'!P85&lt;&gt;'📝 Four-tier กรอก'!P51,'📝 Four-tier กรอก'!Q85="Y",'📝 Four-tier กรอก'!R85&lt;&gt;'📝 Four-tier กรอก'!R51,'📝 Four-tier กรอก'!S85="Y"),"❌ Misc.",IF(AND('📝 Four-tier กรอก'!P85&lt;&gt;'📝 Four-tier กรอก'!P51,'📝 Four-tier กรอก'!Q85="N",'📝 Four-tier กรอก'!R85&lt;&gt;'📝 Four-tier กรอก'!R51,'📝 Four-tier กรอก'!S85="N"),"❓ NoK","🤔 Partial")))))</f>
        <v/>
      </c>
      <c r="H84" s="68">
        <f>IF(OR('📝 Four-tier กรอก'!T85="",'📝 Four-tier กรอก'!V85=""),"—",IF(AND('📝 Four-tier กรอก'!T85='📝 Four-tier กรอก'!T51,'📝 Four-tier กรอก'!U85="Y",'📝 Four-tier กรอก'!V85='📝 Four-tier กรอก'!V51,'📝 Four-tier กรอก'!W85="Y"),"✅ Sound",IF(AND('📝 Four-tier กรอก'!T85='📝 Four-tier กรอก'!T51,'📝 Four-tier กรอก'!U85="Y",'📝 Four-tier กรอก'!V85&lt;&gt;'📝 Four-tier กรอก'!V51,'📝 Four-tier กรอก'!W85="Y"),"🎲 Guess",IF(AND('📝 Four-tier กรอก'!T85&lt;&gt;'📝 Four-tier กรอก'!T51,'📝 Four-tier กรอก'!U85="Y",'📝 Four-tier กรอก'!V85&lt;&gt;'📝 Four-tier กรอก'!V51,'📝 Four-tier กรอก'!W85="Y"),"❌ Misc.",IF(AND('📝 Four-tier กรอก'!T85&lt;&gt;'📝 Four-tier กรอก'!T51,'📝 Four-tier กรอก'!U85="N",'📝 Four-tier กรอก'!V85&lt;&gt;'📝 Four-tier กรอก'!V51,'📝 Four-tier กรอก'!W85="N"),"❓ NoK","🤔 Partial")))))</f>
        <v/>
      </c>
      <c r="I84" s="68">
        <f>IF(OR('📝 Four-tier กรอก'!X85="",'📝 Four-tier กรอก'!Z85=""),"—",IF(AND('📝 Four-tier กรอก'!X85='📝 Four-tier กรอก'!X51,'📝 Four-tier กรอก'!Y85="Y",'📝 Four-tier กรอก'!Z85='📝 Four-tier กรอก'!Z51,'📝 Four-tier กรอก'!AA85="Y"),"✅ Sound",IF(AND('📝 Four-tier กรอก'!X85='📝 Four-tier กรอก'!X51,'📝 Four-tier กรอก'!Y85="Y",'📝 Four-tier กรอก'!Z85&lt;&gt;'📝 Four-tier กรอก'!Z51,'📝 Four-tier กรอก'!AA85="Y"),"🎲 Guess",IF(AND('📝 Four-tier กรอก'!X85&lt;&gt;'📝 Four-tier กรอก'!X51,'📝 Four-tier กรอก'!Y85="Y",'📝 Four-tier กรอก'!Z85&lt;&gt;'📝 Four-tier กรอก'!Z51,'📝 Four-tier กรอก'!AA85="Y"),"❌ Misc.",IF(AND('📝 Four-tier กรอก'!X85&lt;&gt;'📝 Four-tier กรอก'!X51,'📝 Four-tier กรอก'!Y85="N",'📝 Four-tier กรอก'!Z85&lt;&gt;'📝 Four-tier กรอก'!Z51,'📝 Four-tier กรอก'!AA85="N"),"❓ NoK","🤔 Partial")))))</f>
        <v/>
      </c>
      <c r="J84" s="68">
        <f>IF(OR('📝 Four-tier กรอก'!AB85="",'📝 Four-tier กรอก'!AD85=""),"—",IF(AND('📝 Four-tier กรอก'!AB85='📝 Four-tier กรอก'!AB51,'📝 Four-tier กรอก'!AC85="Y",'📝 Four-tier กรอก'!AD85='📝 Four-tier กรอก'!AD51,'📝 Four-tier กรอก'!AE85="Y"),"✅ Sound",IF(AND('📝 Four-tier กรอก'!AB85='📝 Four-tier กรอก'!AB51,'📝 Four-tier กรอก'!AC85="Y",'📝 Four-tier กรอก'!AD85&lt;&gt;'📝 Four-tier กรอก'!AD51,'📝 Four-tier กรอก'!AE85="Y"),"🎲 Guess",IF(AND('📝 Four-tier กรอก'!AB85&lt;&gt;'📝 Four-tier กรอก'!AB51,'📝 Four-tier กรอก'!AC85="Y",'📝 Four-tier กรอก'!AD85&lt;&gt;'📝 Four-tier กรอก'!AD51,'📝 Four-tier กรอก'!AE85="Y"),"❌ Misc.",IF(AND('📝 Four-tier กรอก'!AB85&lt;&gt;'📝 Four-tier กรอก'!AB51,'📝 Four-tier กรอก'!AC85="N",'📝 Four-tier กรอก'!AD85&lt;&gt;'📝 Four-tier กรอก'!AD51,'📝 Four-tier กรอก'!AE85="N"),"❓ NoK","🤔 Partial")))))</f>
        <v/>
      </c>
      <c r="K84" s="68">
        <f>IF(OR('📝 Four-tier กรอก'!AF85="",'📝 Four-tier กรอก'!AH85=""),"—",IF(AND('📝 Four-tier กรอก'!AF85='📝 Four-tier กรอก'!AF51,'📝 Four-tier กรอก'!AG85="Y",'📝 Four-tier กรอก'!AH85='📝 Four-tier กรอก'!AH51,'📝 Four-tier กรอก'!AI85="Y"),"✅ Sound",IF(AND('📝 Four-tier กรอก'!AF85='📝 Four-tier กรอก'!AF51,'📝 Four-tier กรอก'!AG85="Y",'📝 Four-tier กรอก'!AH85&lt;&gt;'📝 Four-tier กรอก'!AH51,'📝 Four-tier กรอก'!AI85="Y"),"🎲 Guess",IF(AND('📝 Four-tier กรอก'!AF85&lt;&gt;'📝 Four-tier กรอก'!AF51,'📝 Four-tier กรอก'!AG85="Y",'📝 Four-tier กรอก'!AH85&lt;&gt;'📝 Four-tier กรอก'!AH51,'📝 Four-tier กรอก'!AI85="Y"),"❌ Misc.",IF(AND('📝 Four-tier กรอก'!AF85&lt;&gt;'📝 Four-tier กรอก'!AF51,'📝 Four-tier กรอก'!AG85="N",'📝 Four-tier กรอก'!AH85&lt;&gt;'📝 Four-tier กรอก'!AH51,'📝 Four-tier กรอก'!AI85="N"),"❓ NoK","🤔 Partial")))))</f>
        <v/>
      </c>
      <c r="L84" s="68">
        <f>IF(OR('📝 Four-tier กรอก'!AJ85="",'📝 Four-tier กรอก'!AL85=""),"—",IF(AND('📝 Four-tier กรอก'!AJ85='📝 Four-tier กรอก'!AJ51,'📝 Four-tier กรอก'!AK85="Y",'📝 Four-tier กรอก'!AL85='📝 Four-tier กรอก'!AL51,'📝 Four-tier กรอก'!AM85="Y"),"✅ Sound",IF(AND('📝 Four-tier กรอก'!AJ85='📝 Four-tier กรอก'!AJ51,'📝 Four-tier กรอก'!AK85="Y",'📝 Four-tier กรอก'!AL85&lt;&gt;'📝 Four-tier กรอก'!AL51,'📝 Four-tier กรอก'!AM85="Y"),"🎲 Guess",IF(AND('📝 Four-tier กรอก'!AJ85&lt;&gt;'📝 Four-tier กรอก'!AJ51,'📝 Four-tier กรอก'!AK85="Y",'📝 Four-tier กรอก'!AL85&lt;&gt;'📝 Four-tier กรอก'!AL51,'📝 Four-tier กรอก'!AM85="Y"),"❌ Misc.",IF(AND('📝 Four-tier กรอก'!AJ85&lt;&gt;'📝 Four-tier กรอก'!AJ51,'📝 Four-tier กรอก'!AK85="N",'📝 Four-tier กรอก'!AL85&lt;&gt;'📝 Four-tier กรอก'!AL51,'📝 Four-tier กรอก'!AM85="N"),"❓ NoK","🤔 Partial")))))</f>
        <v/>
      </c>
      <c r="M84" s="68">
        <f>IF(OR('📝 Four-tier กรอก'!AN85="",'📝 Four-tier กรอก'!AP85=""),"—",IF(AND('📝 Four-tier กรอก'!AN85='📝 Four-tier กรอก'!AN51,'📝 Four-tier กรอก'!AO85="Y",'📝 Four-tier กรอก'!AP85='📝 Four-tier กรอก'!AP51,'📝 Four-tier กรอก'!AQ85="Y"),"✅ Sound",IF(AND('📝 Four-tier กรอก'!AN85='📝 Four-tier กรอก'!AN51,'📝 Four-tier กรอก'!AO85="Y",'📝 Four-tier กรอก'!AP85&lt;&gt;'📝 Four-tier กรอก'!AP51,'📝 Four-tier กรอก'!AQ85="Y"),"🎲 Guess",IF(AND('📝 Four-tier กรอก'!AN85&lt;&gt;'📝 Four-tier กรอก'!AN51,'📝 Four-tier กรอก'!AO85="Y",'📝 Four-tier กรอก'!AP85&lt;&gt;'📝 Four-tier กรอก'!AP51,'📝 Four-tier กรอก'!AQ85="Y"),"❌ Misc.",IF(AND('📝 Four-tier กรอก'!AN85&lt;&gt;'📝 Four-tier กรอก'!AN51,'📝 Four-tier กรอก'!AO85="N",'📝 Four-tier กรอก'!AP85&lt;&gt;'📝 Four-tier กรอก'!AP51,'📝 Four-tier กรอก'!AQ85="N"),"❓ NoK","🤔 Partial")))))</f>
        <v/>
      </c>
      <c r="N84" s="68">
        <f>IF(OR('📝 Four-tier กรอก'!AR85="",'📝 Four-tier กรอก'!AT85=""),"—",IF(AND('📝 Four-tier กรอก'!AR85='📝 Four-tier กรอก'!AR51,'📝 Four-tier กรอก'!AS85="Y",'📝 Four-tier กรอก'!AT85='📝 Four-tier กรอก'!AT51,'📝 Four-tier กรอก'!AU85="Y"),"✅ Sound",IF(AND('📝 Four-tier กรอก'!AR85='📝 Four-tier กรอก'!AR51,'📝 Four-tier กรอก'!AS85="Y",'📝 Four-tier กรอก'!AT85&lt;&gt;'📝 Four-tier กรอก'!AT51,'📝 Four-tier กรอก'!AU85="Y"),"🎲 Guess",IF(AND('📝 Four-tier กรอก'!AR85&lt;&gt;'📝 Four-tier กรอก'!AR51,'📝 Four-tier กรอก'!AS85="Y",'📝 Four-tier กรอก'!AT85&lt;&gt;'📝 Four-tier กรอก'!AT51,'📝 Four-tier กรอก'!AU85="Y"),"❌ Misc.",IF(AND('📝 Four-tier กรอก'!AR85&lt;&gt;'📝 Four-tier กรอก'!AR51,'📝 Four-tier กรอก'!AS85="N",'📝 Four-tier กรอก'!AT85&lt;&gt;'📝 Four-tier กรอก'!AT51,'📝 Four-tier กรอก'!AU85="N"),"❓ NoK","🤔 Partial")))))</f>
        <v/>
      </c>
      <c r="O84" s="68">
        <f>IF(OR('📝 Four-tier กรอก'!AV85="",'📝 Four-tier กรอก'!AX85=""),"—",IF(AND('📝 Four-tier กรอก'!AV85='📝 Four-tier กรอก'!AV51,'📝 Four-tier กรอก'!AW85="Y",'📝 Four-tier กรอก'!AX85='📝 Four-tier กรอก'!AX51,'📝 Four-tier กรอก'!AY85="Y"),"✅ Sound",IF(AND('📝 Four-tier กรอก'!AV85='📝 Four-tier กรอก'!AV51,'📝 Four-tier กรอก'!AW85="Y",'📝 Four-tier กรอก'!AX85&lt;&gt;'📝 Four-tier กรอก'!AX51,'📝 Four-tier กรอก'!AY85="Y"),"🎲 Guess",IF(AND('📝 Four-tier กรอก'!AV85&lt;&gt;'📝 Four-tier กรอก'!AV51,'📝 Four-tier กรอก'!AW85="Y",'📝 Four-tier กรอก'!AX85&lt;&gt;'📝 Four-tier กรอก'!AX51,'📝 Four-tier กรอก'!AY85="Y"),"❌ Misc.",IF(AND('📝 Four-tier กรอก'!AV85&lt;&gt;'📝 Four-tier กรอก'!AV51,'📝 Four-tier กรอก'!AW85="N",'📝 Four-tier กรอก'!AX85&lt;&gt;'📝 Four-tier กรอก'!AX51,'📝 Four-tier กรอก'!AY85="N"),"❓ NoK","🤔 Partial")))))</f>
        <v/>
      </c>
      <c r="P84" s="68">
        <f>IF(OR('📝 Four-tier กรอก'!AZ85="",'📝 Four-tier กรอก'!BB85=""),"—",IF(AND('📝 Four-tier กรอก'!AZ85='📝 Four-tier กรอก'!AZ51,'📝 Four-tier กรอก'!BA85="Y",'📝 Four-tier กรอก'!BB85='📝 Four-tier กรอก'!BB51,'📝 Four-tier กรอก'!BC85="Y"),"✅ Sound",IF(AND('📝 Four-tier กรอก'!AZ85='📝 Four-tier กรอก'!AZ51,'📝 Four-tier กรอก'!BA85="Y",'📝 Four-tier กรอก'!BB85&lt;&gt;'📝 Four-tier กรอก'!BB51,'📝 Four-tier กรอก'!BC85="Y"),"🎲 Guess",IF(AND('📝 Four-tier กรอก'!AZ85&lt;&gt;'📝 Four-tier กรอก'!AZ51,'📝 Four-tier กรอก'!BA85="Y",'📝 Four-tier กรอก'!BB85&lt;&gt;'📝 Four-tier กรอก'!BB51,'📝 Four-tier กรอก'!BC85="Y"),"❌ Misc.",IF(AND('📝 Four-tier กรอก'!AZ85&lt;&gt;'📝 Four-tier กรอก'!AZ51,'📝 Four-tier กรอก'!BA85="N",'📝 Four-tier กรอก'!BB85&lt;&gt;'📝 Four-tier กรอก'!BB51,'📝 Four-tier กรอก'!BC85="N"),"❓ NoK","🤔 Partial")))))</f>
        <v/>
      </c>
      <c r="Q84" s="68">
        <f>IF(OR('📝 Four-tier กรอก'!BD85="",'📝 Four-tier กรอก'!BF85=""),"—",IF(AND('📝 Four-tier กรอก'!BD85='📝 Four-tier กรอก'!BD51,'📝 Four-tier กรอก'!BE85="Y",'📝 Four-tier กรอก'!BF85='📝 Four-tier กรอก'!BF51,'📝 Four-tier กรอก'!BG85="Y"),"✅ Sound",IF(AND('📝 Four-tier กรอก'!BD85='📝 Four-tier กรอก'!BD51,'📝 Four-tier กรอก'!BE85="Y",'📝 Four-tier กรอก'!BF85&lt;&gt;'📝 Four-tier กรอก'!BF51,'📝 Four-tier กรอก'!BG85="Y"),"🎲 Guess",IF(AND('📝 Four-tier กรอก'!BD85&lt;&gt;'📝 Four-tier กรอก'!BD51,'📝 Four-tier กรอก'!BE85="Y",'📝 Four-tier กรอก'!BF85&lt;&gt;'📝 Four-tier กรอก'!BF51,'📝 Four-tier กรอก'!BG85="Y"),"❌ Misc.",IF(AND('📝 Four-tier กรอก'!BD85&lt;&gt;'📝 Four-tier กรอก'!BD51,'📝 Four-tier กรอก'!BE85="N",'📝 Four-tier กรอก'!BF85&lt;&gt;'📝 Four-tier กรอก'!BF51,'📝 Four-tier กรอก'!BG85="N"),"❓ NoK","🤔 Partial")))))</f>
        <v/>
      </c>
      <c r="R84" s="68">
        <f>IF(OR('📝 Four-tier กรอก'!BH85="",'📝 Four-tier กรอก'!BJ85=""),"—",IF(AND('📝 Four-tier กรอก'!BH85='📝 Four-tier กรอก'!BH51,'📝 Four-tier กรอก'!BI85="Y",'📝 Four-tier กรอก'!BJ85='📝 Four-tier กรอก'!BJ51,'📝 Four-tier กรอก'!BK85="Y"),"✅ Sound",IF(AND('📝 Four-tier กรอก'!BH85='📝 Four-tier กรอก'!BH51,'📝 Four-tier กรอก'!BI85="Y",'📝 Four-tier กรอก'!BJ85&lt;&gt;'📝 Four-tier กรอก'!BJ51,'📝 Four-tier กรอก'!BK85="Y"),"🎲 Guess",IF(AND('📝 Four-tier กรอก'!BH85&lt;&gt;'📝 Four-tier กรอก'!BH51,'📝 Four-tier กรอก'!BI85="Y",'📝 Four-tier กรอก'!BJ85&lt;&gt;'📝 Four-tier กรอก'!BJ51,'📝 Four-tier กรอก'!BK85="Y"),"❌ Misc.",IF(AND('📝 Four-tier กรอก'!BH85&lt;&gt;'📝 Four-tier กรอก'!BH51,'📝 Four-tier กรอก'!BI85="N",'📝 Four-tier กรอก'!BJ85&lt;&gt;'📝 Four-tier กรอก'!BJ51,'📝 Four-tier กรอก'!BK85="N"),"❓ NoK","🤔 Partial")))))</f>
        <v/>
      </c>
      <c r="S84" s="68">
        <f>IF(OR('📝 Four-tier กรอก'!BL85="",'📝 Four-tier กรอก'!BN85=""),"—",IF(AND('📝 Four-tier กรอก'!BL85='📝 Four-tier กรอก'!BL51,'📝 Four-tier กรอก'!BM85="Y",'📝 Four-tier กรอก'!BN85='📝 Four-tier กรอก'!BN51,'📝 Four-tier กรอก'!BO85="Y"),"✅ Sound",IF(AND('📝 Four-tier กรอก'!BL85='📝 Four-tier กรอก'!BL51,'📝 Four-tier กรอก'!BM85="Y",'📝 Four-tier กรอก'!BN85&lt;&gt;'📝 Four-tier กรอก'!BN51,'📝 Four-tier กรอก'!BO85="Y"),"🎲 Guess",IF(AND('📝 Four-tier กรอก'!BL85&lt;&gt;'📝 Four-tier กรอก'!BL51,'📝 Four-tier กรอก'!BM85="Y",'📝 Four-tier กรอก'!BN85&lt;&gt;'📝 Four-tier กรอก'!BN51,'📝 Four-tier กรอก'!BO85="Y"),"❌ Misc.",IF(AND('📝 Four-tier กรอก'!BL85&lt;&gt;'📝 Four-tier กรอก'!BL51,'📝 Four-tier กรอก'!BM85="N",'📝 Four-tier กรอก'!BN85&lt;&gt;'📝 Four-tier กรอก'!BN51,'📝 Four-tier กรอก'!BO85="N"),"❓ NoK","🤔 Partial")))))</f>
        <v/>
      </c>
      <c r="T84" s="68">
        <f>IF(OR('📝 Four-tier กรอก'!BP85="",'📝 Four-tier กรอก'!BR85=""),"—",IF(AND('📝 Four-tier กรอก'!BP85='📝 Four-tier กรอก'!BP51,'📝 Four-tier กรอก'!BQ85="Y",'📝 Four-tier กรอก'!BR85='📝 Four-tier กรอก'!BR51,'📝 Four-tier กรอก'!BS85="Y"),"✅ Sound",IF(AND('📝 Four-tier กรอก'!BP85='📝 Four-tier กรอก'!BP51,'📝 Four-tier กรอก'!BQ85="Y",'📝 Four-tier กรอก'!BR85&lt;&gt;'📝 Four-tier กรอก'!BR51,'📝 Four-tier กรอก'!BS85="Y"),"🎲 Guess",IF(AND('📝 Four-tier กรอก'!BP85&lt;&gt;'📝 Four-tier กรอก'!BP51,'📝 Four-tier กรอก'!BQ85="Y",'📝 Four-tier กรอก'!BR85&lt;&gt;'📝 Four-tier กรอก'!BR51,'📝 Four-tier กรอก'!BS85="Y"),"❌ Misc.",IF(AND('📝 Four-tier กรอก'!BP85&lt;&gt;'📝 Four-tier กรอก'!BP51,'📝 Four-tier กรอก'!BQ85="N",'📝 Four-tier กรอก'!BR85&lt;&gt;'📝 Four-tier กรอก'!BR51,'📝 Four-tier กรอก'!BS85="N"),"❓ NoK","🤔 Partial")))))</f>
        <v/>
      </c>
      <c r="U84" s="68">
        <f>IF(OR('📝 Four-tier กรอก'!BT85="",'📝 Four-tier กรอก'!BV85=""),"—",IF(AND('📝 Four-tier กรอก'!BT85='📝 Four-tier กรอก'!BT51,'📝 Four-tier กรอก'!BU85="Y",'📝 Four-tier กรอก'!BV85='📝 Four-tier กรอก'!BV51,'📝 Four-tier กรอก'!BW85="Y"),"✅ Sound",IF(AND('📝 Four-tier กรอก'!BT85='📝 Four-tier กรอก'!BT51,'📝 Four-tier กรอก'!BU85="Y",'📝 Four-tier กรอก'!BV85&lt;&gt;'📝 Four-tier กรอก'!BV51,'📝 Four-tier กรอก'!BW85="Y"),"🎲 Guess",IF(AND('📝 Four-tier กรอก'!BT85&lt;&gt;'📝 Four-tier กรอก'!BT51,'📝 Four-tier กรอก'!BU85="Y",'📝 Four-tier กรอก'!BV85&lt;&gt;'📝 Four-tier กรอก'!BV51,'📝 Four-tier กรอก'!BW85="Y"),"❌ Misc.",IF(AND('📝 Four-tier กรอก'!BT85&lt;&gt;'📝 Four-tier กรอก'!BT51,'📝 Four-tier กรอก'!BU85="N",'📝 Four-tier กรอก'!BV85&lt;&gt;'📝 Four-tier กรอก'!BV51,'📝 Four-tier กรอก'!BW85="N"),"❓ NoK","🤔 Partial")))))</f>
        <v/>
      </c>
      <c r="V84" s="68">
        <f>IF(OR('📝 Four-tier กรอก'!BX85="",'📝 Four-tier กรอก'!BZ85=""),"—",IF(AND('📝 Four-tier กรอก'!BX85='📝 Four-tier กรอก'!BX51,'📝 Four-tier กรอก'!BY85="Y",'📝 Four-tier กรอก'!BZ85='📝 Four-tier กรอก'!BZ51,'📝 Four-tier กรอก'!CA85="Y"),"✅ Sound",IF(AND('📝 Four-tier กรอก'!BX85='📝 Four-tier กรอก'!BX51,'📝 Four-tier กรอก'!BY85="Y",'📝 Four-tier กรอก'!BZ85&lt;&gt;'📝 Four-tier กรอก'!BZ51,'📝 Four-tier กรอก'!CA85="Y"),"🎲 Guess",IF(AND('📝 Four-tier กรอก'!BX85&lt;&gt;'📝 Four-tier กรอก'!BX51,'📝 Four-tier กรอก'!BY85="Y",'📝 Four-tier กรอก'!BZ85&lt;&gt;'📝 Four-tier กรอก'!BZ51,'📝 Four-tier กรอก'!CA85="Y"),"❌ Misc.",IF(AND('📝 Four-tier กรอก'!BX85&lt;&gt;'📝 Four-tier กรอก'!BX51,'📝 Four-tier กรอก'!BY85="N",'📝 Four-tier กรอก'!BZ85&lt;&gt;'📝 Four-tier กรอก'!BZ51,'📝 Four-tier กรอก'!CA85="N"),"❓ NoK","🤔 Partial")))))</f>
        <v/>
      </c>
      <c r="W84" s="68">
        <f>IF(OR('📝 Four-tier กรอก'!CB85="",'📝 Four-tier กรอก'!CD85=""),"—",IF(AND('📝 Four-tier กรอก'!CB85='📝 Four-tier กรอก'!CB51,'📝 Four-tier กรอก'!CC85="Y",'📝 Four-tier กรอก'!CD85='📝 Four-tier กรอก'!CD51,'📝 Four-tier กรอก'!CE85="Y"),"✅ Sound",IF(AND('📝 Four-tier กรอก'!CB85='📝 Four-tier กรอก'!CB51,'📝 Four-tier กรอก'!CC85="Y",'📝 Four-tier กรอก'!CD85&lt;&gt;'📝 Four-tier กรอก'!CD51,'📝 Four-tier กรอก'!CE85="Y"),"🎲 Guess",IF(AND('📝 Four-tier กรอก'!CB85&lt;&gt;'📝 Four-tier กรอก'!CB51,'📝 Four-tier กรอก'!CC85="Y",'📝 Four-tier กรอก'!CD85&lt;&gt;'📝 Four-tier กรอก'!CD51,'📝 Four-tier กรอก'!CE85="Y"),"❌ Misc.",IF(AND('📝 Four-tier กรอก'!CB85&lt;&gt;'📝 Four-tier กรอก'!CB51,'📝 Four-tier กรอก'!CC85="N",'📝 Four-tier กรอก'!CD85&lt;&gt;'📝 Four-tier กรอก'!CD51,'📝 Four-tier กรอก'!CE85="N"),"❓ NoK","🤔 Partial")))))</f>
        <v/>
      </c>
      <c r="X84" s="37">
        <f>COUNTIF(D84:W84,"✅ Sound")</f>
        <v/>
      </c>
      <c r="Y84" s="37">
        <f>COUNTIF(D84:W84,"❌ Misc.")</f>
        <v/>
      </c>
      <c r="Z84" s="37">
        <f>COUNTIF(D84:W84,"🎲 Guess")</f>
        <v/>
      </c>
      <c r="AA84" s="37">
        <f>COUNTIF(D84:W84,"❓ NoK")</f>
        <v/>
      </c>
    </row>
    <row r="85" ht="18" customHeight="1">
      <c r="B85" s="46">
        <f>'📝 Four-tier กรอก'!B86</f>
        <v/>
      </c>
      <c r="C85" s="47">
        <f>'📝 Four-tier กรอก'!C86</f>
        <v/>
      </c>
      <c r="D85" s="67">
        <f>IF(OR('📝 Four-tier กรอก'!D86="",'📝 Four-tier กรอก'!F86=""),"—",IF(AND('📝 Four-tier กรอก'!D86='📝 Four-tier กรอก'!D51,'📝 Four-tier กรอก'!E86="Y",'📝 Four-tier กรอก'!F86='📝 Four-tier กรอก'!F51,'📝 Four-tier กรอก'!G86="Y"),"✅ Sound",IF(AND('📝 Four-tier กรอก'!D86='📝 Four-tier กรอก'!D51,'📝 Four-tier กรอก'!E86="Y",'📝 Four-tier กรอก'!F86&lt;&gt;'📝 Four-tier กรอก'!F51,'📝 Four-tier กรอก'!G86="Y"),"🎲 Guess",IF(AND('📝 Four-tier กรอก'!D86&lt;&gt;'📝 Four-tier กรอก'!D51,'📝 Four-tier กรอก'!E86="Y",'📝 Four-tier กรอก'!F86&lt;&gt;'📝 Four-tier กรอก'!F51,'📝 Four-tier กรอก'!G86="Y"),"❌ Misc.",IF(AND('📝 Four-tier กรอก'!D86&lt;&gt;'📝 Four-tier กรอก'!D51,'📝 Four-tier กรอก'!E86="N",'📝 Four-tier กรอก'!F86&lt;&gt;'📝 Four-tier กรอก'!F51,'📝 Four-tier กรอก'!G86="N"),"❓ NoK","🤔 Partial")))))</f>
        <v/>
      </c>
      <c r="E85" s="67">
        <f>IF(OR('📝 Four-tier กรอก'!H86="",'📝 Four-tier กรอก'!J86=""),"—",IF(AND('📝 Four-tier กรอก'!H86='📝 Four-tier กรอก'!H51,'📝 Four-tier กรอก'!I86="Y",'📝 Four-tier กรอก'!J86='📝 Four-tier กรอก'!J51,'📝 Four-tier กรอก'!K86="Y"),"✅ Sound",IF(AND('📝 Four-tier กรอก'!H86='📝 Four-tier กรอก'!H51,'📝 Four-tier กรอก'!I86="Y",'📝 Four-tier กรอก'!J86&lt;&gt;'📝 Four-tier กรอก'!J51,'📝 Four-tier กรอก'!K86="Y"),"🎲 Guess",IF(AND('📝 Four-tier กรอก'!H86&lt;&gt;'📝 Four-tier กรอก'!H51,'📝 Four-tier กรอก'!I86="Y",'📝 Four-tier กรอก'!J86&lt;&gt;'📝 Four-tier กรอก'!J51,'📝 Four-tier กรอก'!K86="Y"),"❌ Misc.",IF(AND('📝 Four-tier กรอก'!H86&lt;&gt;'📝 Four-tier กรอก'!H51,'📝 Four-tier กรอก'!I86="N",'📝 Four-tier กรอก'!J86&lt;&gt;'📝 Four-tier กรอก'!J51,'📝 Four-tier กรอก'!K86="N"),"❓ NoK","🤔 Partial")))))</f>
        <v/>
      </c>
      <c r="F85" s="67">
        <f>IF(OR('📝 Four-tier กรอก'!L86="",'📝 Four-tier กรอก'!N86=""),"—",IF(AND('📝 Four-tier กรอก'!L86='📝 Four-tier กรอก'!L51,'📝 Four-tier กรอก'!M86="Y",'📝 Four-tier กรอก'!N86='📝 Four-tier กรอก'!N51,'📝 Four-tier กรอก'!O86="Y"),"✅ Sound",IF(AND('📝 Four-tier กรอก'!L86='📝 Four-tier กรอก'!L51,'📝 Four-tier กรอก'!M86="Y",'📝 Four-tier กรอก'!N86&lt;&gt;'📝 Four-tier กรอก'!N51,'📝 Four-tier กรอก'!O86="Y"),"🎲 Guess",IF(AND('📝 Four-tier กรอก'!L86&lt;&gt;'📝 Four-tier กรอก'!L51,'📝 Four-tier กรอก'!M86="Y",'📝 Four-tier กรอก'!N86&lt;&gt;'📝 Four-tier กรอก'!N51,'📝 Four-tier กรอก'!O86="Y"),"❌ Misc.",IF(AND('📝 Four-tier กรอก'!L86&lt;&gt;'📝 Four-tier กรอก'!L51,'📝 Four-tier กรอก'!M86="N",'📝 Four-tier กรอก'!N86&lt;&gt;'📝 Four-tier กรอก'!N51,'📝 Four-tier กรอก'!O86="N"),"❓ NoK","🤔 Partial")))))</f>
        <v/>
      </c>
      <c r="G85" s="67">
        <f>IF(OR('📝 Four-tier กรอก'!P86="",'📝 Four-tier กรอก'!R86=""),"—",IF(AND('📝 Four-tier กรอก'!P86='📝 Four-tier กรอก'!P51,'📝 Four-tier กรอก'!Q86="Y",'📝 Four-tier กรอก'!R86='📝 Four-tier กรอก'!R51,'📝 Four-tier กรอก'!S86="Y"),"✅ Sound",IF(AND('📝 Four-tier กรอก'!P86='📝 Four-tier กรอก'!P51,'📝 Four-tier กรอก'!Q86="Y",'📝 Four-tier กรอก'!R86&lt;&gt;'📝 Four-tier กรอก'!R51,'📝 Four-tier กรอก'!S86="Y"),"🎲 Guess",IF(AND('📝 Four-tier กรอก'!P86&lt;&gt;'📝 Four-tier กรอก'!P51,'📝 Four-tier กรอก'!Q86="Y",'📝 Four-tier กรอก'!R86&lt;&gt;'📝 Four-tier กรอก'!R51,'📝 Four-tier กรอก'!S86="Y"),"❌ Misc.",IF(AND('📝 Four-tier กรอก'!P86&lt;&gt;'📝 Four-tier กรอก'!P51,'📝 Four-tier กรอก'!Q86="N",'📝 Four-tier กรอก'!R86&lt;&gt;'📝 Four-tier กรอก'!R51,'📝 Four-tier กรอก'!S86="N"),"❓ NoK","🤔 Partial")))))</f>
        <v/>
      </c>
      <c r="H85" s="67">
        <f>IF(OR('📝 Four-tier กรอก'!T86="",'📝 Four-tier กรอก'!V86=""),"—",IF(AND('📝 Four-tier กรอก'!T86='📝 Four-tier กรอก'!T51,'📝 Four-tier กรอก'!U86="Y",'📝 Four-tier กรอก'!V86='📝 Four-tier กรอก'!V51,'📝 Four-tier กรอก'!W86="Y"),"✅ Sound",IF(AND('📝 Four-tier กรอก'!T86='📝 Four-tier กรอก'!T51,'📝 Four-tier กรอก'!U86="Y",'📝 Four-tier กรอก'!V86&lt;&gt;'📝 Four-tier กรอก'!V51,'📝 Four-tier กรอก'!W86="Y"),"🎲 Guess",IF(AND('📝 Four-tier กรอก'!T86&lt;&gt;'📝 Four-tier กรอก'!T51,'📝 Four-tier กรอก'!U86="Y",'📝 Four-tier กรอก'!V86&lt;&gt;'📝 Four-tier กรอก'!V51,'📝 Four-tier กรอก'!W86="Y"),"❌ Misc.",IF(AND('📝 Four-tier กรอก'!T86&lt;&gt;'📝 Four-tier กรอก'!T51,'📝 Four-tier กรอก'!U86="N",'📝 Four-tier กรอก'!V86&lt;&gt;'📝 Four-tier กรอก'!V51,'📝 Four-tier กรอก'!W86="N"),"❓ NoK","🤔 Partial")))))</f>
        <v/>
      </c>
      <c r="I85" s="67">
        <f>IF(OR('📝 Four-tier กรอก'!X86="",'📝 Four-tier กรอก'!Z86=""),"—",IF(AND('📝 Four-tier กรอก'!X86='📝 Four-tier กรอก'!X51,'📝 Four-tier กรอก'!Y86="Y",'📝 Four-tier กรอก'!Z86='📝 Four-tier กรอก'!Z51,'📝 Four-tier กรอก'!AA86="Y"),"✅ Sound",IF(AND('📝 Four-tier กรอก'!X86='📝 Four-tier กรอก'!X51,'📝 Four-tier กรอก'!Y86="Y",'📝 Four-tier กรอก'!Z86&lt;&gt;'📝 Four-tier กรอก'!Z51,'📝 Four-tier กรอก'!AA86="Y"),"🎲 Guess",IF(AND('📝 Four-tier กรอก'!X86&lt;&gt;'📝 Four-tier กรอก'!X51,'📝 Four-tier กรอก'!Y86="Y",'📝 Four-tier กรอก'!Z86&lt;&gt;'📝 Four-tier กรอก'!Z51,'📝 Four-tier กรอก'!AA86="Y"),"❌ Misc.",IF(AND('📝 Four-tier กรอก'!X86&lt;&gt;'📝 Four-tier กรอก'!X51,'📝 Four-tier กรอก'!Y86="N",'📝 Four-tier กรอก'!Z86&lt;&gt;'📝 Four-tier กรอก'!Z51,'📝 Four-tier กรอก'!AA86="N"),"❓ NoK","🤔 Partial")))))</f>
        <v/>
      </c>
      <c r="J85" s="67">
        <f>IF(OR('📝 Four-tier กรอก'!AB86="",'📝 Four-tier กรอก'!AD86=""),"—",IF(AND('📝 Four-tier กรอก'!AB86='📝 Four-tier กรอก'!AB51,'📝 Four-tier กรอก'!AC86="Y",'📝 Four-tier กรอก'!AD86='📝 Four-tier กรอก'!AD51,'📝 Four-tier กรอก'!AE86="Y"),"✅ Sound",IF(AND('📝 Four-tier กรอก'!AB86='📝 Four-tier กรอก'!AB51,'📝 Four-tier กรอก'!AC86="Y",'📝 Four-tier กรอก'!AD86&lt;&gt;'📝 Four-tier กรอก'!AD51,'📝 Four-tier กรอก'!AE86="Y"),"🎲 Guess",IF(AND('📝 Four-tier กรอก'!AB86&lt;&gt;'📝 Four-tier กรอก'!AB51,'📝 Four-tier กรอก'!AC86="Y",'📝 Four-tier กรอก'!AD86&lt;&gt;'📝 Four-tier กรอก'!AD51,'📝 Four-tier กรอก'!AE86="Y"),"❌ Misc.",IF(AND('📝 Four-tier กรอก'!AB86&lt;&gt;'📝 Four-tier กรอก'!AB51,'📝 Four-tier กรอก'!AC86="N",'📝 Four-tier กรอก'!AD86&lt;&gt;'📝 Four-tier กรอก'!AD51,'📝 Four-tier กรอก'!AE86="N"),"❓ NoK","🤔 Partial")))))</f>
        <v/>
      </c>
      <c r="K85" s="67">
        <f>IF(OR('📝 Four-tier กรอก'!AF86="",'📝 Four-tier กรอก'!AH86=""),"—",IF(AND('📝 Four-tier กรอก'!AF86='📝 Four-tier กรอก'!AF51,'📝 Four-tier กรอก'!AG86="Y",'📝 Four-tier กรอก'!AH86='📝 Four-tier กรอก'!AH51,'📝 Four-tier กรอก'!AI86="Y"),"✅ Sound",IF(AND('📝 Four-tier กรอก'!AF86='📝 Four-tier กรอก'!AF51,'📝 Four-tier กรอก'!AG86="Y",'📝 Four-tier กรอก'!AH86&lt;&gt;'📝 Four-tier กรอก'!AH51,'📝 Four-tier กรอก'!AI86="Y"),"🎲 Guess",IF(AND('📝 Four-tier กรอก'!AF86&lt;&gt;'📝 Four-tier กรอก'!AF51,'📝 Four-tier กรอก'!AG86="Y",'📝 Four-tier กรอก'!AH86&lt;&gt;'📝 Four-tier กรอก'!AH51,'📝 Four-tier กรอก'!AI86="Y"),"❌ Misc.",IF(AND('📝 Four-tier กรอก'!AF86&lt;&gt;'📝 Four-tier กรอก'!AF51,'📝 Four-tier กรอก'!AG86="N",'📝 Four-tier กรอก'!AH86&lt;&gt;'📝 Four-tier กรอก'!AH51,'📝 Four-tier กรอก'!AI86="N"),"❓ NoK","🤔 Partial")))))</f>
        <v/>
      </c>
      <c r="L85" s="67">
        <f>IF(OR('📝 Four-tier กรอก'!AJ86="",'📝 Four-tier กรอก'!AL86=""),"—",IF(AND('📝 Four-tier กรอก'!AJ86='📝 Four-tier กรอก'!AJ51,'📝 Four-tier กรอก'!AK86="Y",'📝 Four-tier กรอก'!AL86='📝 Four-tier กรอก'!AL51,'📝 Four-tier กรอก'!AM86="Y"),"✅ Sound",IF(AND('📝 Four-tier กรอก'!AJ86='📝 Four-tier กรอก'!AJ51,'📝 Four-tier กรอก'!AK86="Y",'📝 Four-tier กรอก'!AL86&lt;&gt;'📝 Four-tier กรอก'!AL51,'📝 Four-tier กรอก'!AM86="Y"),"🎲 Guess",IF(AND('📝 Four-tier กรอก'!AJ86&lt;&gt;'📝 Four-tier กรอก'!AJ51,'📝 Four-tier กรอก'!AK86="Y",'📝 Four-tier กรอก'!AL86&lt;&gt;'📝 Four-tier กรอก'!AL51,'📝 Four-tier กรอก'!AM86="Y"),"❌ Misc.",IF(AND('📝 Four-tier กรอก'!AJ86&lt;&gt;'📝 Four-tier กรอก'!AJ51,'📝 Four-tier กรอก'!AK86="N",'📝 Four-tier กรอก'!AL86&lt;&gt;'📝 Four-tier กรอก'!AL51,'📝 Four-tier กรอก'!AM86="N"),"❓ NoK","🤔 Partial")))))</f>
        <v/>
      </c>
      <c r="M85" s="67">
        <f>IF(OR('📝 Four-tier กรอก'!AN86="",'📝 Four-tier กรอก'!AP86=""),"—",IF(AND('📝 Four-tier กรอก'!AN86='📝 Four-tier กรอก'!AN51,'📝 Four-tier กรอก'!AO86="Y",'📝 Four-tier กรอก'!AP86='📝 Four-tier กรอก'!AP51,'📝 Four-tier กรอก'!AQ86="Y"),"✅ Sound",IF(AND('📝 Four-tier กรอก'!AN86='📝 Four-tier กรอก'!AN51,'📝 Four-tier กรอก'!AO86="Y",'📝 Four-tier กรอก'!AP86&lt;&gt;'📝 Four-tier กรอก'!AP51,'📝 Four-tier กรอก'!AQ86="Y"),"🎲 Guess",IF(AND('📝 Four-tier กรอก'!AN86&lt;&gt;'📝 Four-tier กรอก'!AN51,'📝 Four-tier กรอก'!AO86="Y",'📝 Four-tier กรอก'!AP86&lt;&gt;'📝 Four-tier กรอก'!AP51,'📝 Four-tier กรอก'!AQ86="Y"),"❌ Misc.",IF(AND('📝 Four-tier กรอก'!AN86&lt;&gt;'📝 Four-tier กรอก'!AN51,'📝 Four-tier กรอก'!AO86="N",'📝 Four-tier กรอก'!AP86&lt;&gt;'📝 Four-tier กรอก'!AP51,'📝 Four-tier กรอก'!AQ86="N"),"❓ NoK","🤔 Partial")))))</f>
        <v/>
      </c>
      <c r="N85" s="67">
        <f>IF(OR('📝 Four-tier กรอก'!AR86="",'📝 Four-tier กรอก'!AT86=""),"—",IF(AND('📝 Four-tier กรอก'!AR86='📝 Four-tier กรอก'!AR51,'📝 Four-tier กรอก'!AS86="Y",'📝 Four-tier กรอก'!AT86='📝 Four-tier กรอก'!AT51,'📝 Four-tier กรอก'!AU86="Y"),"✅ Sound",IF(AND('📝 Four-tier กรอก'!AR86='📝 Four-tier กรอก'!AR51,'📝 Four-tier กรอก'!AS86="Y",'📝 Four-tier กรอก'!AT86&lt;&gt;'📝 Four-tier กรอก'!AT51,'📝 Four-tier กรอก'!AU86="Y"),"🎲 Guess",IF(AND('📝 Four-tier กรอก'!AR86&lt;&gt;'📝 Four-tier กรอก'!AR51,'📝 Four-tier กรอก'!AS86="Y",'📝 Four-tier กรอก'!AT86&lt;&gt;'📝 Four-tier กรอก'!AT51,'📝 Four-tier กรอก'!AU86="Y"),"❌ Misc.",IF(AND('📝 Four-tier กรอก'!AR86&lt;&gt;'📝 Four-tier กรอก'!AR51,'📝 Four-tier กรอก'!AS86="N",'📝 Four-tier กรอก'!AT86&lt;&gt;'📝 Four-tier กรอก'!AT51,'📝 Four-tier กรอก'!AU86="N"),"❓ NoK","🤔 Partial")))))</f>
        <v/>
      </c>
      <c r="O85" s="67">
        <f>IF(OR('📝 Four-tier กรอก'!AV86="",'📝 Four-tier กรอก'!AX86=""),"—",IF(AND('📝 Four-tier กรอก'!AV86='📝 Four-tier กรอก'!AV51,'📝 Four-tier กรอก'!AW86="Y",'📝 Four-tier กรอก'!AX86='📝 Four-tier กรอก'!AX51,'📝 Four-tier กรอก'!AY86="Y"),"✅ Sound",IF(AND('📝 Four-tier กรอก'!AV86='📝 Four-tier กรอก'!AV51,'📝 Four-tier กรอก'!AW86="Y",'📝 Four-tier กรอก'!AX86&lt;&gt;'📝 Four-tier กรอก'!AX51,'📝 Four-tier กรอก'!AY86="Y"),"🎲 Guess",IF(AND('📝 Four-tier กรอก'!AV86&lt;&gt;'📝 Four-tier กรอก'!AV51,'📝 Four-tier กรอก'!AW86="Y",'📝 Four-tier กรอก'!AX86&lt;&gt;'📝 Four-tier กรอก'!AX51,'📝 Four-tier กรอก'!AY86="Y"),"❌ Misc.",IF(AND('📝 Four-tier กรอก'!AV86&lt;&gt;'📝 Four-tier กรอก'!AV51,'📝 Four-tier กรอก'!AW86="N",'📝 Four-tier กรอก'!AX86&lt;&gt;'📝 Four-tier กรอก'!AX51,'📝 Four-tier กรอก'!AY86="N"),"❓ NoK","🤔 Partial")))))</f>
        <v/>
      </c>
      <c r="P85" s="67">
        <f>IF(OR('📝 Four-tier กรอก'!AZ86="",'📝 Four-tier กรอก'!BB86=""),"—",IF(AND('📝 Four-tier กรอก'!AZ86='📝 Four-tier กรอก'!AZ51,'📝 Four-tier กรอก'!BA86="Y",'📝 Four-tier กรอก'!BB86='📝 Four-tier กรอก'!BB51,'📝 Four-tier กรอก'!BC86="Y"),"✅ Sound",IF(AND('📝 Four-tier กรอก'!AZ86='📝 Four-tier กรอก'!AZ51,'📝 Four-tier กรอก'!BA86="Y",'📝 Four-tier กรอก'!BB86&lt;&gt;'📝 Four-tier กรอก'!BB51,'📝 Four-tier กรอก'!BC86="Y"),"🎲 Guess",IF(AND('📝 Four-tier กรอก'!AZ86&lt;&gt;'📝 Four-tier กรอก'!AZ51,'📝 Four-tier กรอก'!BA86="Y",'📝 Four-tier กรอก'!BB86&lt;&gt;'📝 Four-tier กรอก'!BB51,'📝 Four-tier กรอก'!BC86="Y"),"❌ Misc.",IF(AND('📝 Four-tier กรอก'!AZ86&lt;&gt;'📝 Four-tier กรอก'!AZ51,'📝 Four-tier กรอก'!BA86="N",'📝 Four-tier กรอก'!BB86&lt;&gt;'📝 Four-tier กรอก'!BB51,'📝 Four-tier กรอก'!BC86="N"),"❓ NoK","🤔 Partial")))))</f>
        <v/>
      </c>
      <c r="Q85" s="67">
        <f>IF(OR('📝 Four-tier กรอก'!BD86="",'📝 Four-tier กรอก'!BF86=""),"—",IF(AND('📝 Four-tier กรอก'!BD86='📝 Four-tier กรอก'!BD51,'📝 Four-tier กรอก'!BE86="Y",'📝 Four-tier กรอก'!BF86='📝 Four-tier กรอก'!BF51,'📝 Four-tier กรอก'!BG86="Y"),"✅ Sound",IF(AND('📝 Four-tier กรอก'!BD86='📝 Four-tier กรอก'!BD51,'📝 Four-tier กรอก'!BE86="Y",'📝 Four-tier กรอก'!BF86&lt;&gt;'📝 Four-tier กรอก'!BF51,'📝 Four-tier กรอก'!BG86="Y"),"🎲 Guess",IF(AND('📝 Four-tier กรอก'!BD86&lt;&gt;'📝 Four-tier กรอก'!BD51,'📝 Four-tier กรอก'!BE86="Y",'📝 Four-tier กรอก'!BF86&lt;&gt;'📝 Four-tier กรอก'!BF51,'📝 Four-tier กรอก'!BG86="Y"),"❌ Misc.",IF(AND('📝 Four-tier กรอก'!BD86&lt;&gt;'📝 Four-tier กรอก'!BD51,'📝 Four-tier กรอก'!BE86="N",'📝 Four-tier กรอก'!BF86&lt;&gt;'📝 Four-tier กรอก'!BF51,'📝 Four-tier กรอก'!BG86="N"),"❓ NoK","🤔 Partial")))))</f>
        <v/>
      </c>
      <c r="R85" s="67">
        <f>IF(OR('📝 Four-tier กรอก'!BH86="",'📝 Four-tier กรอก'!BJ86=""),"—",IF(AND('📝 Four-tier กรอก'!BH86='📝 Four-tier กรอก'!BH51,'📝 Four-tier กรอก'!BI86="Y",'📝 Four-tier กรอก'!BJ86='📝 Four-tier กรอก'!BJ51,'📝 Four-tier กรอก'!BK86="Y"),"✅ Sound",IF(AND('📝 Four-tier กรอก'!BH86='📝 Four-tier กรอก'!BH51,'📝 Four-tier กรอก'!BI86="Y",'📝 Four-tier กรอก'!BJ86&lt;&gt;'📝 Four-tier กรอก'!BJ51,'📝 Four-tier กรอก'!BK86="Y"),"🎲 Guess",IF(AND('📝 Four-tier กรอก'!BH86&lt;&gt;'📝 Four-tier กรอก'!BH51,'📝 Four-tier กรอก'!BI86="Y",'📝 Four-tier กรอก'!BJ86&lt;&gt;'📝 Four-tier กรอก'!BJ51,'📝 Four-tier กรอก'!BK86="Y"),"❌ Misc.",IF(AND('📝 Four-tier กรอก'!BH86&lt;&gt;'📝 Four-tier กรอก'!BH51,'📝 Four-tier กรอก'!BI86="N",'📝 Four-tier กรอก'!BJ86&lt;&gt;'📝 Four-tier กรอก'!BJ51,'📝 Four-tier กรอก'!BK86="N"),"❓ NoK","🤔 Partial")))))</f>
        <v/>
      </c>
      <c r="S85" s="67">
        <f>IF(OR('📝 Four-tier กรอก'!BL86="",'📝 Four-tier กรอก'!BN86=""),"—",IF(AND('📝 Four-tier กรอก'!BL86='📝 Four-tier กรอก'!BL51,'📝 Four-tier กรอก'!BM86="Y",'📝 Four-tier กรอก'!BN86='📝 Four-tier กรอก'!BN51,'📝 Four-tier กรอก'!BO86="Y"),"✅ Sound",IF(AND('📝 Four-tier กรอก'!BL86='📝 Four-tier กรอก'!BL51,'📝 Four-tier กรอก'!BM86="Y",'📝 Four-tier กรอก'!BN86&lt;&gt;'📝 Four-tier กรอก'!BN51,'📝 Four-tier กรอก'!BO86="Y"),"🎲 Guess",IF(AND('📝 Four-tier กรอก'!BL86&lt;&gt;'📝 Four-tier กรอก'!BL51,'📝 Four-tier กรอก'!BM86="Y",'📝 Four-tier กรอก'!BN86&lt;&gt;'📝 Four-tier กรอก'!BN51,'📝 Four-tier กรอก'!BO86="Y"),"❌ Misc.",IF(AND('📝 Four-tier กรอก'!BL86&lt;&gt;'📝 Four-tier กรอก'!BL51,'📝 Four-tier กรอก'!BM86="N",'📝 Four-tier กรอก'!BN86&lt;&gt;'📝 Four-tier กรอก'!BN51,'📝 Four-tier กรอก'!BO86="N"),"❓ NoK","🤔 Partial")))))</f>
        <v/>
      </c>
      <c r="T85" s="67">
        <f>IF(OR('📝 Four-tier กรอก'!BP86="",'📝 Four-tier กรอก'!BR86=""),"—",IF(AND('📝 Four-tier กรอก'!BP86='📝 Four-tier กรอก'!BP51,'📝 Four-tier กรอก'!BQ86="Y",'📝 Four-tier กรอก'!BR86='📝 Four-tier กรอก'!BR51,'📝 Four-tier กรอก'!BS86="Y"),"✅ Sound",IF(AND('📝 Four-tier กรอก'!BP86='📝 Four-tier กรอก'!BP51,'📝 Four-tier กรอก'!BQ86="Y",'📝 Four-tier กรอก'!BR86&lt;&gt;'📝 Four-tier กรอก'!BR51,'📝 Four-tier กรอก'!BS86="Y"),"🎲 Guess",IF(AND('📝 Four-tier กรอก'!BP86&lt;&gt;'📝 Four-tier กรอก'!BP51,'📝 Four-tier กรอก'!BQ86="Y",'📝 Four-tier กรอก'!BR86&lt;&gt;'📝 Four-tier กรอก'!BR51,'📝 Four-tier กรอก'!BS86="Y"),"❌ Misc.",IF(AND('📝 Four-tier กรอก'!BP86&lt;&gt;'📝 Four-tier กรอก'!BP51,'📝 Four-tier กรอก'!BQ86="N",'📝 Four-tier กรอก'!BR86&lt;&gt;'📝 Four-tier กรอก'!BR51,'📝 Four-tier กรอก'!BS86="N"),"❓ NoK","🤔 Partial")))))</f>
        <v/>
      </c>
      <c r="U85" s="67">
        <f>IF(OR('📝 Four-tier กรอก'!BT86="",'📝 Four-tier กรอก'!BV86=""),"—",IF(AND('📝 Four-tier กรอก'!BT86='📝 Four-tier กรอก'!BT51,'📝 Four-tier กรอก'!BU86="Y",'📝 Four-tier กรอก'!BV86='📝 Four-tier กรอก'!BV51,'📝 Four-tier กรอก'!BW86="Y"),"✅ Sound",IF(AND('📝 Four-tier กรอก'!BT86='📝 Four-tier กรอก'!BT51,'📝 Four-tier กรอก'!BU86="Y",'📝 Four-tier กรอก'!BV86&lt;&gt;'📝 Four-tier กรอก'!BV51,'📝 Four-tier กรอก'!BW86="Y"),"🎲 Guess",IF(AND('📝 Four-tier กรอก'!BT86&lt;&gt;'📝 Four-tier กรอก'!BT51,'📝 Four-tier กรอก'!BU86="Y",'📝 Four-tier กรอก'!BV86&lt;&gt;'📝 Four-tier กรอก'!BV51,'📝 Four-tier กรอก'!BW86="Y"),"❌ Misc.",IF(AND('📝 Four-tier กรอก'!BT86&lt;&gt;'📝 Four-tier กรอก'!BT51,'📝 Four-tier กรอก'!BU86="N",'📝 Four-tier กรอก'!BV86&lt;&gt;'📝 Four-tier กรอก'!BV51,'📝 Four-tier กรอก'!BW86="N"),"❓ NoK","🤔 Partial")))))</f>
        <v/>
      </c>
      <c r="V85" s="67">
        <f>IF(OR('📝 Four-tier กรอก'!BX86="",'📝 Four-tier กรอก'!BZ86=""),"—",IF(AND('📝 Four-tier กรอก'!BX86='📝 Four-tier กรอก'!BX51,'📝 Four-tier กรอก'!BY86="Y",'📝 Four-tier กรอก'!BZ86='📝 Four-tier กรอก'!BZ51,'📝 Four-tier กรอก'!CA86="Y"),"✅ Sound",IF(AND('📝 Four-tier กรอก'!BX86='📝 Four-tier กรอก'!BX51,'📝 Four-tier กรอก'!BY86="Y",'📝 Four-tier กรอก'!BZ86&lt;&gt;'📝 Four-tier กรอก'!BZ51,'📝 Four-tier กรอก'!CA86="Y"),"🎲 Guess",IF(AND('📝 Four-tier กรอก'!BX86&lt;&gt;'📝 Four-tier กรอก'!BX51,'📝 Four-tier กรอก'!BY86="Y",'📝 Four-tier กรอก'!BZ86&lt;&gt;'📝 Four-tier กรอก'!BZ51,'📝 Four-tier กรอก'!CA86="Y"),"❌ Misc.",IF(AND('📝 Four-tier กรอก'!BX86&lt;&gt;'📝 Four-tier กรอก'!BX51,'📝 Four-tier กรอก'!BY86="N",'📝 Four-tier กรอก'!BZ86&lt;&gt;'📝 Four-tier กรอก'!BZ51,'📝 Four-tier กรอก'!CA86="N"),"❓ NoK","🤔 Partial")))))</f>
        <v/>
      </c>
      <c r="W85" s="67">
        <f>IF(OR('📝 Four-tier กรอก'!CB86="",'📝 Four-tier กรอก'!CD86=""),"—",IF(AND('📝 Four-tier กรอก'!CB86='📝 Four-tier กรอก'!CB51,'📝 Four-tier กรอก'!CC86="Y",'📝 Four-tier กรอก'!CD86='📝 Four-tier กรอก'!CD51,'📝 Four-tier กรอก'!CE86="Y"),"✅ Sound",IF(AND('📝 Four-tier กรอก'!CB86='📝 Four-tier กรอก'!CB51,'📝 Four-tier กรอก'!CC86="Y",'📝 Four-tier กรอก'!CD86&lt;&gt;'📝 Four-tier กรอก'!CD51,'📝 Four-tier กรอก'!CE86="Y"),"🎲 Guess",IF(AND('📝 Four-tier กรอก'!CB86&lt;&gt;'📝 Four-tier กรอก'!CB51,'📝 Four-tier กรอก'!CC86="Y",'📝 Four-tier กรอก'!CD86&lt;&gt;'📝 Four-tier กรอก'!CD51,'📝 Four-tier กรอก'!CE86="Y"),"❌ Misc.",IF(AND('📝 Four-tier กรอก'!CB86&lt;&gt;'📝 Four-tier กรอก'!CB51,'📝 Four-tier กรอก'!CC86="N",'📝 Four-tier กรอก'!CD86&lt;&gt;'📝 Four-tier กรอก'!CD51,'📝 Four-tier กรอก'!CE86="N"),"❓ NoK","🤔 Partial")))))</f>
        <v/>
      </c>
      <c r="X85" s="37">
        <f>COUNTIF(D85:W85,"✅ Sound")</f>
        <v/>
      </c>
      <c r="Y85" s="37">
        <f>COUNTIF(D85:W85,"❌ Misc.")</f>
        <v/>
      </c>
      <c r="Z85" s="37">
        <f>COUNTIF(D85:W85,"🎲 Guess")</f>
        <v/>
      </c>
      <c r="AA85" s="37">
        <f>COUNTIF(D85:W85,"❓ NoK")</f>
        <v/>
      </c>
    </row>
    <row r="86" ht="18" customHeight="1">
      <c r="B86" s="46">
        <f>'📝 Four-tier กรอก'!B87</f>
        <v/>
      </c>
      <c r="C86" s="51">
        <f>'📝 Four-tier กรอก'!C87</f>
        <v/>
      </c>
      <c r="D86" s="68">
        <f>IF(OR('📝 Four-tier กรอก'!D87="",'📝 Four-tier กรอก'!F87=""),"—",IF(AND('📝 Four-tier กรอก'!D87='📝 Four-tier กรอก'!D51,'📝 Four-tier กรอก'!E87="Y",'📝 Four-tier กรอก'!F87='📝 Four-tier กรอก'!F51,'📝 Four-tier กรอก'!G87="Y"),"✅ Sound",IF(AND('📝 Four-tier กรอก'!D87='📝 Four-tier กรอก'!D51,'📝 Four-tier กรอก'!E87="Y",'📝 Four-tier กรอก'!F87&lt;&gt;'📝 Four-tier กรอก'!F51,'📝 Four-tier กรอก'!G87="Y"),"🎲 Guess",IF(AND('📝 Four-tier กรอก'!D87&lt;&gt;'📝 Four-tier กรอก'!D51,'📝 Four-tier กรอก'!E87="Y",'📝 Four-tier กรอก'!F87&lt;&gt;'📝 Four-tier กรอก'!F51,'📝 Four-tier กรอก'!G87="Y"),"❌ Misc.",IF(AND('📝 Four-tier กรอก'!D87&lt;&gt;'📝 Four-tier กรอก'!D51,'📝 Four-tier กรอก'!E87="N",'📝 Four-tier กรอก'!F87&lt;&gt;'📝 Four-tier กรอก'!F51,'📝 Four-tier กรอก'!G87="N"),"❓ NoK","🤔 Partial")))))</f>
        <v/>
      </c>
      <c r="E86" s="68">
        <f>IF(OR('📝 Four-tier กรอก'!H87="",'📝 Four-tier กรอก'!J87=""),"—",IF(AND('📝 Four-tier กรอก'!H87='📝 Four-tier กรอก'!H51,'📝 Four-tier กรอก'!I87="Y",'📝 Four-tier กรอก'!J87='📝 Four-tier กรอก'!J51,'📝 Four-tier กรอก'!K87="Y"),"✅ Sound",IF(AND('📝 Four-tier กรอก'!H87='📝 Four-tier กรอก'!H51,'📝 Four-tier กรอก'!I87="Y",'📝 Four-tier กรอก'!J87&lt;&gt;'📝 Four-tier กรอก'!J51,'📝 Four-tier กรอก'!K87="Y"),"🎲 Guess",IF(AND('📝 Four-tier กรอก'!H87&lt;&gt;'📝 Four-tier กรอก'!H51,'📝 Four-tier กรอก'!I87="Y",'📝 Four-tier กรอก'!J87&lt;&gt;'📝 Four-tier กรอก'!J51,'📝 Four-tier กรอก'!K87="Y"),"❌ Misc.",IF(AND('📝 Four-tier กรอก'!H87&lt;&gt;'📝 Four-tier กรอก'!H51,'📝 Four-tier กรอก'!I87="N",'📝 Four-tier กรอก'!J87&lt;&gt;'📝 Four-tier กรอก'!J51,'📝 Four-tier กรอก'!K87="N"),"❓ NoK","🤔 Partial")))))</f>
        <v/>
      </c>
      <c r="F86" s="68">
        <f>IF(OR('📝 Four-tier กรอก'!L87="",'📝 Four-tier กรอก'!N87=""),"—",IF(AND('📝 Four-tier กรอก'!L87='📝 Four-tier กรอก'!L51,'📝 Four-tier กรอก'!M87="Y",'📝 Four-tier กรอก'!N87='📝 Four-tier กรอก'!N51,'📝 Four-tier กรอก'!O87="Y"),"✅ Sound",IF(AND('📝 Four-tier กรอก'!L87='📝 Four-tier กรอก'!L51,'📝 Four-tier กรอก'!M87="Y",'📝 Four-tier กรอก'!N87&lt;&gt;'📝 Four-tier กรอก'!N51,'📝 Four-tier กรอก'!O87="Y"),"🎲 Guess",IF(AND('📝 Four-tier กรอก'!L87&lt;&gt;'📝 Four-tier กรอก'!L51,'📝 Four-tier กรอก'!M87="Y",'📝 Four-tier กรอก'!N87&lt;&gt;'📝 Four-tier กรอก'!N51,'📝 Four-tier กรอก'!O87="Y"),"❌ Misc.",IF(AND('📝 Four-tier กรอก'!L87&lt;&gt;'📝 Four-tier กรอก'!L51,'📝 Four-tier กรอก'!M87="N",'📝 Four-tier กรอก'!N87&lt;&gt;'📝 Four-tier กรอก'!N51,'📝 Four-tier กรอก'!O87="N"),"❓ NoK","🤔 Partial")))))</f>
        <v/>
      </c>
      <c r="G86" s="68">
        <f>IF(OR('📝 Four-tier กรอก'!P87="",'📝 Four-tier กรอก'!R87=""),"—",IF(AND('📝 Four-tier กรอก'!P87='📝 Four-tier กรอก'!P51,'📝 Four-tier กรอก'!Q87="Y",'📝 Four-tier กรอก'!R87='📝 Four-tier กรอก'!R51,'📝 Four-tier กรอก'!S87="Y"),"✅ Sound",IF(AND('📝 Four-tier กรอก'!P87='📝 Four-tier กรอก'!P51,'📝 Four-tier กรอก'!Q87="Y",'📝 Four-tier กรอก'!R87&lt;&gt;'📝 Four-tier กรอก'!R51,'📝 Four-tier กรอก'!S87="Y"),"🎲 Guess",IF(AND('📝 Four-tier กรอก'!P87&lt;&gt;'📝 Four-tier กรอก'!P51,'📝 Four-tier กรอก'!Q87="Y",'📝 Four-tier กรอก'!R87&lt;&gt;'📝 Four-tier กรอก'!R51,'📝 Four-tier กรอก'!S87="Y"),"❌ Misc.",IF(AND('📝 Four-tier กรอก'!P87&lt;&gt;'📝 Four-tier กรอก'!P51,'📝 Four-tier กรอก'!Q87="N",'📝 Four-tier กรอก'!R87&lt;&gt;'📝 Four-tier กรอก'!R51,'📝 Four-tier กรอก'!S87="N"),"❓ NoK","🤔 Partial")))))</f>
        <v/>
      </c>
      <c r="H86" s="68">
        <f>IF(OR('📝 Four-tier กรอก'!T87="",'📝 Four-tier กรอก'!V87=""),"—",IF(AND('📝 Four-tier กรอก'!T87='📝 Four-tier กรอก'!T51,'📝 Four-tier กรอก'!U87="Y",'📝 Four-tier กรอก'!V87='📝 Four-tier กรอก'!V51,'📝 Four-tier กรอก'!W87="Y"),"✅ Sound",IF(AND('📝 Four-tier กรอก'!T87='📝 Four-tier กรอก'!T51,'📝 Four-tier กรอก'!U87="Y",'📝 Four-tier กรอก'!V87&lt;&gt;'📝 Four-tier กรอก'!V51,'📝 Four-tier กรอก'!W87="Y"),"🎲 Guess",IF(AND('📝 Four-tier กรอก'!T87&lt;&gt;'📝 Four-tier กรอก'!T51,'📝 Four-tier กรอก'!U87="Y",'📝 Four-tier กรอก'!V87&lt;&gt;'📝 Four-tier กรอก'!V51,'📝 Four-tier กรอก'!W87="Y"),"❌ Misc.",IF(AND('📝 Four-tier กรอก'!T87&lt;&gt;'📝 Four-tier กรอก'!T51,'📝 Four-tier กรอก'!U87="N",'📝 Four-tier กรอก'!V87&lt;&gt;'📝 Four-tier กรอก'!V51,'📝 Four-tier กรอก'!W87="N"),"❓ NoK","🤔 Partial")))))</f>
        <v/>
      </c>
      <c r="I86" s="68">
        <f>IF(OR('📝 Four-tier กรอก'!X87="",'📝 Four-tier กรอก'!Z87=""),"—",IF(AND('📝 Four-tier กรอก'!X87='📝 Four-tier กรอก'!X51,'📝 Four-tier กรอก'!Y87="Y",'📝 Four-tier กรอก'!Z87='📝 Four-tier กรอก'!Z51,'📝 Four-tier กรอก'!AA87="Y"),"✅ Sound",IF(AND('📝 Four-tier กรอก'!X87='📝 Four-tier กรอก'!X51,'📝 Four-tier กรอก'!Y87="Y",'📝 Four-tier กรอก'!Z87&lt;&gt;'📝 Four-tier กรอก'!Z51,'📝 Four-tier กรอก'!AA87="Y"),"🎲 Guess",IF(AND('📝 Four-tier กรอก'!X87&lt;&gt;'📝 Four-tier กรอก'!X51,'📝 Four-tier กรอก'!Y87="Y",'📝 Four-tier กรอก'!Z87&lt;&gt;'📝 Four-tier กรอก'!Z51,'📝 Four-tier กรอก'!AA87="Y"),"❌ Misc.",IF(AND('📝 Four-tier กรอก'!X87&lt;&gt;'📝 Four-tier กรอก'!X51,'📝 Four-tier กรอก'!Y87="N",'📝 Four-tier กรอก'!Z87&lt;&gt;'📝 Four-tier กรอก'!Z51,'📝 Four-tier กรอก'!AA87="N"),"❓ NoK","🤔 Partial")))))</f>
        <v/>
      </c>
      <c r="J86" s="68">
        <f>IF(OR('📝 Four-tier กรอก'!AB87="",'📝 Four-tier กรอก'!AD87=""),"—",IF(AND('📝 Four-tier กรอก'!AB87='📝 Four-tier กรอก'!AB51,'📝 Four-tier กรอก'!AC87="Y",'📝 Four-tier กรอก'!AD87='📝 Four-tier กรอก'!AD51,'📝 Four-tier กรอก'!AE87="Y"),"✅ Sound",IF(AND('📝 Four-tier กรอก'!AB87='📝 Four-tier กรอก'!AB51,'📝 Four-tier กรอก'!AC87="Y",'📝 Four-tier กรอก'!AD87&lt;&gt;'📝 Four-tier กรอก'!AD51,'📝 Four-tier กรอก'!AE87="Y"),"🎲 Guess",IF(AND('📝 Four-tier กรอก'!AB87&lt;&gt;'📝 Four-tier กรอก'!AB51,'📝 Four-tier กรอก'!AC87="Y",'📝 Four-tier กรอก'!AD87&lt;&gt;'📝 Four-tier กรอก'!AD51,'📝 Four-tier กรอก'!AE87="Y"),"❌ Misc.",IF(AND('📝 Four-tier กรอก'!AB87&lt;&gt;'📝 Four-tier กรอก'!AB51,'📝 Four-tier กรอก'!AC87="N",'📝 Four-tier กรอก'!AD87&lt;&gt;'📝 Four-tier กรอก'!AD51,'📝 Four-tier กรอก'!AE87="N"),"❓ NoK","🤔 Partial")))))</f>
        <v/>
      </c>
      <c r="K86" s="68">
        <f>IF(OR('📝 Four-tier กรอก'!AF87="",'📝 Four-tier กรอก'!AH87=""),"—",IF(AND('📝 Four-tier กรอก'!AF87='📝 Four-tier กรอก'!AF51,'📝 Four-tier กรอก'!AG87="Y",'📝 Four-tier กรอก'!AH87='📝 Four-tier กรอก'!AH51,'📝 Four-tier กรอก'!AI87="Y"),"✅ Sound",IF(AND('📝 Four-tier กรอก'!AF87='📝 Four-tier กรอก'!AF51,'📝 Four-tier กรอก'!AG87="Y",'📝 Four-tier กรอก'!AH87&lt;&gt;'📝 Four-tier กรอก'!AH51,'📝 Four-tier กรอก'!AI87="Y"),"🎲 Guess",IF(AND('📝 Four-tier กรอก'!AF87&lt;&gt;'📝 Four-tier กรอก'!AF51,'📝 Four-tier กรอก'!AG87="Y",'📝 Four-tier กรอก'!AH87&lt;&gt;'📝 Four-tier กรอก'!AH51,'📝 Four-tier กรอก'!AI87="Y"),"❌ Misc.",IF(AND('📝 Four-tier กรอก'!AF87&lt;&gt;'📝 Four-tier กรอก'!AF51,'📝 Four-tier กรอก'!AG87="N",'📝 Four-tier กรอก'!AH87&lt;&gt;'📝 Four-tier กรอก'!AH51,'📝 Four-tier กรอก'!AI87="N"),"❓ NoK","🤔 Partial")))))</f>
        <v/>
      </c>
      <c r="L86" s="68">
        <f>IF(OR('📝 Four-tier กรอก'!AJ87="",'📝 Four-tier กรอก'!AL87=""),"—",IF(AND('📝 Four-tier กรอก'!AJ87='📝 Four-tier กรอก'!AJ51,'📝 Four-tier กรอก'!AK87="Y",'📝 Four-tier กรอก'!AL87='📝 Four-tier กรอก'!AL51,'📝 Four-tier กรอก'!AM87="Y"),"✅ Sound",IF(AND('📝 Four-tier กรอก'!AJ87='📝 Four-tier กรอก'!AJ51,'📝 Four-tier กรอก'!AK87="Y",'📝 Four-tier กรอก'!AL87&lt;&gt;'📝 Four-tier กรอก'!AL51,'📝 Four-tier กรอก'!AM87="Y"),"🎲 Guess",IF(AND('📝 Four-tier กรอก'!AJ87&lt;&gt;'📝 Four-tier กรอก'!AJ51,'📝 Four-tier กรอก'!AK87="Y",'📝 Four-tier กรอก'!AL87&lt;&gt;'📝 Four-tier กรอก'!AL51,'📝 Four-tier กรอก'!AM87="Y"),"❌ Misc.",IF(AND('📝 Four-tier กรอก'!AJ87&lt;&gt;'📝 Four-tier กรอก'!AJ51,'📝 Four-tier กรอก'!AK87="N",'📝 Four-tier กรอก'!AL87&lt;&gt;'📝 Four-tier กรอก'!AL51,'📝 Four-tier กรอก'!AM87="N"),"❓ NoK","🤔 Partial")))))</f>
        <v/>
      </c>
      <c r="M86" s="68">
        <f>IF(OR('📝 Four-tier กรอก'!AN87="",'📝 Four-tier กรอก'!AP87=""),"—",IF(AND('📝 Four-tier กรอก'!AN87='📝 Four-tier กรอก'!AN51,'📝 Four-tier กรอก'!AO87="Y",'📝 Four-tier กรอก'!AP87='📝 Four-tier กรอก'!AP51,'📝 Four-tier กรอก'!AQ87="Y"),"✅ Sound",IF(AND('📝 Four-tier กรอก'!AN87='📝 Four-tier กรอก'!AN51,'📝 Four-tier กรอก'!AO87="Y",'📝 Four-tier กรอก'!AP87&lt;&gt;'📝 Four-tier กรอก'!AP51,'📝 Four-tier กรอก'!AQ87="Y"),"🎲 Guess",IF(AND('📝 Four-tier กรอก'!AN87&lt;&gt;'📝 Four-tier กรอก'!AN51,'📝 Four-tier กรอก'!AO87="Y",'📝 Four-tier กรอก'!AP87&lt;&gt;'📝 Four-tier กรอก'!AP51,'📝 Four-tier กรอก'!AQ87="Y"),"❌ Misc.",IF(AND('📝 Four-tier กรอก'!AN87&lt;&gt;'📝 Four-tier กรอก'!AN51,'📝 Four-tier กรอก'!AO87="N",'📝 Four-tier กรอก'!AP87&lt;&gt;'📝 Four-tier กรอก'!AP51,'📝 Four-tier กรอก'!AQ87="N"),"❓ NoK","🤔 Partial")))))</f>
        <v/>
      </c>
      <c r="N86" s="68">
        <f>IF(OR('📝 Four-tier กรอก'!AR87="",'📝 Four-tier กรอก'!AT87=""),"—",IF(AND('📝 Four-tier กรอก'!AR87='📝 Four-tier กรอก'!AR51,'📝 Four-tier กรอก'!AS87="Y",'📝 Four-tier กรอก'!AT87='📝 Four-tier กรอก'!AT51,'📝 Four-tier กรอก'!AU87="Y"),"✅ Sound",IF(AND('📝 Four-tier กรอก'!AR87='📝 Four-tier กรอก'!AR51,'📝 Four-tier กรอก'!AS87="Y",'📝 Four-tier กรอก'!AT87&lt;&gt;'📝 Four-tier กรอก'!AT51,'📝 Four-tier กรอก'!AU87="Y"),"🎲 Guess",IF(AND('📝 Four-tier กรอก'!AR87&lt;&gt;'📝 Four-tier กรอก'!AR51,'📝 Four-tier กรอก'!AS87="Y",'📝 Four-tier กรอก'!AT87&lt;&gt;'📝 Four-tier กรอก'!AT51,'📝 Four-tier กรอก'!AU87="Y"),"❌ Misc.",IF(AND('📝 Four-tier กรอก'!AR87&lt;&gt;'📝 Four-tier กรอก'!AR51,'📝 Four-tier กรอก'!AS87="N",'📝 Four-tier กรอก'!AT87&lt;&gt;'📝 Four-tier กรอก'!AT51,'📝 Four-tier กรอก'!AU87="N"),"❓ NoK","🤔 Partial")))))</f>
        <v/>
      </c>
      <c r="O86" s="68">
        <f>IF(OR('📝 Four-tier กรอก'!AV87="",'📝 Four-tier กรอก'!AX87=""),"—",IF(AND('📝 Four-tier กรอก'!AV87='📝 Four-tier กรอก'!AV51,'📝 Four-tier กรอก'!AW87="Y",'📝 Four-tier กรอก'!AX87='📝 Four-tier กรอก'!AX51,'📝 Four-tier กรอก'!AY87="Y"),"✅ Sound",IF(AND('📝 Four-tier กรอก'!AV87='📝 Four-tier กรอก'!AV51,'📝 Four-tier กรอก'!AW87="Y",'📝 Four-tier กรอก'!AX87&lt;&gt;'📝 Four-tier กรอก'!AX51,'📝 Four-tier กรอก'!AY87="Y"),"🎲 Guess",IF(AND('📝 Four-tier กรอก'!AV87&lt;&gt;'📝 Four-tier กรอก'!AV51,'📝 Four-tier กรอก'!AW87="Y",'📝 Four-tier กรอก'!AX87&lt;&gt;'📝 Four-tier กรอก'!AX51,'📝 Four-tier กรอก'!AY87="Y"),"❌ Misc.",IF(AND('📝 Four-tier กรอก'!AV87&lt;&gt;'📝 Four-tier กรอก'!AV51,'📝 Four-tier กรอก'!AW87="N",'📝 Four-tier กรอก'!AX87&lt;&gt;'📝 Four-tier กรอก'!AX51,'📝 Four-tier กรอก'!AY87="N"),"❓ NoK","🤔 Partial")))))</f>
        <v/>
      </c>
      <c r="P86" s="68">
        <f>IF(OR('📝 Four-tier กรอก'!AZ87="",'📝 Four-tier กรอก'!BB87=""),"—",IF(AND('📝 Four-tier กรอก'!AZ87='📝 Four-tier กรอก'!AZ51,'📝 Four-tier กรอก'!BA87="Y",'📝 Four-tier กรอก'!BB87='📝 Four-tier กรอก'!BB51,'📝 Four-tier กรอก'!BC87="Y"),"✅ Sound",IF(AND('📝 Four-tier กรอก'!AZ87='📝 Four-tier กรอก'!AZ51,'📝 Four-tier กรอก'!BA87="Y",'📝 Four-tier กรอก'!BB87&lt;&gt;'📝 Four-tier กรอก'!BB51,'📝 Four-tier กรอก'!BC87="Y"),"🎲 Guess",IF(AND('📝 Four-tier กรอก'!AZ87&lt;&gt;'📝 Four-tier กรอก'!AZ51,'📝 Four-tier กรอก'!BA87="Y",'📝 Four-tier กรอก'!BB87&lt;&gt;'📝 Four-tier กรอก'!BB51,'📝 Four-tier กรอก'!BC87="Y"),"❌ Misc.",IF(AND('📝 Four-tier กรอก'!AZ87&lt;&gt;'📝 Four-tier กรอก'!AZ51,'📝 Four-tier กรอก'!BA87="N",'📝 Four-tier กรอก'!BB87&lt;&gt;'📝 Four-tier กรอก'!BB51,'📝 Four-tier กรอก'!BC87="N"),"❓ NoK","🤔 Partial")))))</f>
        <v/>
      </c>
      <c r="Q86" s="68">
        <f>IF(OR('📝 Four-tier กรอก'!BD87="",'📝 Four-tier กรอก'!BF87=""),"—",IF(AND('📝 Four-tier กรอก'!BD87='📝 Four-tier กรอก'!BD51,'📝 Four-tier กรอก'!BE87="Y",'📝 Four-tier กรอก'!BF87='📝 Four-tier กรอก'!BF51,'📝 Four-tier กรอก'!BG87="Y"),"✅ Sound",IF(AND('📝 Four-tier กรอก'!BD87='📝 Four-tier กรอก'!BD51,'📝 Four-tier กรอก'!BE87="Y",'📝 Four-tier กรอก'!BF87&lt;&gt;'📝 Four-tier กรอก'!BF51,'📝 Four-tier กรอก'!BG87="Y"),"🎲 Guess",IF(AND('📝 Four-tier กรอก'!BD87&lt;&gt;'📝 Four-tier กรอก'!BD51,'📝 Four-tier กรอก'!BE87="Y",'📝 Four-tier กรอก'!BF87&lt;&gt;'📝 Four-tier กรอก'!BF51,'📝 Four-tier กรอก'!BG87="Y"),"❌ Misc.",IF(AND('📝 Four-tier กรอก'!BD87&lt;&gt;'📝 Four-tier กรอก'!BD51,'📝 Four-tier กรอก'!BE87="N",'📝 Four-tier กรอก'!BF87&lt;&gt;'📝 Four-tier กรอก'!BF51,'📝 Four-tier กรอก'!BG87="N"),"❓ NoK","🤔 Partial")))))</f>
        <v/>
      </c>
      <c r="R86" s="68">
        <f>IF(OR('📝 Four-tier กรอก'!BH87="",'📝 Four-tier กรอก'!BJ87=""),"—",IF(AND('📝 Four-tier กรอก'!BH87='📝 Four-tier กรอก'!BH51,'📝 Four-tier กรอก'!BI87="Y",'📝 Four-tier กรอก'!BJ87='📝 Four-tier กรอก'!BJ51,'📝 Four-tier กรอก'!BK87="Y"),"✅ Sound",IF(AND('📝 Four-tier กรอก'!BH87='📝 Four-tier กรอก'!BH51,'📝 Four-tier กรอก'!BI87="Y",'📝 Four-tier กรอก'!BJ87&lt;&gt;'📝 Four-tier กรอก'!BJ51,'📝 Four-tier กรอก'!BK87="Y"),"🎲 Guess",IF(AND('📝 Four-tier กรอก'!BH87&lt;&gt;'📝 Four-tier กรอก'!BH51,'📝 Four-tier กรอก'!BI87="Y",'📝 Four-tier กรอก'!BJ87&lt;&gt;'📝 Four-tier กรอก'!BJ51,'📝 Four-tier กรอก'!BK87="Y"),"❌ Misc.",IF(AND('📝 Four-tier กรอก'!BH87&lt;&gt;'📝 Four-tier กรอก'!BH51,'📝 Four-tier กรอก'!BI87="N",'📝 Four-tier กรอก'!BJ87&lt;&gt;'📝 Four-tier กรอก'!BJ51,'📝 Four-tier กรอก'!BK87="N"),"❓ NoK","🤔 Partial")))))</f>
        <v/>
      </c>
      <c r="S86" s="68">
        <f>IF(OR('📝 Four-tier กรอก'!BL87="",'📝 Four-tier กรอก'!BN87=""),"—",IF(AND('📝 Four-tier กรอก'!BL87='📝 Four-tier กรอก'!BL51,'📝 Four-tier กรอก'!BM87="Y",'📝 Four-tier กรอก'!BN87='📝 Four-tier กรอก'!BN51,'📝 Four-tier กรอก'!BO87="Y"),"✅ Sound",IF(AND('📝 Four-tier กรอก'!BL87='📝 Four-tier กรอก'!BL51,'📝 Four-tier กรอก'!BM87="Y",'📝 Four-tier กรอก'!BN87&lt;&gt;'📝 Four-tier กรอก'!BN51,'📝 Four-tier กรอก'!BO87="Y"),"🎲 Guess",IF(AND('📝 Four-tier กรอก'!BL87&lt;&gt;'📝 Four-tier กรอก'!BL51,'📝 Four-tier กรอก'!BM87="Y",'📝 Four-tier กรอก'!BN87&lt;&gt;'📝 Four-tier กรอก'!BN51,'📝 Four-tier กรอก'!BO87="Y"),"❌ Misc.",IF(AND('📝 Four-tier กรอก'!BL87&lt;&gt;'📝 Four-tier กรอก'!BL51,'📝 Four-tier กรอก'!BM87="N",'📝 Four-tier กรอก'!BN87&lt;&gt;'📝 Four-tier กรอก'!BN51,'📝 Four-tier กรอก'!BO87="N"),"❓ NoK","🤔 Partial")))))</f>
        <v/>
      </c>
      <c r="T86" s="68">
        <f>IF(OR('📝 Four-tier กรอก'!BP87="",'📝 Four-tier กรอก'!BR87=""),"—",IF(AND('📝 Four-tier กรอก'!BP87='📝 Four-tier กรอก'!BP51,'📝 Four-tier กรอก'!BQ87="Y",'📝 Four-tier กรอก'!BR87='📝 Four-tier กรอก'!BR51,'📝 Four-tier กรอก'!BS87="Y"),"✅ Sound",IF(AND('📝 Four-tier กรอก'!BP87='📝 Four-tier กรอก'!BP51,'📝 Four-tier กรอก'!BQ87="Y",'📝 Four-tier กรอก'!BR87&lt;&gt;'📝 Four-tier กรอก'!BR51,'📝 Four-tier กรอก'!BS87="Y"),"🎲 Guess",IF(AND('📝 Four-tier กรอก'!BP87&lt;&gt;'📝 Four-tier กรอก'!BP51,'📝 Four-tier กรอก'!BQ87="Y",'📝 Four-tier กรอก'!BR87&lt;&gt;'📝 Four-tier กรอก'!BR51,'📝 Four-tier กรอก'!BS87="Y"),"❌ Misc.",IF(AND('📝 Four-tier กรอก'!BP87&lt;&gt;'📝 Four-tier กรอก'!BP51,'📝 Four-tier กรอก'!BQ87="N",'📝 Four-tier กรอก'!BR87&lt;&gt;'📝 Four-tier กรอก'!BR51,'📝 Four-tier กรอก'!BS87="N"),"❓ NoK","🤔 Partial")))))</f>
        <v/>
      </c>
      <c r="U86" s="68">
        <f>IF(OR('📝 Four-tier กรอก'!BT87="",'📝 Four-tier กรอก'!BV87=""),"—",IF(AND('📝 Four-tier กรอก'!BT87='📝 Four-tier กรอก'!BT51,'📝 Four-tier กรอก'!BU87="Y",'📝 Four-tier กรอก'!BV87='📝 Four-tier กรอก'!BV51,'📝 Four-tier กรอก'!BW87="Y"),"✅ Sound",IF(AND('📝 Four-tier กรอก'!BT87='📝 Four-tier กรอก'!BT51,'📝 Four-tier กรอก'!BU87="Y",'📝 Four-tier กรอก'!BV87&lt;&gt;'📝 Four-tier กรอก'!BV51,'📝 Four-tier กรอก'!BW87="Y"),"🎲 Guess",IF(AND('📝 Four-tier กรอก'!BT87&lt;&gt;'📝 Four-tier กรอก'!BT51,'📝 Four-tier กรอก'!BU87="Y",'📝 Four-tier กรอก'!BV87&lt;&gt;'📝 Four-tier กรอก'!BV51,'📝 Four-tier กรอก'!BW87="Y"),"❌ Misc.",IF(AND('📝 Four-tier กรอก'!BT87&lt;&gt;'📝 Four-tier กรอก'!BT51,'📝 Four-tier กรอก'!BU87="N",'📝 Four-tier กรอก'!BV87&lt;&gt;'📝 Four-tier กรอก'!BV51,'📝 Four-tier กรอก'!BW87="N"),"❓ NoK","🤔 Partial")))))</f>
        <v/>
      </c>
      <c r="V86" s="68">
        <f>IF(OR('📝 Four-tier กรอก'!BX87="",'📝 Four-tier กรอก'!BZ87=""),"—",IF(AND('📝 Four-tier กรอก'!BX87='📝 Four-tier กรอก'!BX51,'📝 Four-tier กรอก'!BY87="Y",'📝 Four-tier กรอก'!BZ87='📝 Four-tier กรอก'!BZ51,'📝 Four-tier กรอก'!CA87="Y"),"✅ Sound",IF(AND('📝 Four-tier กรอก'!BX87='📝 Four-tier กรอก'!BX51,'📝 Four-tier กรอก'!BY87="Y",'📝 Four-tier กรอก'!BZ87&lt;&gt;'📝 Four-tier กรอก'!BZ51,'📝 Four-tier กรอก'!CA87="Y"),"🎲 Guess",IF(AND('📝 Four-tier กรอก'!BX87&lt;&gt;'📝 Four-tier กรอก'!BX51,'📝 Four-tier กรอก'!BY87="Y",'📝 Four-tier กรอก'!BZ87&lt;&gt;'📝 Four-tier กรอก'!BZ51,'📝 Four-tier กรอก'!CA87="Y"),"❌ Misc.",IF(AND('📝 Four-tier กรอก'!BX87&lt;&gt;'📝 Four-tier กรอก'!BX51,'📝 Four-tier กรอก'!BY87="N",'📝 Four-tier กรอก'!BZ87&lt;&gt;'📝 Four-tier กรอก'!BZ51,'📝 Four-tier กรอก'!CA87="N"),"❓ NoK","🤔 Partial")))))</f>
        <v/>
      </c>
      <c r="W86" s="68">
        <f>IF(OR('📝 Four-tier กรอก'!CB87="",'📝 Four-tier กรอก'!CD87=""),"—",IF(AND('📝 Four-tier กรอก'!CB87='📝 Four-tier กรอก'!CB51,'📝 Four-tier กรอก'!CC87="Y",'📝 Four-tier กรอก'!CD87='📝 Four-tier กรอก'!CD51,'📝 Four-tier กรอก'!CE87="Y"),"✅ Sound",IF(AND('📝 Four-tier กรอก'!CB87='📝 Four-tier กรอก'!CB51,'📝 Four-tier กรอก'!CC87="Y",'📝 Four-tier กรอก'!CD87&lt;&gt;'📝 Four-tier กรอก'!CD51,'📝 Four-tier กรอก'!CE87="Y"),"🎲 Guess",IF(AND('📝 Four-tier กรอก'!CB87&lt;&gt;'📝 Four-tier กรอก'!CB51,'📝 Four-tier กรอก'!CC87="Y",'📝 Four-tier กรอก'!CD87&lt;&gt;'📝 Four-tier กรอก'!CD51,'📝 Four-tier กรอก'!CE87="Y"),"❌ Misc.",IF(AND('📝 Four-tier กรอก'!CB87&lt;&gt;'📝 Four-tier กรอก'!CB51,'📝 Four-tier กรอก'!CC87="N",'📝 Four-tier กรอก'!CD87&lt;&gt;'📝 Four-tier กรอก'!CD51,'📝 Four-tier กรอก'!CE87="N"),"❓ NoK","🤔 Partial")))))</f>
        <v/>
      </c>
      <c r="X86" s="37">
        <f>COUNTIF(D86:W86,"✅ Sound")</f>
        <v/>
      </c>
      <c r="Y86" s="37">
        <f>COUNTIF(D86:W86,"❌ Misc.")</f>
        <v/>
      </c>
      <c r="Z86" s="37">
        <f>COUNTIF(D86:W86,"🎲 Guess")</f>
        <v/>
      </c>
      <c r="AA86" s="37">
        <f>COUNTIF(D86:W86,"❓ NoK")</f>
        <v/>
      </c>
    </row>
    <row r="87" ht="18" customHeight="1">
      <c r="B87" s="46">
        <f>'📝 Four-tier กรอก'!B88</f>
        <v/>
      </c>
      <c r="C87" s="47">
        <f>'📝 Four-tier กรอก'!C88</f>
        <v/>
      </c>
      <c r="D87" s="67">
        <f>IF(OR('📝 Four-tier กรอก'!D88="",'📝 Four-tier กรอก'!F88=""),"—",IF(AND('📝 Four-tier กรอก'!D88='📝 Four-tier กรอก'!D51,'📝 Four-tier กรอก'!E88="Y",'📝 Four-tier กรอก'!F88='📝 Four-tier กรอก'!F51,'📝 Four-tier กรอก'!G88="Y"),"✅ Sound",IF(AND('📝 Four-tier กรอก'!D88='📝 Four-tier กรอก'!D51,'📝 Four-tier กรอก'!E88="Y",'📝 Four-tier กรอก'!F88&lt;&gt;'📝 Four-tier กรอก'!F51,'📝 Four-tier กรอก'!G88="Y"),"🎲 Guess",IF(AND('📝 Four-tier กรอก'!D88&lt;&gt;'📝 Four-tier กรอก'!D51,'📝 Four-tier กรอก'!E88="Y",'📝 Four-tier กรอก'!F88&lt;&gt;'📝 Four-tier กรอก'!F51,'📝 Four-tier กรอก'!G88="Y"),"❌ Misc.",IF(AND('📝 Four-tier กรอก'!D88&lt;&gt;'📝 Four-tier กรอก'!D51,'📝 Four-tier กรอก'!E88="N",'📝 Four-tier กรอก'!F88&lt;&gt;'📝 Four-tier กรอก'!F51,'📝 Four-tier กรอก'!G88="N"),"❓ NoK","🤔 Partial")))))</f>
        <v/>
      </c>
      <c r="E87" s="67">
        <f>IF(OR('📝 Four-tier กรอก'!H88="",'📝 Four-tier กรอก'!J88=""),"—",IF(AND('📝 Four-tier กรอก'!H88='📝 Four-tier กรอก'!H51,'📝 Four-tier กรอก'!I88="Y",'📝 Four-tier กรอก'!J88='📝 Four-tier กรอก'!J51,'📝 Four-tier กรอก'!K88="Y"),"✅ Sound",IF(AND('📝 Four-tier กรอก'!H88='📝 Four-tier กรอก'!H51,'📝 Four-tier กรอก'!I88="Y",'📝 Four-tier กรอก'!J88&lt;&gt;'📝 Four-tier กรอก'!J51,'📝 Four-tier กรอก'!K88="Y"),"🎲 Guess",IF(AND('📝 Four-tier กรอก'!H88&lt;&gt;'📝 Four-tier กรอก'!H51,'📝 Four-tier กรอก'!I88="Y",'📝 Four-tier กรอก'!J88&lt;&gt;'📝 Four-tier กรอก'!J51,'📝 Four-tier กรอก'!K88="Y"),"❌ Misc.",IF(AND('📝 Four-tier กรอก'!H88&lt;&gt;'📝 Four-tier กรอก'!H51,'📝 Four-tier กรอก'!I88="N",'📝 Four-tier กรอก'!J88&lt;&gt;'📝 Four-tier กรอก'!J51,'📝 Four-tier กรอก'!K88="N"),"❓ NoK","🤔 Partial")))))</f>
        <v/>
      </c>
      <c r="F87" s="67">
        <f>IF(OR('📝 Four-tier กรอก'!L88="",'📝 Four-tier กรอก'!N88=""),"—",IF(AND('📝 Four-tier กรอก'!L88='📝 Four-tier กรอก'!L51,'📝 Four-tier กรอก'!M88="Y",'📝 Four-tier กรอก'!N88='📝 Four-tier กรอก'!N51,'📝 Four-tier กรอก'!O88="Y"),"✅ Sound",IF(AND('📝 Four-tier กรอก'!L88='📝 Four-tier กรอก'!L51,'📝 Four-tier กรอก'!M88="Y",'📝 Four-tier กรอก'!N88&lt;&gt;'📝 Four-tier กรอก'!N51,'📝 Four-tier กรอก'!O88="Y"),"🎲 Guess",IF(AND('📝 Four-tier กรอก'!L88&lt;&gt;'📝 Four-tier กรอก'!L51,'📝 Four-tier กรอก'!M88="Y",'📝 Four-tier กรอก'!N88&lt;&gt;'📝 Four-tier กรอก'!N51,'📝 Four-tier กรอก'!O88="Y"),"❌ Misc.",IF(AND('📝 Four-tier กรอก'!L88&lt;&gt;'📝 Four-tier กรอก'!L51,'📝 Four-tier กรอก'!M88="N",'📝 Four-tier กรอก'!N88&lt;&gt;'📝 Four-tier กรอก'!N51,'📝 Four-tier กรอก'!O88="N"),"❓ NoK","🤔 Partial")))))</f>
        <v/>
      </c>
      <c r="G87" s="67">
        <f>IF(OR('📝 Four-tier กรอก'!P88="",'📝 Four-tier กรอก'!R88=""),"—",IF(AND('📝 Four-tier กรอก'!P88='📝 Four-tier กรอก'!P51,'📝 Four-tier กรอก'!Q88="Y",'📝 Four-tier กรอก'!R88='📝 Four-tier กรอก'!R51,'📝 Four-tier กรอก'!S88="Y"),"✅ Sound",IF(AND('📝 Four-tier กรอก'!P88='📝 Four-tier กรอก'!P51,'📝 Four-tier กรอก'!Q88="Y",'📝 Four-tier กรอก'!R88&lt;&gt;'📝 Four-tier กรอก'!R51,'📝 Four-tier กรอก'!S88="Y"),"🎲 Guess",IF(AND('📝 Four-tier กรอก'!P88&lt;&gt;'📝 Four-tier กรอก'!P51,'📝 Four-tier กรอก'!Q88="Y",'📝 Four-tier กรอก'!R88&lt;&gt;'📝 Four-tier กรอก'!R51,'📝 Four-tier กรอก'!S88="Y"),"❌ Misc.",IF(AND('📝 Four-tier กรอก'!P88&lt;&gt;'📝 Four-tier กรอก'!P51,'📝 Four-tier กรอก'!Q88="N",'📝 Four-tier กรอก'!R88&lt;&gt;'📝 Four-tier กรอก'!R51,'📝 Four-tier กรอก'!S88="N"),"❓ NoK","🤔 Partial")))))</f>
        <v/>
      </c>
      <c r="H87" s="67">
        <f>IF(OR('📝 Four-tier กรอก'!T88="",'📝 Four-tier กรอก'!V88=""),"—",IF(AND('📝 Four-tier กรอก'!T88='📝 Four-tier กรอก'!T51,'📝 Four-tier กรอก'!U88="Y",'📝 Four-tier กรอก'!V88='📝 Four-tier กรอก'!V51,'📝 Four-tier กรอก'!W88="Y"),"✅ Sound",IF(AND('📝 Four-tier กรอก'!T88='📝 Four-tier กรอก'!T51,'📝 Four-tier กรอก'!U88="Y",'📝 Four-tier กรอก'!V88&lt;&gt;'📝 Four-tier กรอก'!V51,'📝 Four-tier กรอก'!W88="Y"),"🎲 Guess",IF(AND('📝 Four-tier กรอก'!T88&lt;&gt;'📝 Four-tier กรอก'!T51,'📝 Four-tier กรอก'!U88="Y",'📝 Four-tier กรอก'!V88&lt;&gt;'📝 Four-tier กรอก'!V51,'📝 Four-tier กรอก'!W88="Y"),"❌ Misc.",IF(AND('📝 Four-tier กรอก'!T88&lt;&gt;'📝 Four-tier กรอก'!T51,'📝 Four-tier กรอก'!U88="N",'📝 Four-tier กรอก'!V88&lt;&gt;'📝 Four-tier กรอก'!V51,'📝 Four-tier กรอก'!W88="N"),"❓ NoK","🤔 Partial")))))</f>
        <v/>
      </c>
      <c r="I87" s="67">
        <f>IF(OR('📝 Four-tier กรอก'!X88="",'📝 Four-tier กรอก'!Z88=""),"—",IF(AND('📝 Four-tier กรอก'!X88='📝 Four-tier กรอก'!X51,'📝 Four-tier กรอก'!Y88="Y",'📝 Four-tier กรอก'!Z88='📝 Four-tier กรอก'!Z51,'📝 Four-tier กรอก'!AA88="Y"),"✅ Sound",IF(AND('📝 Four-tier กรอก'!X88='📝 Four-tier กรอก'!X51,'📝 Four-tier กรอก'!Y88="Y",'📝 Four-tier กรอก'!Z88&lt;&gt;'📝 Four-tier กรอก'!Z51,'📝 Four-tier กรอก'!AA88="Y"),"🎲 Guess",IF(AND('📝 Four-tier กรอก'!X88&lt;&gt;'📝 Four-tier กรอก'!X51,'📝 Four-tier กรอก'!Y88="Y",'📝 Four-tier กรอก'!Z88&lt;&gt;'📝 Four-tier กรอก'!Z51,'📝 Four-tier กรอก'!AA88="Y"),"❌ Misc.",IF(AND('📝 Four-tier กรอก'!X88&lt;&gt;'📝 Four-tier กรอก'!X51,'📝 Four-tier กรอก'!Y88="N",'📝 Four-tier กรอก'!Z88&lt;&gt;'📝 Four-tier กรอก'!Z51,'📝 Four-tier กรอก'!AA88="N"),"❓ NoK","🤔 Partial")))))</f>
        <v/>
      </c>
      <c r="J87" s="67">
        <f>IF(OR('📝 Four-tier กรอก'!AB88="",'📝 Four-tier กรอก'!AD88=""),"—",IF(AND('📝 Four-tier กรอก'!AB88='📝 Four-tier กรอก'!AB51,'📝 Four-tier กรอก'!AC88="Y",'📝 Four-tier กรอก'!AD88='📝 Four-tier กรอก'!AD51,'📝 Four-tier กรอก'!AE88="Y"),"✅ Sound",IF(AND('📝 Four-tier กรอก'!AB88='📝 Four-tier กรอก'!AB51,'📝 Four-tier กรอก'!AC88="Y",'📝 Four-tier กรอก'!AD88&lt;&gt;'📝 Four-tier กรอก'!AD51,'📝 Four-tier กรอก'!AE88="Y"),"🎲 Guess",IF(AND('📝 Four-tier กรอก'!AB88&lt;&gt;'📝 Four-tier กรอก'!AB51,'📝 Four-tier กรอก'!AC88="Y",'📝 Four-tier กรอก'!AD88&lt;&gt;'📝 Four-tier กรอก'!AD51,'📝 Four-tier กรอก'!AE88="Y"),"❌ Misc.",IF(AND('📝 Four-tier กรอก'!AB88&lt;&gt;'📝 Four-tier กรอก'!AB51,'📝 Four-tier กรอก'!AC88="N",'📝 Four-tier กรอก'!AD88&lt;&gt;'📝 Four-tier กรอก'!AD51,'📝 Four-tier กรอก'!AE88="N"),"❓ NoK","🤔 Partial")))))</f>
        <v/>
      </c>
      <c r="K87" s="67">
        <f>IF(OR('📝 Four-tier กรอก'!AF88="",'📝 Four-tier กรอก'!AH88=""),"—",IF(AND('📝 Four-tier กรอก'!AF88='📝 Four-tier กรอก'!AF51,'📝 Four-tier กรอก'!AG88="Y",'📝 Four-tier กรอก'!AH88='📝 Four-tier กรอก'!AH51,'📝 Four-tier กรอก'!AI88="Y"),"✅ Sound",IF(AND('📝 Four-tier กรอก'!AF88='📝 Four-tier กรอก'!AF51,'📝 Four-tier กรอก'!AG88="Y",'📝 Four-tier กรอก'!AH88&lt;&gt;'📝 Four-tier กรอก'!AH51,'📝 Four-tier กรอก'!AI88="Y"),"🎲 Guess",IF(AND('📝 Four-tier กรอก'!AF88&lt;&gt;'📝 Four-tier กรอก'!AF51,'📝 Four-tier กรอก'!AG88="Y",'📝 Four-tier กรอก'!AH88&lt;&gt;'📝 Four-tier กรอก'!AH51,'📝 Four-tier กรอก'!AI88="Y"),"❌ Misc.",IF(AND('📝 Four-tier กรอก'!AF88&lt;&gt;'📝 Four-tier กรอก'!AF51,'📝 Four-tier กรอก'!AG88="N",'📝 Four-tier กรอก'!AH88&lt;&gt;'📝 Four-tier กรอก'!AH51,'📝 Four-tier กรอก'!AI88="N"),"❓ NoK","🤔 Partial")))))</f>
        <v/>
      </c>
      <c r="L87" s="67">
        <f>IF(OR('📝 Four-tier กรอก'!AJ88="",'📝 Four-tier กรอก'!AL88=""),"—",IF(AND('📝 Four-tier กรอก'!AJ88='📝 Four-tier กรอก'!AJ51,'📝 Four-tier กรอก'!AK88="Y",'📝 Four-tier กรอก'!AL88='📝 Four-tier กรอก'!AL51,'📝 Four-tier กรอก'!AM88="Y"),"✅ Sound",IF(AND('📝 Four-tier กรอก'!AJ88='📝 Four-tier กรอก'!AJ51,'📝 Four-tier กรอก'!AK88="Y",'📝 Four-tier กรอก'!AL88&lt;&gt;'📝 Four-tier กรอก'!AL51,'📝 Four-tier กรอก'!AM88="Y"),"🎲 Guess",IF(AND('📝 Four-tier กรอก'!AJ88&lt;&gt;'📝 Four-tier กรอก'!AJ51,'📝 Four-tier กรอก'!AK88="Y",'📝 Four-tier กรอก'!AL88&lt;&gt;'📝 Four-tier กรอก'!AL51,'📝 Four-tier กรอก'!AM88="Y"),"❌ Misc.",IF(AND('📝 Four-tier กรอก'!AJ88&lt;&gt;'📝 Four-tier กรอก'!AJ51,'📝 Four-tier กรอก'!AK88="N",'📝 Four-tier กรอก'!AL88&lt;&gt;'📝 Four-tier กรอก'!AL51,'📝 Four-tier กรอก'!AM88="N"),"❓ NoK","🤔 Partial")))))</f>
        <v/>
      </c>
      <c r="M87" s="67">
        <f>IF(OR('📝 Four-tier กรอก'!AN88="",'📝 Four-tier กรอก'!AP88=""),"—",IF(AND('📝 Four-tier กรอก'!AN88='📝 Four-tier กรอก'!AN51,'📝 Four-tier กรอก'!AO88="Y",'📝 Four-tier กรอก'!AP88='📝 Four-tier กรอก'!AP51,'📝 Four-tier กรอก'!AQ88="Y"),"✅ Sound",IF(AND('📝 Four-tier กรอก'!AN88='📝 Four-tier กรอก'!AN51,'📝 Four-tier กรอก'!AO88="Y",'📝 Four-tier กรอก'!AP88&lt;&gt;'📝 Four-tier กรอก'!AP51,'📝 Four-tier กรอก'!AQ88="Y"),"🎲 Guess",IF(AND('📝 Four-tier กรอก'!AN88&lt;&gt;'📝 Four-tier กรอก'!AN51,'📝 Four-tier กรอก'!AO88="Y",'📝 Four-tier กรอก'!AP88&lt;&gt;'📝 Four-tier กรอก'!AP51,'📝 Four-tier กรอก'!AQ88="Y"),"❌ Misc.",IF(AND('📝 Four-tier กรอก'!AN88&lt;&gt;'📝 Four-tier กรอก'!AN51,'📝 Four-tier กรอก'!AO88="N",'📝 Four-tier กรอก'!AP88&lt;&gt;'📝 Four-tier กรอก'!AP51,'📝 Four-tier กรอก'!AQ88="N"),"❓ NoK","🤔 Partial")))))</f>
        <v/>
      </c>
      <c r="N87" s="67">
        <f>IF(OR('📝 Four-tier กรอก'!AR88="",'📝 Four-tier กรอก'!AT88=""),"—",IF(AND('📝 Four-tier กรอก'!AR88='📝 Four-tier กรอก'!AR51,'📝 Four-tier กรอก'!AS88="Y",'📝 Four-tier กรอก'!AT88='📝 Four-tier กรอก'!AT51,'📝 Four-tier กรอก'!AU88="Y"),"✅ Sound",IF(AND('📝 Four-tier กรอก'!AR88='📝 Four-tier กรอก'!AR51,'📝 Four-tier กรอก'!AS88="Y",'📝 Four-tier กรอก'!AT88&lt;&gt;'📝 Four-tier กรอก'!AT51,'📝 Four-tier กรอก'!AU88="Y"),"🎲 Guess",IF(AND('📝 Four-tier กรอก'!AR88&lt;&gt;'📝 Four-tier กรอก'!AR51,'📝 Four-tier กรอก'!AS88="Y",'📝 Four-tier กรอก'!AT88&lt;&gt;'📝 Four-tier กรอก'!AT51,'📝 Four-tier กรอก'!AU88="Y"),"❌ Misc.",IF(AND('📝 Four-tier กรอก'!AR88&lt;&gt;'📝 Four-tier กรอก'!AR51,'📝 Four-tier กรอก'!AS88="N",'📝 Four-tier กรอก'!AT88&lt;&gt;'📝 Four-tier กรอก'!AT51,'📝 Four-tier กรอก'!AU88="N"),"❓ NoK","🤔 Partial")))))</f>
        <v/>
      </c>
      <c r="O87" s="67">
        <f>IF(OR('📝 Four-tier กรอก'!AV88="",'📝 Four-tier กรอก'!AX88=""),"—",IF(AND('📝 Four-tier กรอก'!AV88='📝 Four-tier กรอก'!AV51,'📝 Four-tier กรอก'!AW88="Y",'📝 Four-tier กรอก'!AX88='📝 Four-tier กรอก'!AX51,'📝 Four-tier กรอก'!AY88="Y"),"✅ Sound",IF(AND('📝 Four-tier กรอก'!AV88='📝 Four-tier กรอก'!AV51,'📝 Four-tier กรอก'!AW88="Y",'📝 Four-tier กรอก'!AX88&lt;&gt;'📝 Four-tier กรอก'!AX51,'📝 Four-tier กรอก'!AY88="Y"),"🎲 Guess",IF(AND('📝 Four-tier กรอก'!AV88&lt;&gt;'📝 Four-tier กรอก'!AV51,'📝 Four-tier กรอก'!AW88="Y",'📝 Four-tier กรอก'!AX88&lt;&gt;'📝 Four-tier กรอก'!AX51,'📝 Four-tier กรอก'!AY88="Y"),"❌ Misc.",IF(AND('📝 Four-tier กรอก'!AV88&lt;&gt;'📝 Four-tier กรอก'!AV51,'📝 Four-tier กรอก'!AW88="N",'📝 Four-tier กรอก'!AX88&lt;&gt;'📝 Four-tier กรอก'!AX51,'📝 Four-tier กรอก'!AY88="N"),"❓ NoK","🤔 Partial")))))</f>
        <v/>
      </c>
      <c r="P87" s="67">
        <f>IF(OR('📝 Four-tier กรอก'!AZ88="",'📝 Four-tier กรอก'!BB88=""),"—",IF(AND('📝 Four-tier กรอก'!AZ88='📝 Four-tier กรอก'!AZ51,'📝 Four-tier กรอก'!BA88="Y",'📝 Four-tier กรอก'!BB88='📝 Four-tier กรอก'!BB51,'📝 Four-tier กรอก'!BC88="Y"),"✅ Sound",IF(AND('📝 Four-tier กรอก'!AZ88='📝 Four-tier กรอก'!AZ51,'📝 Four-tier กรอก'!BA88="Y",'📝 Four-tier กรอก'!BB88&lt;&gt;'📝 Four-tier กรอก'!BB51,'📝 Four-tier กรอก'!BC88="Y"),"🎲 Guess",IF(AND('📝 Four-tier กรอก'!AZ88&lt;&gt;'📝 Four-tier กรอก'!AZ51,'📝 Four-tier กรอก'!BA88="Y",'📝 Four-tier กรอก'!BB88&lt;&gt;'📝 Four-tier กรอก'!BB51,'📝 Four-tier กรอก'!BC88="Y"),"❌ Misc.",IF(AND('📝 Four-tier กรอก'!AZ88&lt;&gt;'📝 Four-tier กรอก'!AZ51,'📝 Four-tier กรอก'!BA88="N",'📝 Four-tier กรอก'!BB88&lt;&gt;'📝 Four-tier กรอก'!BB51,'📝 Four-tier กรอก'!BC88="N"),"❓ NoK","🤔 Partial")))))</f>
        <v/>
      </c>
      <c r="Q87" s="67">
        <f>IF(OR('📝 Four-tier กรอก'!BD88="",'📝 Four-tier กรอก'!BF88=""),"—",IF(AND('📝 Four-tier กรอก'!BD88='📝 Four-tier กรอก'!BD51,'📝 Four-tier กรอก'!BE88="Y",'📝 Four-tier กรอก'!BF88='📝 Four-tier กรอก'!BF51,'📝 Four-tier กรอก'!BG88="Y"),"✅ Sound",IF(AND('📝 Four-tier กรอก'!BD88='📝 Four-tier กรอก'!BD51,'📝 Four-tier กรอก'!BE88="Y",'📝 Four-tier กรอก'!BF88&lt;&gt;'📝 Four-tier กรอก'!BF51,'📝 Four-tier กรอก'!BG88="Y"),"🎲 Guess",IF(AND('📝 Four-tier กรอก'!BD88&lt;&gt;'📝 Four-tier กรอก'!BD51,'📝 Four-tier กรอก'!BE88="Y",'📝 Four-tier กรอก'!BF88&lt;&gt;'📝 Four-tier กรอก'!BF51,'📝 Four-tier กรอก'!BG88="Y"),"❌ Misc.",IF(AND('📝 Four-tier กรอก'!BD88&lt;&gt;'📝 Four-tier กรอก'!BD51,'📝 Four-tier กรอก'!BE88="N",'📝 Four-tier กรอก'!BF88&lt;&gt;'📝 Four-tier กรอก'!BF51,'📝 Four-tier กรอก'!BG88="N"),"❓ NoK","🤔 Partial")))))</f>
        <v/>
      </c>
      <c r="R87" s="67">
        <f>IF(OR('📝 Four-tier กรอก'!BH88="",'📝 Four-tier กรอก'!BJ88=""),"—",IF(AND('📝 Four-tier กรอก'!BH88='📝 Four-tier กรอก'!BH51,'📝 Four-tier กรอก'!BI88="Y",'📝 Four-tier กรอก'!BJ88='📝 Four-tier กรอก'!BJ51,'📝 Four-tier กรอก'!BK88="Y"),"✅ Sound",IF(AND('📝 Four-tier กรอก'!BH88='📝 Four-tier กรอก'!BH51,'📝 Four-tier กรอก'!BI88="Y",'📝 Four-tier กรอก'!BJ88&lt;&gt;'📝 Four-tier กรอก'!BJ51,'📝 Four-tier กรอก'!BK88="Y"),"🎲 Guess",IF(AND('📝 Four-tier กรอก'!BH88&lt;&gt;'📝 Four-tier กรอก'!BH51,'📝 Four-tier กรอก'!BI88="Y",'📝 Four-tier กรอก'!BJ88&lt;&gt;'📝 Four-tier กรอก'!BJ51,'📝 Four-tier กรอก'!BK88="Y"),"❌ Misc.",IF(AND('📝 Four-tier กรอก'!BH88&lt;&gt;'📝 Four-tier กรอก'!BH51,'📝 Four-tier กรอก'!BI88="N",'📝 Four-tier กรอก'!BJ88&lt;&gt;'📝 Four-tier กรอก'!BJ51,'📝 Four-tier กรอก'!BK88="N"),"❓ NoK","🤔 Partial")))))</f>
        <v/>
      </c>
      <c r="S87" s="67">
        <f>IF(OR('📝 Four-tier กรอก'!BL88="",'📝 Four-tier กรอก'!BN88=""),"—",IF(AND('📝 Four-tier กรอก'!BL88='📝 Four-tier กรอก'!BL51,'📝 Four-tier กรอก'!BM88="Y",'📝 Four-tier กรอก'!BN88='📝 Four-tier กรอก'!BN51,'📝 Four-tier กรอก'!BO88="Y"),"✅ Sound",IF(AND('📝 Four-tier กรอก'!BL88='📝 Four-tier กรอก'!BL51,'📝 Four-tier กรอก'!BM88="Y",'📝 Four-tier กรอก'!BN88&lt;&gt;'📝 Four-tier กรอก'!BN51,'📝 Four-tier กรอก'!BO88="Y"),"🎲 Guess",IF(AND('📝 Four-tier กรอก'!BL88&lt;&gt;'📝 Four-tier กรอก'!BL51,'📝 Four-tier กรอก'!BM88="Y",'📝 Four-tier กรอก'!BN88&lt;&gt;'📝 Four-tier กรอก'!BN51,'📝 Four-tier กรอก'!BO88="Y"),"❌ Misc.",IF(AND('📝 Four-tier กรอก'!BL88&lt;&gt;'📝 Four-tier กรอก'!BL51,'📝 Four-tier กรอก'!BM88="N",'📝 Four-tier กรอก'!BN88&lt;&gt;'📝 Four-tier กรอก'!BN51,'📝 Four-tier กรอก'!BO88="N"),"❓ NoK","🤔 Partial")))))</f>
        <v/>
      </c>
      <c r="T87" s="67">
        <f>IF(OR('📝 Four-tier กรอก'!BP88="",'📝 Four-tier กรอก'!BR88=""),"—",IF(AND('📝 Four-tier กรอก'!BP88='📝 Four-tier กรอก'!BP51,'📝 Four-tier กรอก'!BQ88="Y",'📝 Four-tier กรอก'!BR88='📝 Four-tier กรอก'!BR51,'📝 Four-tier กรอก'!BS88="Y"),"✅ Sound",IF(AND('📝 Four-tier กรอก'!BP88='📝 Four-tier กรอก'!BP51,'📝 Four-tier กรอก'!BQ88="Y",'📝 Four-tier กรอก'!BR88&lt;&gt;'📝 Four-tier กรอก'!BR51,'📝 Four-tier กรอก'!BS88="Y"),"🎲 Guess",IF(AND('📝 Four-tier กรอก'!BP88&lt;&gt;'📝 Four-tier กรอก'!BP51,'📝 Four-tier กรอก'!BQ88="Y",'📝 Four-tier กรอก'!BR88&lt;&gt;'📝 Four-tier กรอก'!BR51,'📝 Four-tier กรอก'!BS88="Y"),"❌ Misc.",IF(AND('📝 Four-tier กรอก'!BP88&lt;&gt;'📝 Four-tier กรอก'!BP51,'📝 Four-tier กรอก'!BQ88="N",'📝 Four-tier กรอก'!BR88&lt;&gt;'📝 Four-tier กรอก'!BR51,'📝 Four-tier กรอก'!BS88="N"),"❓ NoK","🤔 Partial")))))</f>
        <v/>
      </c>
      <c r="U87" s="67">
        <f>IF(OR('📝 Four-tier กรอก'!BT88="",'📝 Four-tier กรอก'!BV88=""),"—",IF(AND('📝 Four-tier กรอก'!BT88='📝 Four-tier กรอก'!BT51,'📝 Four-tier กรอก'!BU88="Y",'📝 Four-tier กรอก'!BV88='📝 Four-tier กรอก'!BV51,'📝 Four-tier กรอก'!BW88="Y"),"✅ Sound",IF(AND('📝 Four-tier กรอก'!BT88='📝 Four-tier กรอก'!BT51,'📝 Four-tier กรอก'!BU88="Y",'📝 Four-tier กรอก'!BV88&lt;&gt;'📝 Four-tier กรอก'!BV51,'📝 Four-tier กรอก'!BW88="Y"),"🎲 Guess",IF(AND('📝 Four-tier กรอก'!BT88&lt;&gt;'📝 Four-tier กรอก'!BT51,'📝 Four-tier กรอก'!BU88="Y",'📝 Four-tier กรอก'!BV88&lt;&gt;'📝 Four-tier กรอก'!BV51,'📝 Four-tier กรอก'!BW88="Y"),"❌ Misc.",IF(AND('📝 Four-tier กรอก'!BT88&lt;&gt;'📝 Four-tier กรอก'!BT51,'📝 Four-tier กรอก'!BU88="N",'📝 Four-tier กรอก'!BV88&lt;&gt;'📝 Four-tier กรอก'!BV51,'📝 Four-tier กรอก'!BW88="N"),"❓ NoK","🤔 Partial")))))</f>
        <v/>
      </c>
      <c r="V87" s="67">
        <f>IF(OR('📝 Four-tier กรอก'!BX88="",'📝 Four-tier กรอก'!BZ88=""),"—",IF(AND('📝 Four-tier กรอก'!BX88='📝 Four-tier กรอก'!BX51,'📝 Four-tier กรอก'!BY88="Y",'📝 Four-tier กรอก'!BZ88='📝 Four-tier กรอก'!BZ51,'📝 Four-tier กรอก'!CA88="Y"),"✅ Sound",IF(AND('📝 Four-tier กรอก'!BX88='📝 Four-tier กรอก'!BX51,'📝 Four-tier กรอก'!BY88="Y",'📝 Four-tier กรอก'!BZ88&lt;&gt;'📝 Four-tier กรอก'!BZ51,'📝 Four-tier กรอก'!CA88="Y"),"🎲 Guess",IF(AND('📝 Four-tier กรอก'!BX88&lt;&gt;'📝 Four-tier กรอก'!BX51,'📝 Four-tier กรอก'!BY88="Y",'📝 Four-tier กรอก'!BZ88&lt;&gt;'📝 Four-tier กรอก'!BZ51,'📝 Four-tier กรอก'!CA88="Y"),"❌ Misc.",IF(AND('📝 Four-tier กรอก'!BX88&lt;&gt;'📝 Four-tier กรอก'!BX51,'📝 Four-tier กรอก'!BY88="N",'📝 Four-tier กรอก'!BZ88&lt;&gt;'📝 Four-tier กรอก'!BZ51,'📝 Four-tier กรอก'!CA88="N"),"❓ NoK","🤔 Partial")))))</f>
        <v/>
      </c>
      <c r="W87" s="67">
        <f>IF(OR('📝 Four-tier กรอก'!CB88="",'📝 Four-tier กรอก'!CD88=""),"—",IF(AND('📝 Four-tier กรอก'!CB88='📝 Four-tier กรอก'!CB51,'📝 Four-tier กรอก'!CC88="Y",'📝 Four-tier กรอก'!CD88='📝 Four-tier กรอก'!CD51,'📝 Four-tier กรอก'!CE88="Y"),"✅ Sound",IF(AND('📝 Four-tier กรอก'!CB88='📝 Four-tier กรอก'!CB51,'📝 Four-tier กรอก'!CC88="Y",'📝 Four-tier กรอก'!CD88&lt;&gt;'📝 Four-tier กรอก'!CD51,'📝 Four-tier กรอก'!CE88="Y"),"🎲 Guess",IF(AND('📝 Four-tier กรอก'!CB88&lt;&gt;'📝 Four-tier กรอก'!CB51,'📝 Four-tier กรอก'!CC88="Y",'📝 Four-tier กรอก'!CD88&lt;&gt;'📝 Four-tier กรอก'!CD51,'📝 Four-tier กรอก'!CE88="Y"),"❌ Misc.",IF(AND('📝 Four-tier กรอก'!CB88&lt;&gt;'📝 Four-tier กรอก'!CB51,'📝 Four-tier กรอก'!CC88="N",'📝 Four-tier กรอก'!CD88&lt;&gt;'📝 Four-tier กรอก'!CD51,'📝 Four-tier กรอก'!CE88="N"),"❓ NoK","🤔 Partial")))))</f>
        <v/>
      </c>
      <c r="X87" s="37">
        <f>COUNTIF(D87:W87,"✅ Sound")</f>
        <v/>
      </c>
      <c r="Y87" s="37">
        <f>COUNTIF(D87:W87,"❌ Misc.")</f>
        <v/>
      </c>
      <c r="Z87" s="37">
        <f>COUNTIF(D87:W87,"🎲 Guess")</f>
        <v/>
      </c>
      <c r="AA87" s="37">
        <f>COUNTIF(D87:W87,"❓ NoK")</f>
        <v/>
      </c>
    </row>
    <row r="88" ht="18" customHeight="1">
      <c r="B88" s="46">
        <f>'📝 Four-tier กรอก'!B89</f>
        <v/>
      </c>
      <c r="C88" s="51">
        <f>'📝 Four-tier กรอก'!C89</f>
        <v/>
      </c>
      <c r="D88" s="68">
        <f>IF(OR('📝 Four-tier กรอก'!D89="",'📝 Four-tier กรอก'!F89=""),"—",IF(AND('📝 Four-tier กรอก'!D89='📝 Four-tier กรอก'!D51,'📝 Four-tier กรอก'!E89="Y",'📝 Four-tier กรอก'!F89='📝 Four-tier กรอก'!F51,'📝 Four-tier กรอก'!G89="Y"),"✅ Sound",IF(AND('📝 Four-tier กรอก'!D89='📝 Four-tier กรอก'!D51,'📝 Four-tier กรอก'!E89="Y",'📝 Four-tier กรอก'!F89&lt;&gt;'📝 Four-tier กรอก'!F51,'📝 Four-tier กรอก'!G89="Y"),"🎲 Guess",IF(AND('📝 Four-tier กรอก'!D89&lt;&gt;'📝 Four-tier กรอก'!D51,'📝 Four-tier กรอก'!E89="Y",'📝 Four-tier กรอก'!F89&lt;&gt;'📝 Four-tier กรอก'!F51,'📝 Four-tier กรอก'!G89="Y"),"❌ Misc.",IF(AND('📝 Four-tier กรอก'!D89&lt;&gt;'📝 Four-tier กรอก'!D51,'📝 Four-tier กรอก'!E89="N",'📝 Four-tier กรอก'!F89&lt;&gt;'📝 Four-tier กรอก'!F51,'📝 Four-tier กรอก'!G89="N"),"❓ NoK","🤔 Partial")))))</f>
        <v/>
      </c>
      <c r="E88" s="68">
        <f>IF(OR('📝 Four-tier กรอก'!H89="",'📝 Four-tier กรอก'!J89=""),"—",IF(AND('📝 Four-tier กรอก'!H89='📝 Four-tier กรอก'!H51,'📝 Four-tier กรอก'!I89="Y",'📝 Four-tier กรอก'!J89='📝 Four-tier กรอก'!J51,'📝 Four-tier กรอก'!K89="Y"),"✅ Sound",IF(AND('📝 Four-tier กรอก'!H89='📝 Four-tier กรอก'!H51,'📝 Four-tier กรอก'!I89="Y",'📝 Four-tier กรอก'!J89&lt;&gt;'📝 Four-tier กรอก'!J51,'📝 Four-tier กรอก'!K89="Y"),"🎲 Guess",IF(AND('📝 Four-tier กรอก'!H89&lt;&gt;'📝 Four-tier กรอก'!H51,'📝 Four-tier กรอก'!I89="Y",'📝 Four-tier กรอก'!J89&lt;&gt;'📝 Four-tier กรอก'!J51,'📝 Four-tier กรอก'!K89="Y"),"❌ Misc.",IF(AND('📝 Four-tier กรอก'!H89&lt;&gt;'📝 Four-tier กรอก'!H51,'📝 Four-tier กรอก'!I89="N",'📝 Four-tier กรอก'!J89&lt;&gt;'📝 Four-tier กรอก'!J51,'📝 Four-tier กรอก'!K89="N"),"❓ NoK","🤔 Partial")))))</f>
        <v/>
      </c>
      <c r="F88" s="68">
        <f>IF(OR('📝 Four-tier กรอก'!L89="",'📝 Four-tier กรอก'!N89=""),"—",IF(AND('📝 Four-tier กรอก'!L89='📝 Four-tier กรอก'!L51,'📝 Four-tier กรอก'!M89="Y",'📝 Four-tier กรอก'!N89='📝 Four-tier กรอก'!N51,'📝 Four-tier กรอก'!O89="Y"),"✅ Sound",IF(AND('📝 Four-tier กรอก'!L89='📝 Four-tier กรอก'!L51,'📝 Four-tier กรอก'!M89="Y",'📝 Four-tier กรอก'!N89&lt;&gt;'📝 Four-tier กรอก'!N51,'📝 Four-tier กรอก'!O89="Y"),"🎲 Guess",IF(AND('📝 Four-tier กรอก'!L89&lt;&gt;'📝 Four-tier กรอก'!L51,'📝 Four-tier กรอก'!M89="Y",'📝 Four-tier กรอก'!N89&lt;&gt;'📝 Four-tier กรอก'!N51,'📝 Four-tier กรอก'!O89="Y"),"❌ Misc.",IF(AND('📝 Four-tier กรอก'!L89&lt;&gt;'📝 Four-tier กรอก'!L51,'📝 Four-tier กรอก'!M89="N",'📝 Four-tier กรอก'!N89&lt;&gt;'📝 Four-tier กรอก'!N51,'📝 Four-tier กรอก'!O89="N"),"❓ NoK","🤔 Partial")))))</f>
        <v/>
      </c>
      <c r="G88" s="68">
        <f>IF(OR('📝 Four-tier กรอก'!P89="",'📝 Four-tier กรอก'!R89=""),"—",IF(AND('📝 Four-tier กรอก'!P89='📝 Four-tier กรอก'!P51,'📝 Four-tier กรอก'!Q89="Y",'📝 Four-tier กรอก'!R89='📝 Four-tier กรอก'!R51,'📝 Four-tier กรอก'!S89="Y"),"✅ Sound",IF(AND('📝 Four-tier กรอก'!P89='📝 Four-tier กรอก'!P51,'📝 Four-tier กรอก'!Q89="Y",'📝 Four-tier กรอก'!R89&lt;&gt;'📝 Four-tier กรอก'!R51,'📝 Four-tier กรอก'!S89="Y"),"🎲 Guess",IF(AND('📝 Four-tier กรอก'!P89&lt;&gt;'📝 Four-tier กรอก'!P51,'📝 Four-tier กรอก'!Q89="Y",'📝 Four-tier กรอก'!R89&lt;&gt;'📝 Four-tier กรอก'!R51,'📝 Four-tier กรอก'!S89="Y"),"❌ Misc.",IF(AND('📝 Four-tier กรอก'!P89&lt;&gt;'📝 Four-tier กรอก'!P51,'📝 Four-tier กรอก'!Q89="N",'📝 Four-tier กรอก'!R89&lt;&gt;'📝 Four-tier กรอก'!R51,'📝 Four-tier กรอก'!S89="N"),"❓ NoK","🤔 Partial")))))</f>
        <v/>
      </c>
      <c r="H88" s="68">
        <f>IF(OR('📝 Four-tier กรอก'!T89="",'📝 Four-tier กรอก'!V89=""),"—",IF(AND('📝 Four-tier กรอก'!T89='📝 Four-tier กรอก'!T51,'📝 Four-tier กรอก'!U89="Y",'📝 Four-tier กรอก'!V89='📝 Four-tier กรอก'!V51,'📝 Four-tier กรอก'!W89="Y"),"✅ Sound",IF(AND('📝 Four-tier กรอก'!T89='📝 Four-tier กรอก'!T51,'📝 Four-tier กรอก'!U89="Y",'📝 Four-tier กรอก'!V89&lt;&gt;'📝 Four-tier กรอก'!V51,'📝 Four-tier กรอก'!W89="Y"),"🎲 Guess",IF(AND('📝 Four-tier กรอก'!T89&lt;&gt;'📝 Four-tier กรอก'!T51,'📝 Four-tier กรอก'!U89="Y",'📝 Four-tier กรอก'!V89&lt;&gt;'📝 Four-tier กรอก'!V51,'📝 Four-tier กรอก'!W89="Y"),"❌ Misc.",IF(AND('📝 Four-tier กรอก'!T89&lt;&gt;'📝 Four-tier กรอก'!T51,'📝 Four-tier กรอก'!U89="N",'📝 Four-tier กรอก'!V89&lt;&gt;'📝 Four-tier กรอก'!V51,'📝 Four-tier กรอก'!W89="N"),"❓ NoK","🤔 Partial")))))</f>
        <v/>
      </c>
      <c r="I88" s="68">
        <f>IF(OR('📝 Four-tier กรอก'!X89="",'📝 Four-tier กรอก'!Z89=""),"—",IF(AND('📝 Four-tier กรอก'!X89='📝 Four-tier กรอก'!X51,'📝 Four-tier กรอก'!Y89="Y",'📝 Four-tier กรอก'!Z89='📝 Four-tier กรอก'!Z51,'📝 Four-tier กรอก'!AA89="Y"),"✅ Sound",IF(AND('📝 Four-tier กรอก'!X89='📝 Four-tier กรอก'!X51,'📝 Four-tier กรอก'!Y89="Y",'📝 Four-tier กรอก'!Z89&lt;&gt;'📝 Four-tier กรอก'!Z51,'📝 Four-tier กรอก'!AA89="Y"),"🎲 Guess",IF(AND('📝 Four-tier กรอก'!X89&lt;&gt;'📝 Four-tier กรอก'!X51,'📝 Four-tier กรอก'!Y89="Y",'📝 Four-tier กรอก'!Z89&lt;&gt;'📝 Four-tier กรอก'!Z51,'📝 Four-tier กรอก'!AA89="Y"),"❌ Misc.",IF(AND('📝 Four-tier กรอก'!X89&lt;&gt;'📝 Four-tier กรอก'!X51,'📝 Four-tier กรอก'!Y89="N",'📝 Four-tier กรอก'!Z89&lt;&gt;'📝 Four-tier กรอก'!Z51,'📝 Four-tier กรอก'!AA89="N"),"❓ NoK","🤔 Partial")))))</f>
        <v/>
      </c>
      <c r="J88" s="68">
        <f>IF(OR('📝 Four-tier กรอก'!AB89="",'📝 Four-tier กรอก'!AD89=""),"—",IF(AND('📝 Four-tier กรอก'!AB89='📝 Four-tier กรอก'!AB51,'📝 Four-tier กรอก'!AC89="Y",'📝 Four-tier กรอก'!AD89='📝 Four-tier กรอก'!AD51,'📝 Four-tier กรอก'!AE89="Y"),"✅ Sound",IF(AND('📝 Four-tier กรอก'!AB89='📝 Four-tier กรอก'!AB51,'📝 Four-tier กรอก'!AC89="Y",'📝 Four-tier กรอก'!AD89&lt;&gt;'📝 Four-tier กรอก'!AD51,'📝 Four-tier กรอก'!AE89="Y"),"🎲 Guess",IF(AND('📝 Four-tier กรอก'!AB89&lt;&gt;'📝 Four-tier กรอก'!AB51,'📝 Four-tier กรอก'!AC89="Y",'📝 Four-tier กรอก'!AD89&lt;&gt;'📝 Four-tier กรอก'!AD51,'📝 Four-tier กรอก'!AE89="Y"),"❌ Misc.",IF(AND('📝 Four-tier กรอก'!AB89&lt;&gt;'📝 Four-tier กรอก'!AB51,'📝 Four-tier กรอก'!AC89="N",'📝 Four-tier กรอก'!AD89&lt;&gt;'📝 Four-tier กรอก'!AD51,'📝 Four-tier กรอก'!AE89="N"),"❓ NoK","🤔 Partial")))))</f>
        <v/>
      </c>
      <c r="K88" s="68">
        <f>IF(OR('📝 Four-tier กรอก'!AF89="",'📝 Four-tier กรอก'!AH89=""),"—",IF(AND('📝 Four-tier กรอก'!AF89='📝 Four-tier กรอก'!AF51,'📝 Four-tier กรอก'!AG89="Y",'📝 Four-tier กรอก'!AH89='📝 Four-tier กรอก'!AH51,'📝 Four-tier กรอก'!AI89="Y"),"✅ Sound",IF(AND('📝 Four-tier กรอก'!AF89='📝 Four-tier กรอก'!AF51,'📝 Four-tier กรอก'!AG89="Y",'📝 Four-tier กรอก'!AH89&lt;&gt;'📝 Four-tier กรอก'!AH51,'📝 Four-tier กรอก'!AI89="Y"),"🎲 Guess",IF(AND('📝 Four-tier กรอก'!AF89&lt;&gt;'📝 Four-tier กรอก'!AF51,'📝 Four-tier กรอก'!AG89="Y",'📝 Four-tier กรอก'!AH89&lt;&gt;'📝 Four-tier กรอก'!AH51,'📝 Four-tier กรอก'!AI89="Y"),"❌ Misc.",IF(AND('📝 Four-tier กรอก'!AF89&lt;&gt;'📝 Four-tier กรอก'!AF51,'📝 Four-tier กรอก'!AG89="N",'📝 Four-tier กรอก'!AH89&lt;&gt;'📝 Four-tier กรอก'!AH51,'📝 Four-tier กรอก'!AI89="N"),"❓ NoK","🤔 Partial")))))</f>
        <v/>
      </c>
      <c r="L88" s="68">
        <f>IF(OR('📝 Four-tier กรอก'!AJ89="",'📝 Four-tier กรอก'!AL89=""),"—",IF(AND('📝 Four-tier กรอก'!AJ89='📝 Four-tier กรอก'!AJ51,'📝 Four-tier กรอก'!AK89="Y",'📝 Four-tier กรอก'!AL89='📝 Four-tier กรอก'!AL51,'📝 Four-tier กรอก'!AM89="Y"),"✅ Sound",IF(AND('📝 Four-tier กรอก'!AJ89='📝 Four-tier กรอก'!AJ51,'📝 Four-tier กรอก'!AK89="Y",'📝 Four-tier กรอก'!AL89&lt;&gt;'📝 Four-tier กรอก'!AL51,'📝 Four-tier กรอก'!AM89="Y"),"🎲 Guess",IF(AND('📝 Four-tier กรอก'!AJ89&lt;&gt;'📝 Four-tier กรอก'!AJ51,'📝 Four-tier กรอก'!AK89="Y",'📝 Four-tier กรอก'!AL89&lt;&gt;'📝 Four-tier กรอก'!AL51,'📝 Four-tier กรอก'!AM89="Y"),"❌ Misc.",IF(AND('📝 Four-tier กรอก'!AJ89&lt;&gt;'📝 Four-tier กรอก'!AJ51,'📝 Four-tier กรอก'!AK89="N",'📝 Four-tier กรอก'!AL89&lt;&gt;'📝 Four-tier กรอก'!AL51,'📝 Four-tier กรอก'!AM89="N"),"❓ NoK","🤔 Partial")))))</f>
        <v/>
      </c>
      <c r="M88" s="68">
        <f>IF(OR('📝 Four-tier กรอก'!AN89="",'📝 Four-tier กรอก'!AP89=""),"—",IF(AND('📝 Four-tier กรอก'!AN89='📝 Four-tier กรอก'!AN51,'📝 Four-tier กรอก'!AO89="Y",'📝 Four-tier กรอก'!AP89='📝 Four-tier กรอก'!AP51,'📝 Four-tier กรอก'!AQ89="Y"),"✅ Sound",IF(AND('📝 Four-tier กรอก'!AN89='📝 Four-tier กรอก'!AN51,'📝 Four-tier กรอก'!AO89="Y",'📝 Four-tier กรอก'!AP89&lt;&gt;'📝 Four-tier กรอก'!AP51,'📝 Four-tier กรอก'!AQ89="Y"),"🎲 Guess",IF(AND('📝 Four-tier กรอก'!AN89&lt;&gt;'📝 Four-tier กรอก'!AN51,'📝 Four-tier กรอก'!AO89="Y",'📝 Four-tier กรอก'!AP89&lt;&gt;'📝 Four-tier กรอก'!AP51,'📝 Four-tier กรอก'!AQ89="Y"),"❌ Misc.",IF(AND('📝 Four-tier กรอก'!AN89&lt;&gt;'📝 Four-tier กรอก'!AN51,'📝 Four-tier กรอก'!AO89="N",'📝 Four-tier กรอก'!AP89&lt;&gt;'📝 Four-tier กรอก'!AP51,'📝 Four-tier กรอก'!AQ89="N"),"❓ NoK","🤔 Partial")))))</f>
        <v/>
      </c>
      <c r="N88" s="68">
        <f>IF(OR('📝 Four-tier กรอก'!AR89="",'📝 Four-tier กรอก'!AT89=""),"—",IF(AND('📝 Four-tier กรอก'!AR89='📝 Four-tier กรอก'!AR51,'📝 Four-tier กรอก'!AS89="Y",'📝 Four-tier กรอก'!AT89='📝 Four-tier กรอก'!AT51,'📝 Four-tier กรอก'!AU89="Y"),"✅ Sound",IF(AND('📝 Four-tier กรอก'!AR89='📝 Four-tier กรอก'!AR51,'📝 Four-tier กรอก'!AS89="Y",'📝 Four-tier กรอก'!AT89&lt;&gt;'📝 Four-tier กรอก'!AT51,'📝 Four-tier กรอก'!AU89="Y"),"🎲 Guess",IF(AND('📝 Four-tier กรอก'!AR89&lt;&gt;'📝 Four-tier กรอก'!AR51,'📝 Four-tier กรอก'!AS89="Y",'📝 Four-tier กรอก'!AT89&lt;&gt;'📝 Four-tier กรอก'!AT51,'📝 Four-tier กรอก'!AU89="Y"),"❌ Misc.",IF(AND('📝 Four-tier กรอก'!AR89&lt;&gt;'📝 Four-tier กรอก'!AR51,'📝 Four-tier กรอก'!AS89="N",'📝 Four-tier กรอก'!AT89&lt;&gt;'📝 Four-tier กรอก'!AT51,'📝 Four-tier กรอก'!AU89="N"),"❓ NoK","🤔 Partial")))))</f>
        <v/>
      </c>
      <c r="O88" s="68">
        <f>IF(OR('📝 Four-tier กรอก'!AV89="",'📝 Four-tier กรอก'!AX89=""),"—",IF(AND('📝 Four-tier กรอก'!AV89='📝 Four-tier กรอก'!AV51,'📝 Four-tier กรอก'!AW89="Y",'📝 Four-tier กรอก'!AX89='📝 Four-tier กรอก'!AX51,'📝 Four-tier กรอก'!AY89="Y"),"✅ Sound",IF(AND('📝 Four-tier กรอก'!AV89='📝 Four-tier กรอก'!AV51,'📝 Four-tier กรอก'!AW89="Y",'📝 Four-tier กรอก'!AX89&lt;&gt;'📝 Four-tier กรอก'!AX51,'📝 Four-tier กรอก'!AY89="Y"),"🎲 Guess",IF(AND('📝 Four-tier กรอก'!AV89&lt;&gt;'📝 Four-tier กรอก'!AV51,'📝 Four-tier กรอก'!AW89="Y",'📝 Four-tier กรอก'!AX89&lt;&gt;'📝 Four-tier กรอก'!AX51,'📝 Four-tier กรอก'!AY89="Y"),"❌ Misc.",IF(AND('📝 Four-tier กรอก'!AV89&lt;&gt;'📝 Four-tier กรอก'!AV51,'📝 Four-tier กรอก'!AW89="N",'📝 Four-tier กรอก'!AX89&lt;&gt;'📝 Four-tier กรอก'!AX51,'📝 Four-tier กรอก'!AY89="N"),"❓ NoK","🤔 Partial")))))</f>
        <v/>
      </c>
      <c r="P88" s="68">
        <f>IF(OR('📝 Four-tier กรอก'!AZ89="",'📝 Four-tier กรอก'!BB89=""),"—",IF(AND('📝 Four-tier กรอก'!AZ89='📝 Four-tier กรอก'!AZ51,'📝 Four-tier กรอก'!BA89="Y",'📝 Four-tier กรอก'!BB89='📝 Four-tier กรอก'!BB51,'📝 Four-tier กรอก'!BC89="Y"),"✅ Sound",IF(AND('📝 Four-tier กรอก'!AZ89='📝 Four-tier กรอก'!AZ51,'📝 Four-tier กรอก'!BA89="Y",'📝 Four-tier กรอก'!BB89&lt;&gt;'📝 Four-tier กรอก'!BB51,'📝 Four-tier กรอก'!BC89="Y"),"🎲 Guess",IF(AND('📝 Four-tier กรอก'!AZ89&lt;&gt;'📝 Four-tier กรอก'!AZ51,'📝 Four-tier กรอก'!BA89="Y",'📝 Four-tier กรอก'!BB89&lt;&gt;'📝 Four-tier กรอก'!BB51,'📝 Four-tier กรอก'!BC89="Y"),"❌ Misc.",IF(AND('📝 Four-tier กรอก'!AZ89&lt;&gt;'📝 Four-tier กรอก'!AZ51,'📝 Four-tier กรอก'!BA89="N",'📝 Four-tier กรอก'!BB89&lt;&gt;'📝 Four-tier กรอก'!BB51,'📝 Four-tier กรอก'!BC89="N"),"❓ NoK","🤔 Partial")))))</f>
        <v/>
      </c>
      <c r="Q88" s="68">
        <f>IF(OR('📝 Four-tier กรอก'!BD89="",'📝 Four-tier กรอก'!BF89=""),"—",IF(AND('📝 Four-tier กรอก'!BD89='📝 Four-tier กรอก'!BD51,'📝 Four-tier กรอก'!BE89="Y",'📝 Four-tier กรอก'!BF89='📝 Four-tier กรอก'!BF51,'📝 Four-tier กรอก'!BG89="Y"),"✅ Sound",IF(AND('📝 Four-tier กรอก'!BD89='📝 Four-tier กรอก'!BD51,'📝 Four-tier กรอก'!BE89="Y",'📝 Four-tier กรอก'!BF89&lt;&gt;'📝 Four-tier กรอก'!BF51,'📝 Four-tier กรอก'!BG89="Y"),"🎲 Guess",IF(AND('📝 Four-tier กรอก'!BD89&lt;&gt;'📝 Four-tier กรอก'!BD51,'📝 Four-tier กรอก'!BE89="Y",'📝 Four-tier กรอก'!BF89&lt;&gt;'📝 Four-tier กรอก'!BF51,'📝 Four-tier กรอก'!BG89="Y"),"❌ Misc.",IF(AND('📝 Four-tier กรอก'!BD89&lt;&gt;'📝 Four-tier กรอก'!BD51,'📝 Four-tier กรอก'!BE89="N",'📝 Four-tier กรอก'!BF89&lt;&gt;'📝 Four-tier กรอก'!BF51,'📝 Four-tier กรอก'!BG89="N"),"❓ NoK","🤔 Partial")))))</f>
        <v/>
      </c>
      <c r="R88" s="68">
        <f>IF(OR('📝 Four-tier กรอก'!BH89="",'📝 Four-tier กรอก'!BJ89=""),"—",IF(AND('📝 Four-tier กรอก'!BH89='📝 Four-tier กรอก'!BH51,'📝 Four-tier กรอก'!BI89="Y",'📝 Four-tier กรอก'!BJ89='📝 Four-tier กรอก'!BJ51,'📝 Four-tier กรอก'!BK89="Y"),"✅ Sound",IF(AND('📝 Four-tier กรอก'!BH89='📝 Four-tier กรอก'!BH51,'📝 Four-tier กรอก'!BI89="Y",'📝 Four-tier กรอก'!BJ89&lt;&gt;'📝 Four-tier กรอก'!BJ51,'📝 Four-tier กรอก'!BK89="Y"),"🎲 Guess",IF(AND('📝 Four-tier กรอก'!BH89&lt;&gt;'📝 Four-tier กรอก'!BH51,'📝 Four-tier กรอก'!BI89="Y",'📝 Four-tier กรอก'!BJ89&lt;&gt;'📝 Four-tier กรอก'!BJ51,'📝 Four-tier กรอก'!BK89="Y"),"❌ Misc.",IF(AND('📝 Four-tier กรอก'!BH89&lt;&gt;'📝 Four-tier กรอก'!BH51,'📝 Four-tier กรอก'!BI89="N",'📝 Four-tier กรอก'!BJ89&lt;&gt;'📝 Four-tier กรอก'!BJ51,'📝 Four-tier กรอก'!BK89="N"),"❓ NoK","🤔 Partial")))))</f>
        <v/>
      </c>
      <c r="S88" s="68">
        <f>IF(OR('📝 Four-tier กรอก'!BL89="",'📝 Four-tier กรอก'!BN89=""),"—",IF(AND('📝 Four-tier กรอก'!BL89='📝 Four-tier กรอก'!BL51,'📝 Four-tier กรอก'!BM89="Y",'📝 Four-tier กรอก'!BN89='📝 Four-tier กรอก'!BN51,'📝 Four-tier กรอก'!BO89="Y"),"✅ Sound",IF(AND('📝 Four-tier กรอก'!BL89='📝 Four-tier กรอก'!BL51,'📝 Four-tier กรอก'!BM89="Y",'📝 Four-tier กรอก'!BN89&lt;&gt;'📝 Four-tier กรอก'!BN51,'📝 Four-tier กรอก'!BO89="Y"),"🎲 Guess",IF(AND('📝 Four-tier กรอก'!BL89&lt;&gt;'📝 Four-tier กรอก'!BL51,'📝 Four-tier กรอก'!BM89="Y",'📝 Four-tier กรอก'!BN89&lt;&gt;'📝 Four-tier กรอก'!BN51,'📝 Four-tier กรอก'!BO89="Y"),"❌ Misc.",IF(AND('📝 Four-tier กรอก'!BL89&lt;&gt;'📝 Four-tier กรอก'!BL51,'📝 Four-tier กรอก'!BM89="N",'📝 Four-tier กรอก'!BN89&lt;&gt;'📝 Four-tier กรอก'!BN51,'📝 Four-tier กรอก'!BO89="N"),"❓ NoK","🤔 Partial")))))</f>
        <v/>
      </c>
      <c r="T88" s="68">
        <f>IF(OR('📝 Four-tier กรอก'!BP89="",'📝 Four-tier กรอก'!BR89=""),"—",IF(AND('📝 Four-tier กรอก'!BP89='📝 Four-tier กรอก'!BP51,'📝 Four-tier กรอก'!BQ89="Y",'📝 Four-tier กรอก'!BR89='📝 Four-tier กรอก'!BR51,'📝 Four-tier กรอก'!BS89="Y"),"✅ Sound",IF(AND('📝 Four-tier กรอก'!BP89='📝 Four-tier กรอก'!BP51,'📝 Four-tier กรอก'!BQ89="Y",'📝 Four-tier กรอก'!BR89&lt;&gt;'📝 Four-tier กรอก'!BR51,'📝 Four-tier กรอก'!BS89="Y"),"🎲 Guess",IF(AND('📝 Four-tier กรอก'!BP89&lt;&gt;'📝 Four-tier กรอก'!BP51,'📝 Four-tier กรอก'!BQ89="Y",'📝 Four-tier กรอก'!BR89&lt;&gt;'📝 Four-tier กรอก'!BR51,'📝 Four-tier กรอก'!BS89="Y"),"❌ Misc.",IF(AND('📝 Four-tier กรอก'!BP89&lt;&gt;'📝 Four-tier กรอก'!BP51,'📝 Four-tier กรอก'!BQ89="N",'📝 Four-tier กรอก'!BR89&lt;&gt;'📝 Four-tier กรอก'!BR51,'📝 Four-tier กรอก'!BS89="N"),"❓ NoK","🤔 Partial")))))</f>
        <v/>
      </c>
      <c r="U88" s="68">
        <f>IF(OR('📝 Four-tier กรอก'!BT89="",'📝 Four-tier กรอก'!BV89=""),"—",IF(AND('📝 Four-tier กรอก'!BT89='📝 Four-tier กรอก'!BT51,'📝 Four-tier กรอก'!BU89="Y",'📝 Four-tier กรอก'!BV89='📝 Four-tier กรอก'!BV51,'📝 Four-tier กรอก'!BW89="Y"),"✅ Sound",IF(AND('📝 Four-tier กรอก'!BT89='📝 Four-tier กรอก'!BT51,'📝 Four-tier กรอก'!BU89="Y",'📝 Four-tier กรอก'!BV89&lt;&gt;'📝 Four-tier กรอก'!BV51,'📝 Four-tier กรอก'!BW89="Y"),"🎲 Guess",IF(AND('📝 Four-tier กรอก'!BT89&lt;&gt;'📝 Four-tier กรอก'!BT51,'📝 Four-tier กรอก'!BU89="Y",'📝 Four-tier กรอก'!BV89&lt;&gt;'📝 Four-tier กรอก'!BV51,'📝 Four-tier กรอก'!BW89="Y"),"❌ Misc.",IF(AND('📝 Four-tier กรอก'!BT89&lt;&gt;'📝 Four-tier กรอก'!BT51,'📝 Four-tier กรอก'!BU89="N",'📝 Four-tier กรอก'!BV89&lt;&gt;'📝 Four-tier กรอก'!BV51,'📝 Four-tier กรอก'!BW89="N"),"❓ NoK","🤔 Partial")))))</f>
        <v/>
      </c>
      <c r="V88" s="68">
        <f>IF(OR('📝 Four-tier กรอก'!BX89="",'📝 Four-tier กรอก'!BZ89=""),"—",IF(AND('📝 Four-tier กรอก'!BX89='📝 Four-tier กรอก'!BX51,'📝 Four-tier กรอก'!BY89="Y",'📝 Four-tier กรอก'!BZ89='📝 Four-tier กรอก'!BZ51,'📝 Four-tier กรอก'!CA89="Y"),"✅ Sound",IF(AND('📝 Four-tier กรอก'!BX89='📝 Four-tier กรอก'!BX51,'📝 Four-tier กรอก'!BY89="Y",'📝 Four-tier กรอก'!BZ89&lt;&gt;'📝 Four-tier กรอก'!BZ51,'📝 Four-tier กรอก'!CA89="Y"),"🎲 Guess",IF(AND('📝 Four-tier กรอก'!BX89&lt;&gt;'📝 Four-tier กรอก'!BX51,'📝 Four-tier กรอก'!BY89="Y",'📝 Four-tier กรอก'!BZ89&lt;&gt;'📝 Four-tier กรอก'!BZ51,'📝 Four-tier กรอก'!CA89="Y"),"❌ Misc.",IF(AND('📝 Four-tier กรอก'!BX89&lt;&gt;'📝 Four-tier กรอก'!BX51,'📝 Four-tier กรอก'!BY89="N",'📝 Four-tier กรอก'!BZ89&lt;&gt;'📝 Four-tier กรอก'!BZ51,'📝 Four-tier กรอก'!CA89="N"),"❓ NoK","🤔 Partial")))))</f>
        <v/>
      </c>
      <c r="W88" s="68">
        <f>IF(OR('📝 Four-tier กรอก'!CB89="",'📝 Four-tier กรอก'!CD89=""),"—",IF(AND('📝 Four-tier กรอก'!CB89='📝 Four-tier กรอก'!CB51,'📝 Four-tier กรอก'!CC89="Y",'📝 Four-tier กรอก'!CD89='📝 Four-tier กรอก'!CD51,'📝 Four-tier กรอก'!CE89="Y"),"✅ Sound",IF(AND('📝 Four-tier กรอก'!CB89='📝 Four-tier กรอก'!CB51,'📝 Four-tier กรอก'!CC89="Y",'📝 Four-tier กรอก'!CD89&lt;&gt;'📝 Four-tier กรอก'!CD51,'📝 Four-tier กรอก'!CE89="Y"),"🎲 Guess",IF(AND('📝 Four-tier กรอก'!CB89&lt;&gt;'📝 Four-tier กรอก'!CB51,'📝 Four-tier กรอก'!CC89="Y",'📝 Four-tier กรอก'!CD89&lt;&gt;'📝 Four-tier กรอก'!CD51,'📝 Four-tier กรอก'!CE89="Y"),"❌ Misc.",IF(AND('📝 Four-tier กรอก'!CB89&lt;&gt;'📝 Four-tier กรอก'!CB51,'📝 Four-tier กรอก'!CC89="N",'📝 Four-tier กรอก'!CD89&lt;&gt;'📝 Four-tier กรอก'!CD51,'📝 Four-tier กรอก'!CE89="N"),"❓ NoK","🤔 Partial")))))</f>
        <v/>
      </c>
      <c r="X88" s="37">
        <f>COUNTIF(D88:W88,"✅ Sound")</f>
        <v/>
      </c>
      <c r="Y88" s="37">
        <f>COUNTIF(D88:W88,"❌ Misc.")</f>
        <v/>
      </c>
      <c r="Z88" s="37">
        <f>COUNTIF(D88:W88,"🎲 Guess")</f>
        <v/>
      </c>
      <c r="AA88" s="37">
        <f>COUNTIF(D88:W88,"❓ NoK")</f>
        <v/>
      </c>
    </row>
    <row r="89" ht="18" customHeight="1">
      <c r="B89" s="46">
        <f>'📝 Four-tier กรอก'!B90</f>
        <v/>
      </c>
      <c r="C89" s="47">
        <f>'📝 Four-tier กรอก'!C90</f>
        <v/>
      </c>
      <c r="D89" s="67">
        <f>IF(OR('📝 Four-tier กรอก'!D90="",'📝 Four-tier กรอก'!F90=""),"—",IF(AND('📝 Four-tier กรอก'!D90='📝 Four-tier กรอก'!D51,'📝 Four-tier กรอก'!E90="Y",'📝 Four-tier กรอก'!F90='📝 Four-tier กรอก'!F51,'📝 Four-tier กรอก'!G90="Y"),"✅ Sound",IF(AND('📝 Four-tier กรอก'!D90='📝 Four-tier กรอก'!D51,'📝 Four-tier กรอก'!E90="Y",'📝 Four-tier กรอก'!F90&lt;&gt;'📝 Four-tier กรอก'!F51,'📝 Four-tier กรอก'!G90="Y"),"🎲 Guess",IF(AND('📝 Four-tier กรอก'!D90&lt;&gt;'📝 Four-tier กรอก'!D51,'📝 Four-tier กรอก'!E90="Y",'📝 Four-tier กรอก'!F90&lt;&gt;'📝 Four-tier กรอก'!F51,'📝 Four-tier กรอก'!G90="Y"),"❌ Misc.",IF(AND('📝 Four-tier กรอก'!D90&lt;&gt;'📝 Four-tier กรอก'!D51,'📝 Four-tier กรอก'!E90="N",'📝 Four-tier กรอก'!F90&lt;&gt;'📝 Four-tier กรอก'!F51,'📝 Four-tier กรอก'!G90="N"),"❓ NoK","🤔 Partial")))))</f>
        <v/>
      </c>
      <c r="E89" s="67">
        <f>IF(OR('📝 Four-tier กรอก'!H90="",'📝 Four-tier กรอก'!J90=""),"—",IF(AND('📝 Four-tier กรอก'!H90='📝 Four-tier กรอก'!H51,'📝 Four-tier กรอก'!I90="Y",'📝 Four-tier กรอก'!J90='📝 Four-tier กรอก'!J51,'📝 Four-tier กรอก'!K90="Y"),"✅ Sound",IF(AND('📝 Four-tier กรอก'!H90='📝 Four-tier กรอก'!H51,'📝 Four-tier กรอก'!I90="Y",'📝 Four-tier กรอก'!J90&lt;&gt;'📝 Four-tier กรอก'!J51,'📝 Four-tier กรอก'!K90="Y"),"🎲 Guess",IF(AND('📝 Four-tier กรอก'!H90&lt;&gt;'📝 Four-tier กรอก'!H51,'📝 Four-tier กรอก'!I90="Y",'📝 Four-tier กรอก'!J90&lt;&gt;'📝 Four-tier กรอก'!J51,'📝 Four-tier กรอก'!K90="Y"),"❌ Misc.",IF(AND('📝 Four-tier กรอก'!H90&lt;&gt;'📝 Four-tier กรอก'!H51,'📝 Four-tier กรอก'!I90="N",'📝 Four-tier กรอก'!J90&lt;&gt;'📝 Four-tier กรอก'!J51,'📝 Four-tier กรอก'!K90="N"),"❓ NoK","🤔 Partial")))))</f>
        <v/>
      </c>
      <c r="F89" s="67">
        <f>IF(OR('📝 Four-tier กรอก'!L90="",'📝 Four-tier กรอก'!N90=""),"—",IF(AND('📝 Four-tier กรอก'!L90='📝 Four-tier กรอก'!L51,'📝 Four-tier กรอก'!M90="Y",'📝 Four-tier กรอก'!N90='📝 Four-tier กรอก'!N51,'📝 Four-tier กรอก'!O90="Y"),"✅ Sound",IF(AND('📝 Four-tier กรอก'!L90='📝 Four-tier กรอก'!L51,'📝 Four-tier กรอก'!M90="Y",'📝 Four-tier กรอก'!N90&lt;&gt;'📝 Four-tier กรอก'!N51,'📝 Four-tier กรอก'!O90="Y"),"🎲 Guess",IF(AND('📝 Four-tier กรอก'!L90&lt;&gt;'📝 Four-tier กรอก'!L51,'📝 Four-tier กรอก'!M90="Y",'📝 Four-tier กรอก'!N90&lt;&gt;'📝 Four-tier กรอก'!N51,'📝 Four-tier กรอก'!O90="Y"),"❌ Misc.",IF(AND('📝 Four-tier กรอก'!L90&lt;&gt;'📝 Four-tier กรอก'!L51,'📝 Four-tier กรอก'!M90="N",'📝 Four-tier กรอก'!N90&lt;&gt;'📝 Four-tier กรอก'!N51,'📝 Four-tier กรอก'!O90="N"),"❓ NoK","🤔 Partial")))))</f>
        <v/>
      </c>
      <c r="G89" s="67">
        <f>IF(OR('📝 Four-tier กรอก'!P90="",'📝 Four-tier กรอก'!R90=""),"—",IF(AND('📝 Four-tier กรอก'!P90='📝 Four-tier กรอก'!P51,'📝 Four-tier กรอก'!Q90="Y",'📝 Four-tier กรอก'!R90='📝 Four-tier กรอก'!R51,'📝 Four-tier กรอก'!S90="Y"),"✅ Sound",IF(AND('📝 Four-tier กรอก'!P90='📝 Four-tier กรอก'!P51,'📝 Four-tier กรอก'!Q90="Y",'📝 Four-tier กรอก'!R90&lt;&gt;'📝 Four-tier กรอก'!R51,'📝 Four-tier กรอก'!S90="Y"),"🎲 Guess",IF(AND('📝 Four-tier กรอก'!P90&lt;&gt;'📝 Four-tier กรอก'!P51,'📝 Four-tier กรอก'!Q90="Y",'📝 Four-tier กรอก'!R90&lt;&gt;'📝 Four-tier กรอก'!R51,'📝 Four-tier กรอก'!S90="Y"),"❌ Misc.",IF(AND('📝 Four-tier กรอก'!P90&lt;&gt;'📝 Four-tier กรอก'!P51,'📝 Four-tier กรอก'!Q90="N",'📝 Four-tier กรอก'!R90&lt;&gt;'📝 Four-tier กรอก'!R51,'📝 Four-tier กรอก'!S90="N"),"❓ NoK","🤔 Partial")))))</f>
        <v/>
      </c>
      <c r="H89" s="67">
        <f>IF(OR('📝 Four-tier กรอก'!T90="",'📝 Four-tier กรอก'!V90=""),"—",IF(AND('📝 Four-tier กรอก'!T90='📝 Four-tier กรอก'!T51,'📝 Four-tier กรอก'!U90="Y",'📝 Four-tier กรอก'!V90='📝 Four-tier กรอก'!V51,'📝 Four-tier กรอก'!W90="Y"),"✅ Sound",IF(AND('📝 Four-tier กรอก'!T90='📝 Four-tier กรอก'!T51,'📝 Four-tier กรอก'!U90="Y",'📝 Four-tier กรอก'!V90&lt;&gt;'📝 Four-tier กรอก'!V51,'📝 Four-tier กรอก'!W90="Y"),"🎲 Guess",IF(AND('📝 Four-tier กรอก'!T90&lt;&gt;'📝 Four-tier กรอก'!T51,'📝 Four-tier กรอก'!U90="Y",'📝 Four-tier กรอก'!V90&lt;&gt;'📝 Four-tier กรอก'!V51,'📝 Four-tier กรอก'!W90="Y"),"❌ Misc.",IF(AND('📝 Four-tier กรอก'!T90&lt;&gt;'📝 Four-tier กรอก'!T51,'📝 Four-tier กรอก'!U90="N",'📝 Four-tier กรอก'!V90&lt;&gt;'📝 Four-tier กรอก'!V51,'📝 Four-tier กรอก'!W90="N"),"❓ NoK","🤔 Partial")))))</f>
        <v/>
      </c>
      <c r="I89" s="67">
        <f>IF(OR('📝 Four-tier กรอก'!X90="",'📝 Four-tier กรอก'!Z90=""),"—",IF(AND('📝 Four-tier กรอก'!X90='📝 Four-tier กรอก'!X51,'📝 Four-tier กรอก'!Y90="Y",'📝 Four-tier กรอก'!Z90='📝 Four-tier กรอก'!Z51,'📝 Four-tier กรอก'!AA90="Y"),"✅ Sound",IF(AND('📝 Four-tier กรอก'!X90='📝 Four-tier กรอก'!X51,'📝 Four-tier กรอก'!Y90="Y",'📝 Four-tier กรอก'!Z90&lt;&gt;'📝 Four-tier กรอก'!Z51,'📝 Four-tier กรอก'!AA90="Y"),"🎲 Guess",IF(AND('📝 Four-tier กรอก'!X90&lt;&gt;'📝 Four-tier กรอก'!X51,'📝 Four-tier กรอก'!Y90="Y",'📝 Four-tier กรอก'!Z90&lt;&gt;'📝 Four-tier กรอก'!Z51,'📝 Four-tier กรอก'!AA90="Y"),"❌ Misc.",IF(AND('📝 Four-tier กรอก'!X90&lt;&gt;'📝 Four-tier กรอก'!X51,'📝 Four-tier กรอก'!Y90="N",'📝 Four-tier กรอก'!Z90&lt;&gt;'📝 Four-tier กรอก'!Z51,'📝 Four-tier กรอก'!AA90="N"),"❓ NoK","🤔 Partial")))))</f>
        <v/>
      </c>
      <c r="J89" s="67">
        <f>IF(OR('📝 Four-tier กรอก'!AB90="",'📝 Four-tier กรอก'!AD90=""),"—",IF(AND('📝 Four-tier กรอก'!AB90='📝 Four-tier กรอก'!AB51,'📝 Four-tier กรอก'!AC90="Y",'📝 Four-tier กรอก'!AD90='📝 Four-tier กรอก'!AD51,'📝 Four-tier กรอก'!AE90="Y"),"✅ Sound",IF(AND('📝 Four-tier กรอก'!AB90='📝 Four-tier กรอก'!AB51,'📝 Four-tier กรอก'!AC90="Y",'📝 Four-tier กรอก'!AD90&lt;&gt;'📝 Four-tier กรอก'!AD51,'📝 Four-tier กรอก'!AE90="Y"),"🎲 Guess",IF(AND('📝 Four-tier กรอก'!AB90&lt;&gt;'📝 Four-tier กรอก'!AB51,'📝 Four-tier กรอก'!AC90="Y",'📝 Four-tier กรอก'!AD90&lt;&gt;'📝 Four-tier กรอก'!AD51,'📝 Four-tier กรอก'!AE90="Y"),"❌ Misc.",IF(AND('📝 Four-tier กรอก'!AB90&lt;&gt;'📝 Four-tier กรอก'!AB51,'📝 Four-tier กรอก'!AC90="N",'📝 Four-tier กรอก'!AD90&lt;&gt;'📝 Four-tier กรอก'!AD51,'📝 Four-tier กรอก'!AE90="N"),"❓ NoK","🤔 Partial")))))</f>
        <v/>
      </c>
      <c r="K89" s="67">
        <f>IF(OR('📝 Four-tier กรอก'!AF90="",'📝 Four-tier กรอก'!AH90=""),"—",IF(AND('📝 Four-tier กรอก'!AF90='📝 Four-tier กรอก'!AF51,'📝 Four-tier กรอก'!AG90="Y",'📝 Four-tier กรอก'!AH90='📝 Four-tier กรอก'!AH51,'📝 Four-tier กรอก'!AI90="Y"),"✅ Sound",IF(AND('📝 Four-tier กรอก'!AF90='📝 Four-tier กรอก'!AF51,'📝 Four-tier กรอก'!AG90="Y",'📝 Four-tier กรอก'!AH90&lt;&gt;'📝 Four-tier กรอก'!AH51,'📝 Four-tier กรอก'!AI90="Y"),"🎲 Guess",IF(AND('📝 Four-tier กรอก'!AF90&lt;&gt;'📝 Four-tier กรอก'!AF51,'📝 Four-tier กรอก'!AG90="Y",'📝 Four-tier กรอก'!AH90&lt;&gt;'📝 Four-tier กรอก'!AH51,'📝 Four-tier กรอก'!AI90="Y"),"❌ Misc.",IF(AND('📝 Four-tier กรอก'!AF90&lt;&gt;'📝 Four-tier กรอก'!AF51,'📝 Four-tier กรอก'!AG90="N",'📝 Four-tier กรอก'!AH90&lt;&gt;'📝 Four-tier กรอก'!AH51,'📝 Four-tier กรอก'!AI90="N"),"❓ NoK","🤔 Partial")))))</f>
        <v/>
      </c>
      <c r="L89" s="67">
        <f>IF(OR('📝 Four-tier กรอก'!AJ90="",'📝 Four-tier กรอก'!AL90=""),"—",IF(AND('📝 Four-tier กรอก'!AJ90='📝 Four-tier กรอก'!AJ51,'📝 Four-tier กรอก'!AK90="Y",'📝 Four-tier กรอก'!AL90='📝 Four-tier กรอก'!AL51,'📝 Four-tier กรอก'!AM90="Y"),"✅ Sound",IF(AND('📝 Four-tier กรอก'!AJ90='📝 Four-tier กรอก'!AJ51,'📝 Four-tier กรอก'!AK90="Y",'📝 Four-tier กรอก'!AL90&lt;&gt;'📝 Four-tier กรอก'!AL51,'📝 Four-tier กรอก'!AM90="Y"),"🎲 Guess",IF(AND('📝 Four-tier กรอก'!AJ90&lt;&gt;'📝 Four-tier กรอก'!AJ51,'📝 Four-tier กรอก'!AK90="Y",'📝 Four-tier กรอก'!AL90&lt;&gt;'📝 Four-tier กรอก'!AL51,'📝 Four-tier กรอก'!AM90="Y"),"❌ Misc.",IF(AND('📝 Four-tier กรอก'!AJ90&lt;&gt;'📝 Four-tier กรอก'!AJ51,'📝 Four-tier กรอก'!AK90="N",'📝 Four-tier กรอก'!AL90&lt;&gt;'📝 Four-tier กรอก'!AL51,'📝 Four-tier กรอก'!AM90="N"),"❓ NoK","🤔 Partial")))))</f>
        <v/>
      </c>
      <c r="M89" s="67">
        <f>IF(OR('📝 Four-tier กรอก'!AN90="",'📝 Four-tier กรอก'!AP90=""),"—",IF(AND('📝 Four-tier กรอก'!AN90='📝 Four-tier กรอก'!AN51,'📝 Four-tier กรอก'!AO90="Y",'📝 Four-tier กรอก'!AP90='📝 Four-tier กรอก'!AP51,'📝 Four-tier กรอก'!AQ90="Y"),"✅ Sound",IF(AND('📝 Four-tier กรอก'!AN90='📝 Four-tier กรอก'!AN51,'📝 Four-tier กรอก'!AO90="Y",'📝 Four-tier กรอก'!AP90&lt;&gt;'📝 Four-tier กรอก'!AP51,'📝 Four-tier กรอก'!AQ90="Y"),"🎲 Guess",IF(AND('📝 Four-tier กรอก'!AN90&lt;&gt;'📝 Four-tier กรอก'!AN51,'📝 Four-tier กรอก'!AO90="Y",'📝 Four-tier กรอก'!AP90&lt;&gt;'📝 Four-tier กรอก'!AP51,'📝 Four-tier กรอก'!AQ90="Y"),"❌ Misc.",IF(AND('📝 Four-tier กรอก'!AN90&lt;&gt;'📝 Four-tier กรอก'!AN51,'📝 Four-tier กรอก'!AO90="N",'📝 Four-tier กรอก'!AP90&lt;&gt;'📝 Four-tier กรอก'!AP51,'📝 Four-tier กรอก'!AQ90="N"),"❓ NoK","🤔 Partial")))))</f>
        <v/>
      </c>
      <c r="N89" s="67">
        <f>IF(OR('📝 Four-tier กรอก'!AR90="",'📝 Four-tier กรอก'!AT90=""),"—",IF(AND('📝 Four-tier กรอก'!AR90='📝 Four-tier กรอก'!AR51,'📝 Four-tier กรอก'!AS90="Y",'📝 Four-tier กรอก'!AT90='📝 Four-tier กรอก'!AT51,'📝 Four-tier กรอก'!AU90="Y"),"✅ Sound",IF(AND('📝 Four-tier กรอก'!AR90='📝 Four-tier กรอก'!AR51,'📝 Four-tier กรอก'!AS90="Y",'📝 Four-tier กรอก'!AT90&lt;&gt;'📝 Four-tier กรอก'!AT51,'📝 Four-tier กรอก'!AU90="Y"),"🎲 Guess",IF(AND('📝 Four-tier กรอก'!AR90&lt;&gt;'📝 Four-tier กรอก'!AR51,'📝 Four-tier กรอก'!AS90="Y",'📝 Four-tier กรอก'!AT90&lt;&gt;'📝 Four-tier กรอก'!AT51,'📝 Four-tier กรอก'!AU90="Y"),"❌ Misc.",IF(AND('📝 Four-tier กรอก'!AR90&lt;&gt;'📝 Four-tier กรอก'!AR51,'📝 Four-tier กรอก'!AS90="N",'📝 Four-tier กรอก'!AT90&lt;&gt;'📝 Four-tier กรอก'!AT51,'📝 Four-tier กรอก'!AU90="N"),"❓ NoK","🤔 Partial")))))</f>
        <v/>
      </c>
      <c r="O89" s="67">
        <f>IF(OR('📝 Four-tier กรอก'!AV90="",'📝 Four-tier กรอก'!AX90=""),"—",IF(AND('📝 Four-tier กรอก'!AV90='📝 Four-tier กรอก'!AV51,'📝 Four-tier กรอก'!AW90="Y",'📝 Four-tier กรอก'!AX90='📝 Four-tier กรอก'!AX51,'📝 Four-tier กรอก'!AY90="Y"),"✅ Sound",IF(AND('📝 Four-tier กรอก'!AV90='📝 Four-tier กรอก'!AV51,'📝 Four-tier กรอก'!AW90="Y",'📝 Four-tier กรอก'!AX90&lt;&gt;'📝 Four-tier กรอก'!AX51,'📝 Four-tier กรอก'!AY90="Y"),"🎲 Guess",IF(AND('📝 Four-tier กรอก'!AV90&lt;&gt;'📝 Four-tier กรอก'!AV51,'📝 Four-tier กรอก'!AW90="Y",'📝 Four-tier กรอก'!AX90&lt;&gt;'📝 Four-tier กรอก'!AX51,'📝 Four-tier กรอก'!AY90="Y"),"❌ Misc.",IF(AND('📝 Four-tier กรอก'!AV90&lt;&gt;'📝 Four-tier กรอก'!AV51,'📝 Four-tier กรอก'!AW90="N",'📝 Four-tier กรอก'!AX90&lt;&gt;'📝 Four-tier กรอก'!AX51,'📝 Four-tier กรอก'!AY90="N"),"❓ NoK","🤔 Partial")))))</f>
        <v/>
      </c>
      <c r="P89" s="67">
        <f>IF(OR('📝 Four-tier กรอก'!AZ90="",'📝 Four-tier กรอก'!BB90=""),"—",IF(AND('📝 Four-tier กรอก'!AZ90='📝 Four-tier กรอก'!AZ51,'📝 Four-tier กรอก'!BA90="Y",'📝 Four-tier กรอก'!BB90='📝 Four-tier กรอก'!BB51,'📝 Four-tier กรอก'!BC90="Y"),"✅ Sound",IF(AND('📝 Four-tier กรอก'!AZ90='📝 Four-tier กรอก'!AZ51,'📝 Four-tier กรอก'!BA90="Y",'📝 Four-tier กรอก'!BB90&lt;&gt;'📝 Four-tier กรอก'!BB51,'📝 Four-tier กรอก'!BC90="Y"),"🎲 Guess",IF(AND('📝 Four-tier กรอก'!AZ90&lt;&gt;'📝 Four-tier กรอก'!AZ51,'📝 Four-tier กรอก'!BA90="Y",'📝 Four-tier กรอก'!BB90&lt;&gt;'📝 Four-tier กรอก'!BB51,'📝 Four-tier กรอก'!BC90="Y"),"❌ Misc.",IF(AND('📝 Four-tier กรอก'!AZ90&lt;&gt;'📝 Four-tier กรอก'!AZ51,'📝 Four-tier กรอก'!BA90="N",'📝 Four-tier กรอก'!BB90&lt;&gt;'📝 Four-tier กรอก'!BB51,'📝 Four-tier กรอก'!BC90="N"),"❓ NoK","🤔 Partial")))))</f>
        <v/>
      </c>
      <c r="Q89" s="67">
        <f>IF(OR('📝 Four-tier กรอก'!BD90="",'📝 Four-tier กรอก'!BF90=""),"—",IF(AND('📝 Four-tier กรอก'!BD90='📝 Four-tier กรอก'!BD51,'📝 Four-tier กรอก'!BE90="Y",'📝 Four-tier กรอก'!BF90='📝 Four-tier กรอก'!BF51,'📝 Four-tier กรอก'!BG90="Y"),"✅ Sound",IF(AND('📝 Four-tier กรอก'!BD90='📝 Four-tier กรอก'!BD51,'📝 Four-tier กรอก'!BE90="Y",'📝 Four-tier กรอก'!BF90&lt;&gt;'📝 Four-tier กรอก'!BF51,'📝 Four-tier กรอก'!BG90="Y"),"🎲 Guess",IF(AND('📝 Four-tier กรอก'!BD90&lt;&gt;'📝 Four-tier กรอก'!BD51,'📝 Four-tier กรอก'!BE90="Y",'📝 Four-tier กรอก'!BF90&lt;&gt;'📝 Four-tier กรอก'!BF51,'📝 Four-tier กรอก'!BG90="Y"),"❌ Misc.",IF(AND('📝 Four-tier กรอก'!BD90&lt;&gt;'📝 Four-tier กรอก'!BD51,'📝 Four-tier กรอก'!BE90="N",'📝 Four-tier กรอก'!BF90&lt;&gt;'📝 Four-tier กรอก'!BF51,'📝 Four-tier กรอก'!BG90="N"),"❓ NoK","🤔 Partial")))))</f>
        <v/>
      </c>
      <c r="R89" s="67">
        <f>IF(OR('📝 Four-tier กรอก'!BH90="",'📝 Four-tier กรอก'!BJ90=""),"—",IF(AND('📝 Four-tier กรอก'!BH90='📝 Four-tier กรอก'!BH51,'📝 Four-tier กรอก'!BI90="Y",'📝 Four-tier กรอก'!BJ90='📝 Four-tier กรอก'!BJ51,'📝 Four-tier กรอก'!BK90="Y"),"✅ Sound",IF(AND('📝 Four-tier กรอก'!BH90='📝 Four-tier กรอก'!BH51,'📝 Four-tier กรอก'!BI90="Y",'📝 Four-tier กรอก'!BJ90&lt;&gt;'📝 Four-tier กรอก'!BJ51,'📝 Four-tier กรอก'!BK90="Y"),"🎲 Guess",IF(AND('📝 Four-tier กรอก'!BH90&lt;&gt;'📝 Four-tier กรอก'!BH51,'📝 Four-tier กรอก'!BI90="Y",'📝 Four-tier กรอก'!BJ90&lt;&gt;'📝 Four-tier กรอก'!BJ51,'📝 Four-tier กรอก'!BK90="Y"),"❌ Misc.",IF(AND('📝 Four-tier กรอก'!BH90&lt;&gt;'📝 Four-tier กรอก'!BH51,'📝 Four-tier กรอก'!BI90="N",'📝 Four-tier กรอก'!BJ90&lt;&gt;'📝 Four-tier กรอก'!BJ51,'📝 Four-tier กรอก'!BK90="N"),"❓ NoK","🤔 Partial")))))</f>
        <v/>
      </c>
      <c r="S89" s="67">
        <f>IF(OR('📝 Four-tier กรอก'!BL90="",'📝 Four-tier กรอก'!BN90=""),"—",IF(AND('📝 Four-tier กรอก'!BL90='📝 Four-tier กรอก'!BL51,'📝 Four-tier กรอก'!BM90="Y",'📝 Four-tier กรอก'!BN90='📝 Four-tier กรอก'!BN51,'📝 Four-tier กรอก'!BO90="Y"),"✅ Sound",IF(AND('📝 Four-tier กรอก'!BL90='📝 Four-tier กรอก'!BL51,'📝 Four-tier กรอก'!BM90="Y",'📝 Four-tier กรอก'!BN90&lt;&gt;'📝 Four-tier กรอก'!BN51,'📝 Four-tier กรอก'!BO90="Y"),"🎲 Guess",IF(AND('📝 Four-tier กรอก'!BL90&lt;&gt;'📝 Four-tier กรอก'!BL51,'📝 Four-tier กรอก'!BM90="Y",'📝 Four-tier กรอก'!BN90&lt;&gt;'📝 Four-tier กรอก'!BN51,'📝 Four-tier กรอก'!BO90="Y"),"❌ Misc.",IF(AND('📝 Four-tier กรอก'!BL90&lt;&gt;'📝 Four-tier กรอก'!BL51,'📝 Four-tier กรอก'!BM90="N",'📝 Four-tier กรอก'!BN90&lt;&gt;'📝 Four-tier กรอก'!BN51,'📝 Four-tier กรอก'!BO90="N"),"❓ NoK","🤔 Partial")))))</f>
        <v/>
      </c>
      <c r="T89" s="67">
        <f>IF(OR('📝 Four-tier กรอก'!BP90="",'📝 Four-tier กรอก'!BR90=""),"—",IF(AND('📝 Four-tier กรอก'!BP90='📝 Four-tier กรอก'!BP51,'📝 Four-tier กรอก'!BQ90="Y",'📝 Four-tier กรอก'!BR90='📝 Four-tier กรอก'!BR51,'📝 Four-tier กรอก'!BS90="Y"),"✅ Sound",IF(AND('📝 Four-tier กรอก'!BP90='📝 Four-tier กรอก'!BP51,'📝 Four-tier กรอก'!BQ90="Y",'📝 Four-tier กรอก'!BR90&lt;&gt;'📝 Four-tier กรอก'!BR51,'📝 Four-tier กรอก'!BS90="Y"),"🎲 Guess",IF(AND('📝 Four-tier กรอก'!BP90&lt;&gt;'📝 Four-tier กรอก'!BP51,'📝 Four-tier กรอก'!BQ90="Y",'📝 Four-tier กรอก'!BR90&lt;&gt;'📝 Four-tier กรอก'!BR51,'📝 Four-tier กรอก'!BS90="Y"),"❌ Misc.",IF(AND('📝 Four-tier กรอก'!BP90&lt;&gt;'📝 Four-tier กรอก'!BP51,'📝 Four-tier กรอก'!BQ90="N",'📝 Four-tier กรอก'!BR90&lt;&gt;'📝 Four-tier กรอก'!BR51,'📝 Four-tier กรอก'!BS90="N"),"❓ NoK","🤔 Partial")))))</f>
        <v/>
      </c>
      <c r="U89" s="67">
        <f>IF(OR('📝 Four-tier กรอก'!BT90="",'📝 Four-tier กรอก'!BV90=""),"—",IF(AND('📝 Four-tier กรอก'!BT90='📝 Four-tier กรอก'!BT51,'📝 Four-tier กรอก'!BU90="Y",'📝 Four-tier กรอก'!BV90='📝 Four-tier กรอก'!BV51,'📝 Four-tier กรอก'!BW90="Y"),"✅ Sound",IF(AND('📝 Four-tier กรอก'!BT90='📝 Four-tier กรอก'!BT51,'📝 Four-tier กรอก'!BU90="Y",'📝 Four-tier กรอก'!BV90&lt;&gt;'📝 Four-tier กรอก'!BV51,'📝 Four-tier กรอก'!BW90="Y"),"🎲 Guess",IF(AND('📝 Four-tier กรอก'!BT90&lt;&gt;'📝 Four-tier กรอก'!BT51,'📝 Four-tier กรอก'!BU90="Y",'📝 Four-tier กรอก'!BV90&lt;&gt;'📝 Four-tier กรอก'!BV51,'📝 Four-tier กรอก'!BW90="Y"),"❌ Misc.",IF(AND('📝 Four-tier กรอก'!BT90&lt;&gt;'📝 Four-tier กรอก'!BT51,'📝 Four-tier กรอก'!BU90="N",'📝 Four-tier กรอก'!BV90&lt;&gt;'📝 Four-tier กรอก'!BV51,'📝 Four-tier กรอก'!BW90="N"),"❓ NoK","🤔 Partial")))))</f>
        <v/>
      </c>
      <c r="V89" s="67">
        <f>IF(OR('📝 Four-tier กรอก'!BX90="",'📝 Four-tier กรอก'!BZ90=""),"—",IF(AND('📝 Four-tier กรอก'!BX90='📝 Four-tier กรอก'!BX51,'📝 Four-tier กรอก'!BY90="Y",'📝 Four-tier กรอก'!BZ90='📝 Four-tier กรอก'!BZ51,'📝 Four-tier กรอก'!CA90="Y"),"✅ Sound",IF(AND('📝 Four-tier กรอก'!BX90='📝 Four-tier กรอก'!BX51,'📝 Four-tier กรอก'!BY90="Y",'📝 Four-tier กรอก'!BZ90&lt;&gt;'📝 Four-tier กรอก'!BZ51,'📝 Four-tier กรอก'!CA90="Y"),"🎲 Guess",IF(AND('📝 Four-tier กรอก'!BX90&lt;&gt;'📝 Four-tier กรอก'!BX51,'📝 Four-tier กรอก'!BY90="Y",'📝 Four-tier กรอก'!BZ90&lt;&gt;'📝 Four-tier กรอก'!BZ51,'📝 Four-tier กรอก'!CA90="Y"),"❌ Misc.",IF(AND('📝 Four-tier กรอก'!BX90&lt;&gt;'📝 Four-tier กรอก'!BX51,'📝 Four-tier กรอก'!BY90="N",'📝 Four-tier กรอก'!BZ90&lt;&gt;'📝 Four-tier กรอก'!BZ51,'📝 Four-tier กรอก'!CA90="N"),"❓ NoK","🤔 Partial")))))</f>
        <v/>
      </c>
      <c r="W89" s="67">
        <f>IF(OR('📝 Four-tier กรอก'!CB90="",'📝 Four-tier กรอก'!CD90=""),"—",IF(AND('📝 Four-tier กรอก'!CB90='📝 Four-tier กรอก'!CB51,'📝 Four-tier กรอก'!CC90="Y",'📝 Four-tier กรอก'!CD90='📝 Four-tier กรอก'!CD51,'📝 Four-tier กรอก'!CE90="Y"),"✅ Sound",IF(AND('📝 Four-tier กรอก'!CB90='📝 Four-tier กรอก'!CB51,'📝 Four-tier กรอก'!CC90="Y",'📝 Four-tier กรอก'!CD90&lt;&gt;'📝 Four-tier กรอก'!CD51,'📝 Four-tier กรอก'!CE90="Y"),"🎲 Guess",IF(AND('📝 Four-tier กรอก'!CB90&lt;&gt;'📝 Four-tier กรอก'!CB51,'📝 Four-tier กรอก'!CC90="Y",'📝 Four-tier กรอก'!CD90&lt;&gt;'📝 Four-tier กรอก'!CD51,'📝 Four-tier กรอก'!CE90="Y"),"❌ Misc.",IF(AND('📝 Four-tier กรอก'!CB90&lt;&gt;'📝 Four-tier กรอก'!CB51,'📝 Four-tier กรอก'!CC90="N",'📝 Four-tier กรอก'!CD90&lt;&gt;'📝 Four-tier กรอก'!CD51,'📝 Four-tier กรอก'!CE90="N"),"❓ NoK","🤔 Partial")))))</f>
        <v/>
      </c>
      <c r="X89" s="37">
        <f>COUNTIF(D89:W89,"✅ Sound")</f>
        <v/>
      </c>
      <c r="Y89" s="37">
        <f>COUNTIF(D89:W89,"❌ Misc.")</f>
        <v/>
      </c>
      <c r="Z89" s="37">
        <f>COUNTIF(D89:W89,"🎲 Guess")</f>
        <v/>
      </c>
      <c r="AA89" s="37">
        <f>COUNTIF(D89:W89,"❓ NoK")</f>
        <v/>
      </c>
    </row>
    <row r="90" ht="18" customHeight="1">
      <c r="B90" s="46">
        <f>'📝 Four-tier กรอก'!B91</f>
        <v/>
      </c>
      <c r="C90" s="51">
        <f>'📝 Four-tier กรอก'!C91</f>
        <v/>
      </c>
      <c r="D90" s="68">
        <f>IF(OR('📝 Four-tier กรอก'!D91="",'📝 Four-tier กรอก'!F91=""),"—",IF(AND('📝 Four-tier กรอก'!D91='📝 Four-tier กรอก'!D51,'📝 Four-tier กรอก'!E91="Y",'📝 Four-tier กรอก'!F91='📝 Four-tier กรอก'!F51,'📝 Four-tier กรอก'!G91="Y"),"✅ Sound",IF(AND('📝 Four-tier กรอก'!D91='📝 Four-tier กรอก'!D51,'📝 Four-tier กรอก'!E91="Y",'📝 Four-tier กรอก'!F91&lt;&gt;'📝 Four-tier กรอก'!F51,'📝 Four-tier กรอก'!G91="Y"),"🎲 Guess",IF(AND('📝 Four-tier กรอก'!D91&lt;&gt;'📝 Four-tier กรอก'!D51,'📝 Four-tier กรอก'!E91="Y",'📝 Four-tier กรอก'!F91&lt;&gt;'📝 Four-tier กรอก'!F51,'📝 Four-tier กรอก'!G91="Y"),"❌ Misc.",IF(AND('📝 Four-tier กรอก'!D91&lt;&gt;'📝 Four-tier กรอก'!D51,'📝 Four-tier กรอก'!E91="N",'📝 Four-tier กรอก'!F91&lt;&gt;'📝 Four-tier กรอก'!F51,'📝 Four-tier กรอก'!G91="N"),"❓ NoK","🤔 Partial")))))</f>
        <v/>
      </c>
      <c r="E90" s="68">
        <f>IF(OR('📝 Four-tier กรอก'!H91="",'📝 Four-tier กรอก'!J91=""),"—",IF(AND('📝 Four-tier กรอก'!H91='📝 Four-tier กรอก'!H51,'📝 Four-tier กรอก'!I91="Y",'📝 Four-tier กรอก'!J91='📝 Four-tier กรอก'!J51,'📝 Four-tier กรอก'!K91="Y"),"✅ Sound",IF(AND('📝 Four-tier กรอก'!H91='📝 Four-tier กรอก'!H51,'📝 Four-tier กรอก'!I91="Y",'📝 Four-tier กรอก'!J91&lt;&gt;'📝 Four-tier กรอก'!J51,'📝 Four-tier กรอก'!K91="Y"),"🎲 Guess",IF(AND('📝 Four-tier กรอก'!H91&lt;&gt;'📝 Four-tier กรอก'!H51,'📝 Four-tier กรอก'!I91="Y",'📝 Four-tier กรอก'!J91&lt;&gt;'📝 Four-tier กรอก'!J51,'📝 Four-tier กรอก'!K91="Y"),"❌ Misc.",IF(AND('📝 Four-tier กรอก'!H91&lt;&gt;'📝 Four-tier กรอก'!H51,'📝 Four-tier กรอก'!I91="N",'📝 Four-tier กรอก'!J91&lt;&gt;'📝 Four-tier กรอก'!J51,'📝 Four-tier กรอก'!K91="N"),"❓ NoK","🤔 Partial")))))</f>
        <v/>
      </c>
      <c r="F90" s="68">
        <f>IF(OR('📝 Four-tier กรอก'!L91="",'📝 Four-tier กรอก'!N91=""),"—",IF(AND('📝 Four-tier กรอก'!L91='📝 Four-tier กรอก'!L51,'📝 Four-tier กรอก'!M91="Y",'📝 Four-tier กรอก'!N91='📝 Four-tier กรอก'!N51,'📝 Four-tier กรอก'!O91="Y"),"✅ Sound",IF(AND('📝 Four-tier กรอก'!L91='📝 Four-tier กรอก'!L51,'📝 Four-tier กรอก'!M91="Y",'📝 Four-tier กรอก'!N91&lt;&gt;'📝 Four-tier กรอก'!N51,'📝 Four-tier กรอก'!O91="Y"),"🎲 Guess",IF(AND('📝 Four-tier กรอก'!L91&lt;&gt;'📝 Four-tier กรอก'!L51,'📝 Four-tier กรอก'!M91="Y",'📝 Four-tier กรอก'!N91&lt;&gt;'📝 Four-tier กรอก'!N51,'📝 Four-tier กรอก'!O91="Y"),"❌ Misc.",IF(AND('📝 Four-tier กรอก'!L91&lt;&gt;'📝 Four-tier กรอก'!L51,'📝 Four-tier กรอก'!M91="N",'📝 Four-tier กรอก'!N91&lt;&gt;'📝 Four-tier กรอก'!N51,'📝 Four-tier กรอก'!O91="N"),"❓ NoK","🤔 Partial")))))</f>
        <v/>
      </c>
      <c r="G90" s="68">
        <f>IF(OR('📝 Four-tier กรอก'!P91="",'📝 Four-tier กรอก'!R91=""),"—",IF(AND('📝 Four-tier กรอก'!P91='📝 Four-tier กรอก'!P51,'📝 Four-tier กรอก'!Q91="Y",'📝 Four-tier กรอก'!R91='📝 Four-tier กรอก'!R51,'📝 Four-tier กรอก'!S91="Y"),"✅ Sound",IF(AND('📝 Four-tier กรอก'!P91='📝 Four-tier กรอก'!P51,'📝 Four-tier กรอก'!Q91="Y",'📝 Four-tier กรอก'!R91&lt;&gt;'📝 Four-tier กรอก'!R51,'📝 Four-tier กรอก'!S91="Y"),"🎲 Guess",IF(AND('📝 Four-tier กรอก'!P91&lt;&gt;'📝 Four-tier กรอก'!P51,'📝 Four-tier กรอก'!Q91="Y",'📝 Four-tier กรอก'!R91&lt;&gt;'📝 Four-tier กรอก'!R51,'📝 Four-tier กรอก'!S91="Y"),"❌ Misc.",IF(AND('📝 Four-tier กรอก'!P91&lt;&gt;'📝 Four-tier กรอก'!P51,'📝 Four-tier กรอก'!Q91="N",'📝 Four-tier กรอก'!R91&lt;&gt;'📝 Four-tier กรอก'!R51,'📝 Four-tier กรอก'!S91="N"),"❓ NoK","🤔 Partial")))))</f>
        <v/>
      </c>
      <c r="H90" s="68">
        <f>IF(OR('📝 Four-tier กรอก'!T91="",'📝 Four-tier กรอก'!V91=""),"—",IF(AND('📝 Four-tier กรอก'!T91='📝 Four-tier กรอก'!T51,'📝 Four-tier กรอก'!U91="Y",'📝 Four-tier กรอก'!V91='📝 Four-tier กรอก'!V51,'📝 Four-tier กรอก'!W91="Y"),"✅ Sound",IF(AND('📝 Four-tier กรอก'!T91='📝 Four-tier กรอก'!T51,'📝 Four-tier กรอก'!U91="Y",'📝 Four-tier กรอก'!V91&lt;&gt;'📝 Four-tier กรอก'!V51,'📝 Four-tier กรอก'!W91="Y"),"🎲 Guess",IF(AND('📝 Four-tier กรอก'!T91&lt;&gt;'📝 Four-tier กรอก'!T51,'📝 Four-tier กรอก'!U91="Y",'📝 Four-tier กรอก'!V91&lt;&gt;'📝 Four-tier กรอก'!V51,'📝 Four-tier กรอก'!W91="Y"),"❌ Misc.",IF(AND('📝 Four-tier กรอก'!T91&lt;&gt;'📝 Four-tier กรอก'!T51,'📝 Four-tier กรอก'!U91="N",'📝 Four-tier กรอก'!V91&lt;&gt;'📝 Four-tier กรอก'!V51,'📝 Four-tier กรอก'!W91="N"),"❓ NoK","🤔 Partial")))))</f>
        <v/>
      </c>
      <c r="I90" s="68">
        <f>IF(OR('📝 Four-tier กรอก'!X91="",'📝 Four-tier กรอก'!Z91=""),"—",IF(AND('📝 Four-tier กรอก'!X91='📝 Four-tier กรอก'!X51,'📝 Four-tier กรอก'!Y91="Y",'📝 Four-tier กรอก'!Z91='📝 Four-tier กรอก'!Z51,'📝 Four-tier กรอก'!AA91="Y"),"✅ Sound",IF(AND('📝 Four-tier กรอก'!X91='📝 Four-tier กรอก'!X51,'📝 Four-tier กรอก'!Y91="Y",'📝 Four-tier กรอก'!Z91&lt;&gt;'📝 Four-tier กรอก'!Z51,'📝 Four-tier กรอก'!AA91="Y"),"🎲 Guess",IF(AND('📝 Four-tier กรอก'!X91&lt;&gt;'📝 Four-tier กรอก'!X51,'📝 Four-tier กรอก'!Y91="Y",'📝 Four-tier กรอก'!Z91&lt;&gt;'📝 Four-tier กรอก'!Z51,'📝 Four-tier กรอก'!AA91="Y"),"❌ Misc.",IF(AND('📝 Four-tier กรอก'!X91&lt;&gt;'📝 Four-tier กรอก'!X51,'📝 Four-tier กรอก'!Y91="N",'📝 Four-tier กรอก'!Z91&lt;&gt;'📝 Four-tier กรอก'!Z51,'📝 Four-tier กรอก'!AA91="N"),"❓ NoK","🤔 Partial")))))</f>
        <v/>
      </c>
      <c r="J90" s="68">
        <f>IF(OR('📝 Four-tier กรอก'!AB91="",'📝 Four-tier กรอก'!AD91=""),"—",IF(AND('📝 Four-tier กรอก'!AB91='📝 Four-tier กรอก'!AB51,'📝 Four-tier กรอก'!AC91="Y",'📝 Four-tier กรอก'!AD91='📝 Four-tier กรอก'!AD51,'📝 Four-tier กรอก'!AE91="Y"),"✅ Sound",IF(AND('📝 Four-tier กรอก'!AB91='📝 Four-tier กรอก'!AB51,'📝 Four-tier กรอก'!AC91="Y",'📝 Four-tier กรอก'!AD91&lt;&gt;'📝 Four-tier กรอก'!AD51,'📝 Four-tier กรอก'!AE91="Y"),"🎲 Guess",IF(AND('📝 Four-tier กรอก'!AB91&lt;&gt;'📝 Four-tier กรอก'!AB51,'📝 Four-tier กรอก'!AC91="Y",'📝 Four-tier กรอก'!AD91&lt;&gt;'📝 Four-tier กรอก'!AD51,'📝 Four-tier กรอก'!AE91="Y"),"❌ Misc.",IF(AND('📝 Four-tier กรอก'!AB91&lt;&gt;'📝 Four-tier กรอก'!AB51,'📝 Four-tier กรอก'!AC91="N",'📝 Four-tier กรอก'!AD91&lt;&gt;'📝 Four-tier กรอก'!AD51,'📝 Four-tier กรอก'!AE91="N"),"❓ NoK","🤔 Partial")))))</f>
        <v/>
      </c>
      <c r="K90" s="68">
        <f>IF(OR('📝 Four-tier กรอก'!AF91="",'📝 Four-tier กรอก'!AH91=""),"—",IF(AND('📝 Four-tier กรอก'!AF91='📝 Four-tier กรอก'!AF51,'📝 Four-tier กรอก'!AG91="Y",'📝 Four-tier กรอก'!AH91='📝 Four-tier กรอก'!AH51,'📝 Four-tier กรอก'!AI91="Y"),"✅ Sound",IF(AND('📝 Four-tier กรอก'!AF91='📝 Four-tier กรอก'!AF51,'📝 Four-tier กรอก'!AG91="Y",'📝 Four-tier กรอก'!AH91&lt;&gt;'📝 Four-tier กรอก'!AH51,'📝 Four-tier กรอก'!AI91="Y"),"🎲 Guess",IF(AND('📝 Four-tier กรอก'!AF91&lt;&gt;'📝 Four-tier กรอก'!AF51,'📝 Four-tier กรอก'!AG91="Y",'📝 Four-tier กรอก'!AH91&lt;&gt;'📝 Four-tier กรอก'!AH51,'📝 Four-tier กรอก'!AI91="Y"),"❌ Misc.",IF(AND('📝 Four-tier กรอก'!AF91&lt;&gt;'📝 Four-tier กรอก'!AF51,'📝 Four-tier กรอก'!AG91="N",'📝 Four-tier กรอก'!AH91&lt;&gt;'📝 Four-tier กรอก'!AH51,'📝 Four-tier กรอก'!AI91="N"),"❓ NoK","🤔 Partial")))))</f>
        <v/>
      </c>
      <c r="L90" s="68">
        <f>IF(OR('📝 Four-tier กรอก'!AJ91="",'📝 Four-tier กรอก'!AL91=""),"—",IF(AND('📝 Four-tier กรอก'!AJ91='📝 Four-tier กรอก'!AJ51,'📝 Four-tier กรอก'!AK91="Y",'📝 Four-tier กรอก'!AL91='📝 Four-tier กรอก'!AL51,'📝 Four-tier กรอก'!AM91="Y"),"✅ Sound",IF(AND('📝 Four-tier กรอก'!AJ91='📝 Four-tier กรอก'!AJ51,'📝 Four-tier กรอก'!AK91="Y",'📝 Four-tier กรอก'!AL91&lt;&gt;'📝 Four-tier กรอก'!AL51,'📝 Four-tier กรอก'!AM91="Y"),"🎲 Guess",IF(AND('📝 Four-tier กรอก'!AJ91&lt;&gt;'📝 Four-tier กรอก'!AJ51,'📝 Four-tier กรอก'!AK91="Y",'📝 Four-tier กรอก'!AL91&lt;&gt;'📝 Four-tier กรอก'!AL51,'📝 Four-tier กรอก'!AM91="Y"),"❌ Misc.",IF(AND('📝 Four-tier กรอก'!AJ91&lt;&gt;'📝 Four-tier กรอก'!AJ51,'📝 Four-tier กรอก'!AK91="N",'📝 Four-tier กรอก'!AL91&lt;&gt;'📝 Four-tier กรอก'!AL51,'📝 Four-tier กรอก'!AM91="N"),"❓ NoK","🤔 Partial")))))</f>
        <v/>
      </c>
      <c r="M90" s="68">
        <f>IF(OR('📝 Four-tier กรอก'!AN91="",'📝 Four-tier กรอก'!AP91=""),"—",IF(AND('📝 Four-tier กรอก'!AN91='📝 Four-tier กรอก'!AN51,'📝 Four-tier กรอก'!AO91="Y",'📝 Four-tier กรอก'!AP91='📝 Four-tier กรอก'!AP51,'📝 Four-tier กรอก'!AQ91="Y"),"✅ Sound",IF(AND('📝 Four-tier กรอก'!AN91='📝 Four-tier กรอก'!AN51,'📝 Four-tier กรอก'!AO91="Y",'📝 Four-tier กรอก'!AP91&lt;&gt;'📝 Four-tier กรอก'!AP51,'📝 Four-tier กรอก'!AQ91="Y"),"🎲 Guess",IF(AND('📝 Four-tier กรอก'!AN91&lt;&gt;'📝 Four-tier กรอก'!AN51,'📝 Four-tier กรอก'!AO91="Y",'📝 Four-tier กรอก'!AP91&lt;&gt;'📝 Four-tier กรอก'!AP51,'📝 Four-tier กรอก'!AQ91="Y"),"❌ Misc.",IF(AND('📝 Four-tier กรอก'!AN91&lt;&gt;'📝 Four-tier กรอก'!AN51,'📝 Four-tier กรอก'!AO91="N",'📝 Four-tier กรอก'!AP91&lt;&gt;'📝 Four-tier กรอก'!AP51,'📝 Four-tier กรอก'!AQ91="N"),"❓ NoK","🤔 Partial")))))</f>
        <v/>
      </c>
      <c r="N90" s="68">
        <f>IF(OR('📝 Four-tier กรอก'!AR91="",'📝 Four-tier กรอก'!AT91=""),"—",IF(AND('📝 Four-tier กรอก'!AR91='📝 Four-tier กรอก'!AR51,'📝 Four-tier กรอก'!AS91="Y",'📝 Four-tier กรอก'!AT91='📝 Four-tier กรอก'!AT51,'📝 Four-tier กรอก'!AU91="Y"),"✅ Sound",IF(AND('📝 Four-tier กรอก'!AR91='📝 Four-tier กรอก'!AR51,'📝 Four-tier กรอก'!AS91="Y",'📝 Four-tier กรอก'!AT91&lt;&gt;'📝 Four-tier กรอก'!AT51,'📝 Four-tier กรอก'!AU91="Y"),"🎲 Guess",IF(AND('📝 Four-tier กรอก'!AR91&lt;&gt;'📝 Four-tier กรอก'!AR51,'📝 Four-tier กรอก'!AS91="Y",'📝 Four-tier กรอก'!AT91&lt;&gt;'📝 Four-tier กรอก'!AT51,'📝 Four-tier กรอก'!AU91="Y"),"❌ Misc.",IF(AND('📝 Four-tier กรอก'!AR91&lt;&gt;'📝 Four-tier กรอก'!AR51,'📝 Four-tier กรอก'!AS91="N",'📝 Four-tier กรอก'!AT91&lt;&gt;'📝 Four-tier กรอก'!AT51,'📝 Four-tier กรอก'!AU91="N"),"❓ NoK","🤔 Partial")))))</f>
        <v/>
      </c>
      <c r="O90" s="68">
        <f>IF(OR('📝 Four-tier กรอก'!AV91="",'📝 Four-tier กรอก'!AX91=""),"—",IF(AND('📝 Four-tier กรอก'!AV91='📝 Four-tier กรอก'!AV51,'📝 Four-tier กรอก'!AW91="Y",'📝 Four-tier กรอก'!AX91='📝 Four-tier กรอก'!AX51,'📝 Four-tier กรอก'!AY91="Y"),"✅ Sound",IF(AND('📝 Four-tier กรอก'!AV91='📝 Four-tier กรอก'!AV51,'📝 Four-tier กรอก'!AW91="Y",'📝 Four-tier กรอก'!AX91&lt;&gt;'📝 Four-tier กรอก'!AX51,'📝 Four-tier กรอก'!AY91="Y"),"🎲 Guess",IF(AND('📝 Four-tier กรอก'!AV91&lt;&gt;'📝 Four-tier กรอก'!AV51,'📝 Four-tier กรอก'!AW91="Y",'📝 Four-tier กรอก'!AX91&lt;&gt;'📝 Four-tier กรอก'!AX51,'📝 Four-tier กรอก'!AY91="Y"),"❌ Misc.",IF(AND('📝 Four-tier กรอก'!AV91&lt;&gt;'📝 Four-tier กรอก'!AV51,'📝 Four-tier กรอก'!AW91="N",'📝 Four-tier กรอก'!AX91&lt;&gt;'📝 Four-tier กรอก'!AX51,'📝 Four-tier กรอก'!AY91="N"),"❓ NoK","🤔 Partial")))))</f>
        <v/>
      </c>
      <c r="P90" s="68">
        <f>IF(OR('📝 Four-tier กรอก'!AZ91="",'📝 Four-tier กรอก'!BB91=""),"—",IF(AND('📝 Four-tier กรอก'!AZ91='📝 Four-tier กรอก'!AZ51,'📝 Four-tier กรอก'!BA91="Y",'📝 Four-tier กรอก'!BB91='📝 Four-tier กรอก'!BB51,'📝 Four-tier กรอก'!BC91="Y"),"✅ Sound",IF(AND('📝 Four-tier กรอก'!AZ91='📝 Four-tier กรอก'!AZ51,'📝 Four-tier กรอก'!BA91="Y",'📝 Four-tier กรอก'!BB91&lt;&gt;'📝 Four-tier กรอก'!BB51,'📝 Four-tier กรอก'!BC91="Y"),"🎲 Guess",IF(AND('📝 Four-tier กรอก'!AZ91&lt;&gt;'📝 Four-tier กรอก'!AZ51,'📝 Four-tier กรอก'!BA91="Y",'📝 Four-tier กรอก'!BB91&lt;&gt;'📝 Four-tier กรอก'!BB51,'📝 Four-tier กรอก'!BC91="Y"),"❌ Misc.",IF(AND('📝 Four-tier กรอก'!AZ91&lt;&gt;'📝 Four-tier กรอก'!AZ51,'📝 Four-tier กรอก'!BA91="N",'📝 Four-tier กรอก'!BB91&lt;&gt;'📝 Four-tier กรอก'!BB51,'📝 Four-tier กรอก'!BC91="N"),"❓ NoK","🤔 Partial")))))</f>
        <v/>
      </c>
      <c r="Q90" s="68">
        <f>IF(OR('📝 Four-tier กรอก'!BD91="",'📝 Four-tier กรอก'!BF91=""),"—",IF(AND('📝 Four-tier กรอก'!BD91='📝 Four-tier กรอก'!BD51,'📝 Four-tier กรอก'!BE91="Y",'📝 Four-tier กรอก'!BF91='📝 Four-tier กรอก'!BF51,'📝 Four-tier กรอก'!BG91="Y"),"✅ Sound",IF(AND('📝 Four-tier กรอก'!BD91='📝 Four-tier กรอก'!BD51,'📝 Four-tier กรอก'!BE91="Y",'📝 Four-tier กรอก'!BF91&lt;&gt;'📝 Four-tier กรอก'!BF51,'📝 Four-tier กรอก'!BG91="Y"),"🎲 Guess",IF(AND('📝 Four-tier กรอก'!BD91&lt;&gt;'📝 Four-tier กรอก'!BD51,'📝 Four-tier กรอก'!BE91="Y",'📝 Four-tier กรอก'!BF91&lt;&gt;'📝 Four-tier กรอก'!BF51,'📝 Four-tier กรอก'!BG91="Y"),"❌ Misc.",IF(AND('📝 Four-tier กรอก'!BD91&lt;&gt;'📝 Four-tier กรอก'!BD51,'📝 Four-tier กรอก'!BE91="N",'📝 Four-tier กรอก'!BF91&lt;&gt;'📝 Four-tier กรอก'!BF51,'📝 Four-tier กรอก'!BG91="N"),"❓ NoK","🤔 Partial")))))</f>
        <v/>
      </c>
      <c r="R90" s="68">
        <f>IF(OR('📝 Four-tier กรอก'!BH91="",'📝 Four-tier กรอก'!BJ91=""),"—",IF(AND('📝 Four-tier กรอก'!BH91='📝 Four-tier กรอก'!BH51,'📝 Four-tier กรอก'!BI91="Y",'📝 Four-tier กรอก'!BJ91='📝 Four-tier กรอก'!BJ51,'📝 Four-tier กรอก'!BK91="Y"),"✅ Sound",IF(AND('📝 Four-tier กรอก'!BH91='📝 Four-tier กรอก'!BH51,'📝 Four-tier กรอก'!BI91="Y",'📝 Four-tier กรอก'!BJ91&lt;&gt;'📝 Four-tier กรอก'!BJ51,'📝 Four-tier กรอก'!BK91="Y"),"🎲 Guess",IF(AND('📝 Four-tier กรอก'!BH91&lt;&gt;'📝 Four-tier กรอก'!BH51,'📝 Four-tier กรอก'!BI91="Y",'📝 Four-tier กรอก'!BJ91&lt;&gt;'📝 Four-tier กรอก'!BJ51,'📝 Four-tier กรอก'!BK91="Y"),"❌ Misc.",IF(AND('📝 Four-tier กรอก'!BH91&lt;&gt;'📝 Four-tier กรอก'!BH51,'📝 Four-tier กรอก'!BI91="N",'📝 Four-tier กรอก'!BJ91&lt;&gt;'📝 Four-tier กรอก'!BJ51,'📝 Four-tier กรอก'!BK91="N"),"❓ NoK","🤔 Partial")))))</f>
        <v/>
      </c>
      <c r="S90" s="68">
        <f>IF(OR('📝 Four-tier กรอก'!BL91="",'📝 Four-tier กรอก'!BN91=""),"—",IF(AND('📝 Four-tier กรอก'!BL91='📝 Four-tier กรอก'!BL51,'📝 Four-tier กรอก'!BM91="Y",'📝 Four-tier กรอก'!BN91='📝 Four-tier กรอก'!BN51,'📝 Four-tier กรอก'!BO91="Y"),"✅ Sound",IF(AND('📝 Four-tier กรอก'!BL91='📝 Four-tier กรอก'!BL51,'📝 Four-tier กรอก'!BM91="Y",'📝 Four-tier กรอก'!BN91&lt;&gt;'📝 Four-tier กรอก'!BN51,'📝 Four-tier กรอก'!BO91="Y"),"🎲 Guess",IF(AND('📝 Four-tier กรอก'!BL91&lt;&gt;'📝 Four-tier กรอก'!BL51,'📝 Four-tier กรอก'!BM91="Y",'📝 Four-tier กรอก'!BN91&lt;&gt;'📝 Four-tier กรอก'!BN51,'📝 Four-tier กรอก'!BO91="Y"),"❌ Misc.",IF(AND('📝 Four-tier กรอก'!BL91&lt;&gt;'📝 Four-tier กรอก'!BL51,'📝 Four-tier กรอก'!BM91="N",'📝 Four-tier กรอก'!BN91&lt;&gt;'📝 Four-tier กรอก'!BN51,'📝 Four-tier กรอก'!BO91="N"),"❓ NoK","🤔 Partial")))))</f>
        <v/>
      </c>
      <c r="T90" s="68">
        <f>IF(OR('📝 Four-tier กรอก'!BP91="",'📝 Four-tier กรอก'!BR91=""),"—",IF(AND('📝 Four-tier กรอก'!BP91='📝 Four-tier กรอก'!BP51,'📝 Four-tier กรอก'!BQ91="Y",'📝 Four-tier กรอก'!BR91='📝 Four-tier กรอก'!BR51,'📝 Four-tier กรอก'!BS91="Y"),"✅ Sound",IF(AND('📝 Four-tier กรอก'!BP91='📝 Four-tier กรอก'!BP51,'📝 Four-tier กรอก'!BQ91="Y",'📝 Four-tier กรอก'!BR91&lt;&gt;'📝 Four-tier กรอก'!BR51,'📝 Four-tier กรอก'!BS91="Y"),"🎲 Guess",IF(AND('📝 Four-tier กรอก'!BP91&lt;&gt;'📝 Four-tier กรอก'!BP51,'📝 Four-tier กรอก'!BQ91="Y",'📝 Four-tier กรอก'!BR91&lt;&gt;'📝 Four-tier กรอก'!BR51,'📝 Four-tier กรอก'!BS91="Y"),"❌ Misc.",IF(AND('📝 Four-tier กรอก'!BP91&lt;&gt;'📝 Four-tier กรอก'!BP51,'📝 Four-tier กรอก'!BQ91="N",'📝 Four-tier กรอก'!BR91&lt;&gt;'📝 Four-tier กรอก'!BR51,'📝 Four-tier กรอก'!BS91="N"),"❓ NoK","🤔 Partial")))))</f>
        <v/>
      </c>
      <c r="U90" s="68">
        <f>IF(OR('📝 Four-tier กรอก'!BT91="",'📝 Four-tier กรอก'!BV91=""),"—",IF(AND('📝 Four-tier กรอก'!BT91='📝 Four-tier กรอก'!BT51,'📝 Four-tier กรอก'!BU91="Y",'📝 Four-tier กรอก'!BV91='📝 Four-tier กรอก'!BV51,'📝 Four-tier กรอก'!BW91="Y"),"✅ Sound",IF(AND('📝 Four-tier กรอก'!BT91='📝 Four-tier กรอก'!BT51,'📝 Four-tier กรอก'!BU91="Y",'📝 Four-tier กรอก'!BV91&lt;&gt;'📝 Four-tier กรอก'!BV51,'📝 Four-tier กรอก'!BW91="Y"),"🎲 Guess",IF(AND('📝 Four-tier กรอก'!BT91&lt;&gt;'📝 Four-tier กรอก'!BT51,'📝 Four-tier กรอก'!BU91="Y",'📝 Four-tier กรอก'!BV91&lt;&gt;'📝 Four-tier กรอก'!BV51,'📝 Four-tier กรอก'!BW91="Y"),"❌ Misc.",IF(AND('📝 Four-tier กรอก'!BT91&lt;&gt;'📝 Four-tier กรอก'!BT51,'📝 Four-tier กรอก'!BU91="N",'📝 Four-tier กรอก'!BV91&lt;&gt;'📝 Four-tier กรอก'!BV51,'📝 Four-tier กรอก'!BW91="N"),"❓ NoK","🤔 Partial")))))</f>
        <v/>
      </c>
      <c r="V90" s="68">
        <f>IF(OR('📝 Four-tier กรอก'!BX91="",'📝 Four-tier กรอก'!BZ91=""),"—",IF(AND('📝 Four-tier กรอก'!BX91='📝 Four-tier กรอก'!BX51,'📝 Four-tier กรอก'!BY91="Y",'📝 Four-tier กรอก'!BZ91='📝 Four-tier กรอก'!BZ51,'📝 Four-tier กรอก'!CA91="Y"),"✅ Sound",IF(AND('📝 Four-tier กรอก'!BX91='📝 Four-tier กรอก'!BX51,'📝 Four-tier กรอก'!BY91="Y",'📝 Four-tier กรอก'!BZ91&lt;&gt;'📝 Four-tier กรอก'!BZ51,'📝 Four-tier กรอก'!CA91="Y"),"🎲 Guess",IF(AND('📝 Four-tier กรอก'!BX91&lt;&gt;'📝 Four-tier กรอก'!BX51,'📝 Four-tier กรอก'!BY91="Y",'📝 Four-tier กรอก'!BZ91&lt;&gt;'📝 Four-tier กรอก'!BZ51,'📝 Four-tier กรอก'!CA91="Y"),"❌ Misc.",IF(AND('📝 Four-tier กรอก'!BX91&lt;&gt;'📝 Four-tier กรอก'!BX51,'📝 Four-tier กรอก'!BY91="N",'📝 Four-tier กรอก'!BZ91&lt;&gt;'📝 Four-tier กรอก'!BZ51,'📝 Four-tier กรอก'!CA91="N"),"❓ NoK","🤔 Partial")))))</f>
        <v/>
      </c>
      <c r="W90" s="68">
        <f>IF(OR('📝 Four-tier กรอก'!CB91="",'📝 Four-tier กรอก'!CD91=""),"—",IF(AND('📝 Four-tier กรอก'!CB91='📝 Four-tier กรอก'!CB51,'📝 Four-tier กรอก'!CC91="Y",'📝 Four-tier กรอก'!CD91='📝 Four-tier กรอก'!CD51,'📝 Four-tier กรอก'!CE91="Y"),"✅ Sound",IF(AND('📝 Four-tier กรอก'!CB91='📝 Four-tier กรอก'!CB51,'📝 Four-tier กรอก'!CC91="Y",'📝 Four-tier กรอก'!CD91&lt;&gt;'📝 Four-tier กรอก'!CD51,'📝 Four-tier กรอก'!CE91="Y"),"🎲 Guess",IF(AND('📝 Four-tier กรอก'!CB91&lt;&gt;'📝 Four-tier กรอก'!CB51,'📝 Four-tier กรอก'!CC91="Y",'📝 Four-tier กรอก'!CD91&lt;&gt;'📝 Four-tier กรอก'!CD51,'📝 Four-tier กรอก'!CE91="Y"),"❌ Misc.",IF(AND('📝 Four-tier กรอก'!CB91&lt;&gt;'📝 Four-tier กรอก'!CB51,'📝 Four-tier กรอก'!CC91="N",'📝 Four-tier กรอก'!CD91&lt;&gt;'📝 Four-tier กรอก'!CD51,'📝 Four-tier กรอก'!CE91="N"),"❓ NoK","🤔 Partial")))))</f>
        <v/>
      </c>
      <c r="X90" s="37">
        <f>COUNTIF(D90:W90,"✅ Sound")</f>
        <v/>
      </c>
      <c r="Y90" s="37">
        <f>COUNTIF(D90:W90,"❌ Misc.")</f>
        <v/>
      </c>
      <c r="Z90" s="37">
        <f>COUNTIF(D90:W90,"🎲 Guess")</f>
        <v/>
      </c>
      <c r="AA90" s="37">
        <f>COUNTIF(D90:W90,"❓ NoK")</f>
        <v/>
      </c>
    </row>
    <row r="91" ht="15" customHeight="1">
      <c r="B91" s="230" t="inlineStr">
        <is>
          <t>% ทั้งชั้น (Auto)</t>
        </is>
      </c>
      <c r="C91" s="369" t="n"/>
      <c r="D91" s="69">
        <f>IFERROR(COUNTIF(D51:D90,"✅ Sound")/COUNTA(D51:D90),0)</f>
        <v/>
      </c>
      <c r="E91" s="69">
        <f>IFERROR(COUNTIF(E51:E90,"✅ Sound")/COUNTA(E51:E90),0)</f>
        <v/>
      </c>
      <c r="F91" s="69">
        <f>IFERROR(COUNTIF(F51:F90,"✅ Sound")/COUNTA(F51:F90),0)</f>
        <v/>
      </c>
      <c r="G91" s="69">
        <f>IFERROR(COUNTIF(G51:G90,"✅ Sound")/COUNTA(G51:G90),0)</f>
        <v/>
      </c>
      <c r="H91" s="69">
        <f>IFERROR(COUNTIF(H51:H90,"✅ Sound")/COUNTA(H51:H90),0)</f>
        <v/>
      </c>
      <c r="I91" s="69">
        <f>IFERROR(COUNTIF(I51:I90,"✅ Sound")/COUNTA(I51:I90),0)</f>
        <v/>
      </c>
      <c r="J91" s="69">
        <f>IFERROR(COUNTIF(J51:J90,"✅ Sound")/COUNTA(J51:J90),0)</f>
        <v/>
      </c>
      <c r="K91" s="69">
        <f>IFERROR(COUNTIF(K51:K90,"✅ Sound")/COUNTA(K51:K90),0)</f>
        <v/>
      </c>
      <c r="L91" s="69">
        <f>IFERROR(COUNTIF(L51:L90,"✅ Sound")/COUNTA(L51:L90),0)</f>
        <v/>
      </c>
      <c r="M91" s="69">
        <f>IFERROR(COUNTIF(M51:M90,"✅ Sound")/COUNTA(M51:M90),0)</f>
        <v/>
      </c>
      <c r="N91" s="69">
        <f>IFERROR(COUNTIF(N51:N90,"✅ Sound")/COUNTA(N51:N90),0)</f>
        <v/>
      </c>
      <c r="O91" s="69">
        <f>IFERROR(COUNTIF(O51:O90,"✅ Sound")/COUNTA(O51:O90),0)</f>
        <v/>
      </c>
      <c r="P91" s="69">
        <f>IFERROR(COUNTIF(P51:P90,"✅ Sound")/COUNTA(P51:P90),0)</f>
        <v/>
      </c>
      <c r="Q91" s="69">
        <f>IFERROR(COUNTIF(Q51:Q90,"✅ Sound")/COUNTA(Q51:Q90),0)</f>
        <v/>
      </c>
      <c r="R91" s="69">
        <f>IFERROR(COUNTIF(R51:R90,"✅ Sound")/COUNTA(R51:R90),0)</f>
        <v/>
      </c>
      <c r="S91" s="69">
        <f>IFERROR(COUNTIF(S51:S90,"✅ Sound")/COUNTA(S51:S90),0)</f>
        <v/>
      </c>
      <c r="T91" s="69">
        <f>IFERROR(COUNTIF(T51:T90,"✅ Sound")/COUNTA(T51:T90),0)</f>
        <v/>
      </c>
      <c r="U91" s="69">
        <f>IFERROR(COUNTIF(U51:U90,"✅ Sound")/COUNTA(U51:U90),0)</f>
        <v/>
      </c>
      <c r="V91" s="69">
        <f>IFERROR(COUNTIF(V51:V90,"✅ Sound")/COUNTA(V51:V90),0)</f>
        <v/>
      </c>
      <c r="W91" s="69">
        <f>IFERROR(COUNTIF(W51:W90,"✅ Sound")/COUNTA(W51:W90),0)</f>
        <v/>
      </c>
    </row>
  </sheetData>
  <mergeCells count="5">
    <mergeCell ref="B1:W1"/>
    <mergeCell ref="B3:W3"/>
    <mergeCell ref="B45:C45"/>
    <mergeCell ref="B49:W49"/>
    <mergeCell ref="B91:C9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31"/>
  <sheetViews>
    <sheetView showGridLines="0" zoomScaleNormal="100" workbookViewId="0">
      <selection activeCell="D30" sqref="D30"/>
    </sheetView>
  </sheetViews>
  <sheetFormatPr baseColWidth="10" defaultColWidth="8.6640625" defaultRowHeight="15"/>
  <cols>
    <col width="3" customWidth="1" min="1" max="1"/>
    <col width="32" customWidth="1" min="2" max="2"/>
    <col width="14" customWidth="1" min="3" max="4"/>
    <col width="36" customWidth="1" min="5" max="6"/>
    <col width="14" customWidth="1" min="7" max="8"/>
    <col width="13" customWidth="1" min="9" max="9"/>
    <col width="14" customWidth="1" min="10" max="10"/>
  </cols>
  <sheetData>
    <row r="1" ht="30" customHeight="1">
      <c r="B1" s="206" t="inlineStr">
        <is>
          <t>📊 สรุปผล Misconception M1–M5 ก่อน/หลังเรียน</t>
        </is>
      </c>
    </row>
    <row r="2" ht="36" customHeight="1">
      <c r="B2" s="71" t="inlineStr">
        <is>
          <t>Misconception</t>
        </is>
      </c>
      <c r="C2" s="71" t="inlineStr">
        <is>
          <t>ข้อที่วัด
(Pre)</t>
        </is>
      </c>
      <c r="D2" s="71" t="inlineStr">
        <is>
          <t>% ที่มี Misc.
(Pre)</t>
        </is>
      </c>
      <c r="E2" s="71" t="inlineStr">
        <is>
          <t>ข้อที่วัด
(Post)</t>
        </is>
      </c>
      <c r="F2" s="71" t="inlineStr">
        <is>
          <t>% ที่มี Misc.
(Post)</t>
        </is>
      </c>
      <c r="G2" s="71" t="inlineStr">
        <is>
          <t>ลดลง
(%)</t>
        </is>
      </c>
      <c r="H2" s="71" t="inlineStr">
        <is>
          <t>ระดับ</t>
        </is>
      </c>
    </row>
    <row r="3" ht="36" customHeight="1">
      <c r="B3" s="13" t="inlineStr">
        <is>
          <t>M1: อนุภาคน้ำเคลื่อนที่ตามคลื่น
(คลื่นพาอนุภาค ไม่ใช่พลังงาน)</t>
        </is>
      </c>
      <c r="C3" s="9" t="inlineStr">
        <is>
          <t>ข้อ 1, 2</t>
        </is>
      </c>
      <c r="D3" s="7" t="n"/>
      <c r="E3" s="9" t="inlineStr">
        <is>
          <t>ข้อ 1, 2</t>
        </is>
      </c>
      <c r="F3" s="7" t="n"/>
      <c r="G3" s="72">
        <f>IFERROR(F3-D3,"—")</f>
        <v/>
      </c>
      <c r="H3" s="37">
        <f>IFERROR(IF(G3&lt;-0.2,"🌟 ดีมาก",IF(G3&lt;-0.1,"✅ ดี","⚠️ ปรับปรุง")),"—")</f>
        <v/>
      </c>
    </row>
    <row r="4" ht="36" customHeight="1">
      <c r="B4" s="20" t="inlineStr">
        <is>
          <t>M2: คลื่นตามขวางต้องการตัวกลางแข็งเท่านั้น
(ไม่รู้ว่าของเหลวรับได้บางกรณี)</t>
        </is>
      </c>
      <c r="C4" s="73" t="inlineStr">
        <is>
          <t>ข้อ 3, 4</t>
        </is>
      </c>
      <c r="D4" s="7" t="n"/>
      <c r="E4" s="73" t="inlineStr">
        <is>
          <t>ข้อ 3, 4</t>
        </is>
      </c>
      <c r="F4" s="7" t="n"/>
      <c r="G4" s="72">
        <f>IFERROR(F4-D4,"—")</f>
        <v/>
      </c>
      <c r="H4" s="37">
        <f>IFERROR(IF(G4&lt;-0.2,"🌟 ดีมาก",IF(G4&lt;-0.1,"✅ ดี","⚠️ ปรับปรุง")),"—")</f>
        <v/>
      </c>
    </row>
    <row r="5" ht="36" customHeight="1">
      <c r="B5" s="14" t="inlineStr">
        <is>
          <t>M3: เสียงเป็นคลื่นตามขวาง
(สับสนระหว่างตามขวาง/ตามยาว)</t>
        </is>
      </c>
      <c r="C5" s="7" t="inlineStr">
        <is>
          <t>ข้อ 5, 6</t>
        </is>
      </c>
      <c r="D5" s="7" t="n"/>
      <c r="E5" s="7" t="inlineStr">
        <is>
          <t>ข้อ 5, 6</t>
        </is>
      </c>
      <c r="F5" s="7" t="n"/>
      <c r="G5" s="72">
        <f>IFERROR(F5-D5,"—")</f>
        <v/>
      </c>
      <c r="H5" s="37">
        <f>IFERROR(IF(G5&lt;-0.2,"🌟 ดีมาก",IF(G5&lt;-0.1,"✅ ดี","⚠️ ปรับปรุง")),"—")</f>
        <v/>
      </c>
    </row>
    <row r="6" ht="36" customHeight="1">
      <c r="B6" s="74" t="inlineStr">
        <is>
          <t>M4: ความถี่คลื่นขึ้นกับตัวกลาง
(ความถี่ขึ้นกับแหล่งกำเนิด)</t>
        </is>
      </c>
      <c r="C6" s="75" t="inlineStr">
        <is>
          <t>ข้อ 7, 8</t>
        </is>
      </c>
      <c r="D6" s="7" t="n"/>
      <c r="E6" s="75" t="inlineStr">
        <is>
          <t>ข้อ 7, 8</t>
        </is>
      </c>
      <c r="F6" s="7" t="n"/>
      <c r="G6" s="72">
        <f>IFERROR(F6-D6,"—")</f>
        <v/>
      </c>
      <c r="H6" s="37">
        <f>IFERROR(IF(G6&lt;-0.2,"🌟 ดีมาก",IF(G6&lt;-0.1,"✅ ดี","⚠️ ปรับปรุง")),"—")</f>
        <v/>
      </c>
    </row>
    <row r="7" ht="36" customHeight="1">
      <c r="B7" s="19" t="inlineStr">
        <is>
          <t>M5: คลื่นดลกับคลื่นต่อเนื่องต่างที่ความถี่
(ต่างที่ความต่อเนื่องของการรบกวน)</t>
        </is>
      </c>
      <c r="C7" s="10" t="inlineStr">
        <is>
          <t>ข้อ 9, 10</t>
        </is>
      </c>
      <c r="D7" s="7" t="n"/>
      <c r="E7" s="10" t="inlineStr">
        <is>
          <t>ข้อ 9, 10</t>
        </is>
      </c>
      <c r="F7" s="7" t="n"/>
      <c r="G7" s="72">
        <f>IFERROR(F7-D7,"—")</f>
        <v/>
      </c>
      <c r="H7" s="37">
        <f>IFERROR(IF(G7&lt;-0.2,"🌟 ดีมาก",IF(G7&lt;-0.1,"✅ ดี","⚠️ ปรับปรุง")),"—")</f>
        <v/>
      </c>
    </row>
    <row r="9" ht="15" customHeight="1">
      <c r="B9" s="207" t="inlineStr">
        <is>
          <t>📌 วิธีกรอก: นำ % จาก Sheet 🤖 Four-tier วิเคราะห์ (แถว % ทั้งชั้น) มากรอกในช่องสีเหลือง คอลัมน์ D และ F</t>
        </is>
      </c>
    </row>
    <row r="11" ht="21.75" customHeight="1">
      <c r="B11" s="208" t="inlineStr">
        <is>
          <t>📐 CRI Summary — ระดับความมั่นใจเฉลี่ยทั้งชั้น (คำนวณจาก Tier 2 และ Tier 4)</t>
        </is>
      </c>
    </row>
    <row r="12" ht="30" customHeight="1">
      <c r="B12" s="18" t="inlineStr">
        <is>
          <t>ประเภท</t>
        </is>
      </c>
      <c r="C12" s="18" t="inlineStr">
        <is>
          <t>Pre-test
Y (มั่นใจ) %</t>
        </is>
      </c>
      <c r="D12" s="18" t="inlineStr">
        <is>
          <t>Pre-test
N (ไม่มั่น) %</t>
        </is>
      </c>
      <c r="E12" s="18" t="inlineStr">
        <is>
          <t>Post-test
Y (มั่นใจ) %</t>
        </is>
      </c>
      <c r="F12" s="18" t="inlineStr">
        <is>
          <t>Post-test
N (ไม่มั่น) %</t>
        </is>
      </c>
      <c r="G12" s="18" t="inlineStr">
        <is>
          <t>การเปลี่ยนแปลง</t>
        </is>
      </c>
    </row>
    <row r="13" ht="18" customHeight="1">
      <c r="B13" s="74" t="inlineStr">
        <is>
          <t>Misconception (T1 ผิด)</t>
        </is>
      </c>
      <c r="C13" s="7" t="n"/>
      <c r="D13" s="7" t="n"/>
      <c r="E13" s="7" t="n"/>
      <c r="F13" s="7" t="n"/>
      <c r="G13" s="7" t="n"/>
    </row>
    <row r="14" ht="18" customHeight="1">
      <c r="B14" s="74" t="inlineStr">
        <is>
          <t>Sound Understanding (T1 ถูก)</t>
        </is>
      </c>
      <c r="C14" s="7" t="n"/>
      <c r="D14" s="7" t="n"/>
      <c r="E14" s="7" t="n"/>
      <c r="F14" s="7" t="n"/>
      <c r="G14" s="7" t="n"/>
    </row>
    <row r="15" ht="18" customHeight="1">
      <c r="B15" s="74" t="inlineStr">
        <is>
          <t>รวมทั้งหมด</t>
        </is>
      </c>
      <c r="C15" s="7" t="n"/>
      <c r="D15" s="7" t="n"/>
      <c r="E15" s="7" t="n"/>
      <c r="F15" s="7" t="n"/>
      <c r="G15" s="7" t="n"/>
    </row>
    <row r="16" ht="15" customHeight="1">
      <c r="B16" s="207" t="inlineStr">
        <is>
          <t>📌 กรอกข้อมูล CRI จากการนับ Y/N ใน Tier 2 และ Tier 4 ของ Sheet 📝 Four-tier กรอก</t>
        </is>
      </c>
    </row>
    <row r="19" ht="24" customHeight="1">
      <c r="B19" s="209" t="inlineStr">
        <is>
          <t>ส่วนที่ 2 — ผล Misconception รายแผน (ดึงจาก Sheet 📋 Formative รายคาบ อัตโนมัติ)</t>
        </is>
      </c>
    </row>
    <row r="20" ht="18" customHeight="1">
      <c r="B20" s="210" t="inlineStr">
        <is>
          <t>📌 % Misc = % นักเรียนที่มีมโนทัศน์คลาดเคลื่อน (T1 ผิด + มั่นใจ) | ✅ ผ่านเกณฑ์ = Misc ลดลง ≥20% | ⚠️ ต้องปรับ = ลดลง &lt;20%</t>
        </is>
      </c>
    </row>
    <row r="21" ht="30" customHeight="1">
      <c r="B21" s="71" t="inlineStr">
        <is>
          <t>แผนที่</t>
        </is>
      </c>
      <c r="C21" s="71" t="inlineStr">
        <is>
          <t>คาบที่</t>
        </is>
      </c>
      <c r="D21" s="71" t="inlineStr">
        <is>
          <t>Misconception
ที่วัด</t>
        </is>
      </c>
      <c r="E21" s="211" t="inlineStr">
        <is>
          <t>คำอธิบาย
Misconception</t>
        </is>
      </c>
      <c r="F21" s="369" t="n"/>
      <c r="G21" s="71" t="inlineStr">
        <is>
          <t>Pre
% Misc</t>
        </is>
      </c>
      <c r="H21" s="71" t="inlineStr">
        <is>
          <t>Post
% Misc</t>
        </is>
      </c>
      <c r="I21" s="71" t="inlineStr">
        <is>
          <t>ลดลง
(%)</t>
        </is>
      </c>
      <c r="J21" s="71" t="inlineStr">
        <is>
          <t>ระดับ</t>
        </is>
      </c>
    </row>
    <row r="22" ht="21.75" customHeight="1">
      <c r="B22" s="76" t="n">
        <v>1</v>
      </c>
      <c r="C22" s="10" t="inlineStr">
        <is>
          <t>1–2</t>
        </is>
      </c>
      <c r="D22" s="77" t="inlineStr">
        <is>
          <t>M1, M3</t>
        </is>
      </c>
      <c r="E22" s="212" t="inlineStr">
        <is>
          <t>M1: อนุภาคน้ำเคลื่อนตามคลื่น | M3: เสียงเป็นคลื่นตามขวาง</t>
        </is>
      </c>
      <c r="F22" s="369" t="n"/>
      <c r="G22" s="78">
        <f>IFERROR('📋 Formative รายคาบ'!X44,"—")</f>
        <v/>
      </c>
      <c r="H22" s="79">
        <f>IFERROR('📋 Formative รายคาบ'!X84,"—")</f>
        <v/>
      </c>
      <c r="I22" s="80">
        <f>IFERROR(G22-H22,"—")</f>
        <v/>
      </c>
      <c r="J22" s="81">
        <f>IFERROR(IF(G22="—","—",IF(H22&lt;=0.1,"🌟 ดีมาก (Misc&lt;10%)",IF(I22&lt;=-0.2,"✅ ลดลงดี (≥20%)",IF(I22&lt;0,"⚠️ ลดบ้าง (&lt;20%)","🔴 ไม่ลดลง")))),"—")</f>
        <v/>
      </c>
    </row>
    <row r="23" ht="21.75" customHeight="1">
      <c r="B23" s="76" t="n">
        <v>2</v>
      </c>
      <c r="C23" s="10" t="inlineStr">
        <is>
          <t>3–4</t>
        </is>
      </c>
      <c r="D23" s="77" t="inlineStr">
        <is>
          <t>M4, M5</t>
        </is>
      </c>
      <c r="E23" s="212" t="inlineStr">
        <is>
          <t>M4: ความถี่ขึ้นกับตัวกลาง | M5: คลื่นดลต่างที่ความถี่</t>
        </is>
      </c>
      <c r="F23" s="369" t="n"/>
      <c r="G23" s="78">
        <f>IFERROR('📋 Formative รายคาบ'!X127,"—")</f>
        <v/>
      </c>
      <c r="H23" s="79">
        <f>IFERROR('📋 Formative รายคาบ'!X167,"—")</f>
        <v/>
      </c>
      <c r="I23" s="80">
        <f>IFERROR(G23-H23,"—")</f>
        <v/>
      </c>
      <c r="J23" s="81">
        <f>IFERROR(IF(G23="—","—",IF(H23&lt;=0.1,"🌟 ดีมาก (Misc&lt;10%)",IF(I23&lt;=-0.2,"✅ ลดลงดี (≥20%)",IF(I23&lt;0,"⚠️ ลดบ้าง (&lt;20%)","🔴 ไม่ลดลง")))),"—")</f>
        <v/>
      </c>
    </row>
    <row r="24" ht="21.75" customHeight="1">
      <c r="B24" s="82" t="n">
        <v>3</v>
      </c>
      <c r="C24" s="8" t="inlineStr">
        <is>
          <t>5–6</t>
        </is>
      </c>
      <c r="D24" s="83" t="inlineStr">
        <is>
          <t>M4</t>
        </is>
      </c>
      <c r="E24" s="213" t="inlineStr">
        <is>
          <t>M4: ความเข้าใจผิดเรื่อง v=fλ (v เปลี่ยนเมื่อ f เปลี่ยน)</t>
        </is>
      </c>
      <c r="F24" s="369" t="n"/>
      <c r="G24" s="78">
        <f>IFERROR('📋 Formative รายคาบ'!X210,"—")</f>
        <v/>
      </c>
      <c r="H24" s="79">
        <f>IFERROR('📋 Formative รายคาบ'!X250,"—")</f>
        <v/>
      </c>
      <c r="I24" s="80">
        <f>IFERROR(G24-H24,"—")</f>
        <v/>
      </c>
      <c r="J24" s="84">
        <f>IFERROR(IF(G24="—","—",IF(H24&lt;=0.1,"🌟 ดีมาก (Misc&lt;10%)",IF(I24&lt;=-0.2,"✅ ลดลงดี (≥20%)",IF(I24&lt;0,"⚠️ ลดบ้าง (&lt;20%)","🔴 ไม่ลดลง")))),"—")</f>
        <v/>
      </c>
    </row>
    <row r="25" ht="21.75" customHeight="1">
      <c r="B25" s="82" t="n">
        <v>4</v>
      </c>
      <c r="C25" s="8" t="inlineStr">
        <is>
          <t>7</t>
        </is>
      </c>
      <c r="D25" s="83" t="inlineStr">
        <is>
          <t>M4</t>
        </is>
      </c>
      <c r="E25" s="213" t="inlineStr">
        <is>
          <t>M4: สรุปและฝึกปัญหา (Post only — ไม่มี Pre)</t>
        </is>
      </c>
      <c r="F25" s="369" t="n"/>
      <c r="G25" s="78">
        <f>"— (ไม่มี Pre)"</f>
        <v/>
      </c>
      <c r="H25" s="79">
        <f>IFERROR('📋 Formative รายคาบ'!X293,"—")</f>
        <v/>
      </c>
      <c r="I25" s="80">
        <f>"—"</f>
        <v/>
      </c>
      <c r="J25" s="84">
        <f>IFERROR(IF(H25&lt;=0.1,"🌟 Misc ต่ำมาก",IF(H25&lt;=0.3,"✅ Misc ระดับดี","⚠️ Misc ยังสูง")),"—")</f>
        <v/>
      </c>
    </row>
    <row r="26" ht="21.75" customHeight="1">
      <c r="B26" s="85" t="n">
        <v>5</v>
      </c>
      <c r="C26" s="7" t="inlineStr">
        <is>
          <t>8–10</t>
        </is>
      </c>
      <c r="D26" s="86" t="inlineStr">
        <is>
          <t>M_sup</t>
        </is>
      </c>
      <c r="E26" s="216" t="inlineStr">
        <is>
          <t>M_sup: คลื่นซ้อนทับแล้วรูปร่างเปลี่ยนถาวร</t>
        </is>
      </c>
      <c r="F26" s="369" t="n"/>
      <c r="G26" s="78">
        <f>IFERROR('📋 Formative รายคาบ'!X336,"—")</f>
        <v/>
      </c>
      <c r="H26" s="79">
        <f>IFERROR('📋 Formative รายคาบ'!X376,"—")</f>
        <v/>
      </c>
      <c r="I26" s="80">
        <f>IFERROR(G26-H26,"—")</f>
        <v/>
      </c>
      <c r="J26" s="87">
        <f>IFERROR(IF(G26="—","—",IF(H26&lt;=0.1,"🌟 ดีมาก (Misc&lt;10%)",IF(I26&lt;=-0.2,"✅ ลดลงดี (≥20%)",IF(I26&lt;0,"⚠️ ลดบ้าง (&lt;20%)","🔴 ไม่ลดลง")))),"—")</f>
        <v/>
      </c>
    </row>
    <row r="27" ht="21.75" customHeight="1">
      <c r="B27" s="88" t="n">
        <v>6</v>
      </c>
      <c r="C27" s="73" t="inlineStr">
        <is>
          <t>11–12</t>
        </is>
      </c>
      <c r="D27" s="89" t="inlineStr">
        <is>
          <t>M_ref</t>
        </is>
      </c>
      <c r="E27" s="217" t="inlineStr">
        <is>
          <t>M_ref: คลื่นสะท้อนปลายตรึงเฟสคงเดิม</t>
        </is>
      </c>
      <c r="F27" s="369" t="n"/>
      <c r="G27" s="78">
        <f>IFERROR('📋 Formative รายคาบ'!X419,"—")</f>
        <v/>
      </c>
      <c r="H27" s="79">
        <f>IFERROR('📋 Formative รายคาบ'!X459,"—")</f>
        <v/>
      </c>
      <c r="I27" s="80">
        <f>IFERROR(G27-H27,"—")</f>
        <v/>
      </c>
      <c r="J27" s="90">
        <f>IFERROR(IF(G27="—","—",IF(H27&lt;=0.1,"🌟 ดีมาก (Misc&lt;10%)",IF(I27&lt;=-0.2,"✅ ลดลงดี (≥20%)",IF(I27&lt;0,"⚠️ ลดบ้าง (&lt;20%)","🔴 ไม่ลดลง")))),"—")</f>
        <v/>
      </c>
    </row>
    <row r="28" ht="21.75" customHeight="1">
      <c r="B28" s="91" t="n">
        <v>7</v>
      </c>
      <c r="C28" s="75" t="inlineStr">
        <is>
          <t>13–15</t>
        </is>
      </c>
      <c r="D28" s="92" t="inlineStr">
        <is>
          <t>M_int</t>
        </is>
      </c>
      <c r="E28" s="218" t="inlineStr">
        <is>
          <t>M_int: Δr=nλ คือจุดบัพ (สับสนกับปฏิบัพ)</t>
        </is>
      </c>
      <c r="F28" s="369" t="n"/>
      <c r="G28" s="78">
        <f>IFERROR('📋 Formative รายคาบ'!X502,"—")</f>
        <v/>
      </c>
      <c r="H28" s="79">
        <f>IFERROR('📋 Formative รายคาบ'!X542,"—")</f>
        <v/>
      </c>
      <c r="I28" s="80">
        <f>IFERROR(G28-H28,"—")</f>
        <v/>
      </c>
      <c r="J28" s="93">
        <f>IFERROR(IF(G28="—","—",IF(H28&lt;=0.1,"🌟 ดีมาก (Misc&lt;10%)",IF(I28&lt;=-0.2,"✅ ลดลงดี (≥20%)",IF(I28&lt;0,"⚠️ ลดบ้าง (&lt;20%)","🔴 ไม่ลดลง")))),"—")</f>
        <v/>
      </c>
    </row>
    <row r="29" ht="21.75" customHeight="1">
      <c r="B29" s="91" t="n">
        <v>8</v>
      </c>
      <c r="C29" s="75" t="inlineStr">
        <is>
          <t>14,16</t>
        </is>
      </c>
      <c r="D29" s="92" t="inlineStr">
        <is>
          <t>M_dif</t>
        </is>
      </c>
      <c r="E29" s="218" t="inlineStr">
        <is>
          <t>M_dif: ช่องแคบ คลื่นผ่านไม่ได้ (Post only)</t>
        </is>
      </c>
      <c r="F29" s="369" t="n"/>
      <c r="G29" s="78">
        <f>"— (ไม่มี Pre)"</f>
        <v/>
      </c>
      <c r="H29" s="79">
        <f>IFERROR('📋 Formative รายคาบ'!X585,"—")</f>
        <v/>
      </c>
      <c r="I29" s="80">
        <f>"—"</f>
        <v/>
      </c>
      <c r="J29" s="93">
        <f>IFERROR(IF(H29&lt;=0.1,"🌟 Misc ต่ำมาก",IF(H29&lt;=0.3,"✅ Misc ระดับดี","⚠️ Misc ยังสูง")),"—")</f>
        <v/>
      </c>
    </row>
    <row r="30" ht="21.75" customHeight="1">
      <c r="B30" s="1" t="n">
        <v>9</v>
      </c>
      <c r="C30" s="10" t="inlineStr">
        <is>
          <t>17–18</t>
        </is>
      </c>
      <c r="D30" s="94" t="inlineStr">
        <is>
          <t>M1, M2, M3, M4, M5</t>
        </is>
      </c>
      <c r="E30" s="212" t="inlineStr">
        <is>
          <t>ทบทวนบูรณาการ M1–M5 รวม (Post only)</t>
        </is>
      </c>
      <c r="F30" s="369" t="n"/>
      <c r="G30" s="78">
        <f>"— (ไม่มี Pre)"</f>
        <v/>
      </c>
      <c r="H30" s="79">
        <f>IFERROR('📋 Formative รายคาบ'!X628,"—")</f>
        <v/>
      </c>
      <c r="I30" s="80">
        <f>"—"</f>
        <v/>
      </c>
      <c r="J30" s="81">
        <f>IFERROR(IF(H30&lt;=0.1,"🌟 Misc ต่ำมาก",IF(H30&lt;=0.3,"✅ Misc ระดับดี","⚠️ Misc ยังสูง")),"—")</f>
        <v/>
      </c>
    </row>
    <row r="31" ht="24" customHeight="1">
      <c r="B31" s="214" t="inlineStr">
        <is>
          <t>ภาพรวม 9 แผน</t>
        </is>
      </c>
      <c r="C31" s="369" t="n"/>
      <c r="D31" s="369" t="n"/>
      <c r="E31" s="215" t="inlineStr">
        <is>
          <t>Misconception หลายหัวข้อ</t>
        </is>
      </c>
      <c r="F31" s="369" t="n"/>
      <c r="G31" s="95">
        <f>IFERROR(AVERAGE(G22,G23,G24,G26,G27,G28),"—")</f>
        <v/>
      </c>
      <c r="H31" s="96">
        <f>IFERROR(AVERAGE(H22,H23,H24,H25,H26,H27,H28,H29,H30),"—")</f>
        <v/>
      </c>
      <c r="I31" s="97">
        <f>IFERROR(AVERAGE(I22,I23,I24,I26,I27,I28),"—")</f>
        <v/>
      </c>
      <c r="J31" s="98">
        <f>IFERROR(IF(IFERROR(AVERAGE(I22,I23,I24,I26,I27,I28),"—")&lt;=-0.2,"✅ ภาพรวมดี — Misc ลดลง","⚠️ ยังต้องปรับปรุง"),"กรอกข้อมูลก่อน")</f>
        <v/>
      </c>
    </row>
  </sheetData>
  <mergeCells count="18">
    <mergeCell ref="E30:F30"/>
    <mergeCell ref="B31:D31"/>
    <mergeCell ref="E31:F31"/>
    <mergeCell ref="E25:F25"/>
    <mergeCell ref="E26:F26"/>
    <mergeCell ref="E27:F27"/>
    <mergeCell ref="E28:F28"/>
    <mergeCell ref="E29:F29"/>
    <mergeCell ref="B20:H20"/>
    <mergeCell ref="E21:F21"/>
    <mergeCell ref="E22:F22"/>
    <mergeCell ref="E23:F23"/>
    <mergeCell ref="E24:F24"/>
    <mergeCell ref="B1:G1"/>
    <mergeCell ref="B9:H9"/>
    <mergeCell ref="B11:H11"/>
    <mergeCell ref="B16:H16"/>
    <mergeCell ref="B19:H19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Q49"/>
  <sheetViews>
    <sheetView showGridLines="0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M32" sqref="M32"/>
    </sheetView>
  </sheetViews>
  <sheetFormatPr baseColWidth="10" defaultColWidth="8.6640625" defaultRowHeight="15"/>
  <cols>
    <col width="1.5" customWidth="1" min="1" max="1"/>
    <col width="10" customWidth="1" min="2" max="2"/>
    <col width="7" customWidth="1" min="3" max="3"/>
    <col width="11.5" bestFit="1" customWidth="1" min="4" max="4"/>
    <col width="8" customWidth="1" min="5" max="5"/>
    <col width="6.1640625" bestFit="1" customWidth="1" min="6" max="6"/>
    <col width="10.83203125" bestFit="1" customWidth="1" min="7" max="7"/>
    <col width="8" bestFit="1" customWidth="1" min="8" max="8"/>
    <col width="7.1640625" customWidth="1" min="9" max="9"/>
    <col width="9" customWidth="1" min="10" max="12"/>
    <col width="8" customWidth="1" min="13" max="13"/>
    <col width="1.5" customWidth="1" min="14" max="14"/>
    <col width="22" customWidth="1" min="15" max="16"/>
    <col width="20" customWidth="1" min="17" max="17"/>
    <col width="1.5" customWidth="1" min="18" max="18"/>
  </cols>
  <sheetData>
    <row r="1" ht="36" customHeight="1">
      <c r="B1" s="258" t="inlineStr">
        <is>
          <t>🎯 TEACHING JOURNAL DASHBOARD — บันทึกการสอน คลื่นกล ม.5</t>
        </is>
      </c>
    </row>
    <row r="2" ht="19.5" customHeight="1">
      <c r="B2" s="259" t="inlineStr">
        <is>
          <t>รูปแบบ: 5E + POE + สื่อดิจิทัล  |  วPA 8 องค์ประกอบ  |  ข้อมูล Auto จาก Sheet POE/Four-tier  |  กรอกเองในช่องสีเหลือง</t>
        </is>
      </c>
    </row>
    <row r="3" ht="13.5" customHeight="1"/>
    <row r="4" ht="37" customHeight="1">
      <c r="B4" s="99" t="inlineStr">
        <is>
          <t>แผนที่สอนแล้ว</t>
        </is>
      </c>
      <c r="D4" s="100" t="inlineStr">
        <is>
          <t>เวลาเฉลี่ย / คาบ</t>
        </is>
      </c>
      <c r="F4" s="260" t="inlineStr">
        <is>
          <t>🟢 Traffic Light เฉลี่ย</t>
        </is>
      </c>
      <c r="G4" s="385" t="n"/>
      <c r="I4" s="101" t="inlineStr">
        <is>
          <t>% บรรลุวัตถุประสงค์
เฉลี่ย</t>
        </is>
      </c>
      <c r="J4" s="102" t="inlineStr">
        <is>
          <t>POE เฉลี่ย
(0-3)</t>
        </is>
      </c>
      <c r="K4" s="100" t="inlineStr">
        <is>
          <t>% Sound
(Four-tier)</t>
        </is>
      </c>
      <c r="L4" s="103" t="inlineStr">
        <is>
          <t>% Misconception
(Four-tier)</t>
        </is>
      </c>
      <c r="M4" s="104" t="inlineStr">
        <is>
          <t>แผนที่ต้อง
ปรับปรุง</t>
        </is>
      </c>
    </row>
    <row r="5" ht="37.5" customHeight="1">
      <c r="B5" s="105">
        <f>COUNTA(D15:D24)-COUNTBLANK(D15:D24)</f>
        <v/>
      </c>
      <c r="D5" s="106">
        <f>IFERROR(AVERAGE(E15:E24),0)</f>
        <v/>
      </c>
      <c r="F5" s="261">
        <f>IFERROR(AVERAGE(F15:F24),0)</f>
        <v/>
      </c>
      <c r="G5" s="385" t="n"/>
      <c r="I5" s="107">
        <f>IFERROR(AVERAGE(I15:I24),0)</f>
        <v/>
      </c>
      <c r="J5" s="108">
        <f>IFERROR(AVERAGE(J15:J24),0)</f>
        <v/>
      </c>
      <c r="K5" s="109">
        <f>IFERROR(AVERAGE(K15:K24),0)</f>
        <v/>
      </c>
      <c r="L5" s="110">
        <f>IFERROR(AVERAGE(L15:L24),0)</f>
        <v/>
      </c>
      <c r="M5" s="111">
        <f>COUNTIF(M15:M24,"⚠️ ต้องปรับ")</f>
        <v/>
      </c>
    </row>
    <row r="6" ht="15.75" customHeight="1">
      <c r="B6" s="112" t="inlineStr">
        <is>
          <t>/ 10 แผน</t>
        </is>
      </c>
      <c r="D6" s="113" t="inlineStr">
        <is>
          <t>นาที</t>
        </is>
      </c>
      <c r="F6" s="262" t="inlineStr">
        <is>
          <t>คน/คาบ</t>
        </is>
      </c>
      <c r="G6" s="385" t="n"/>
      <c r="I6" s="114" t="inlineStr">
        <is>
          <t>%</t>
        </is>
      </c>
      <c r="J6" s="115" t="inlineStr">
        <is>
          <t>คะแนน</t>
        </is>
      </c>
      <c r="K6" s="113" t="inlineStr">
        <is>
          <t>%</t>
        </is>
      </c>
      <c r="L6" s="116" t="inlineStr">
        <is>
          <t>%</t>
        </is>
      </c>
      <c r="M6" s="117" t="inlineStr">
        <is>
          <t>แผน</t>
        </is>
      </c>
    </row>
    <row r="7" ht="9.75" customHeight="1"/>
    <row r="8" ht="21.75" customHeight="1">
      <c r="B8" s="263" t="inlineStr">
        <is>
          <t>📊 แผงบันทึกรายแผน — กรอกในช่องสีเหลือง ช่องสีเขียวคำนวณอัตโนมัติ</t>
        </is>
      </c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6" t="n"/>
      <c r="O8" s="264" t="inlineStr">
        <is>
          <t>📝 บันทึกเชิงคุณภาพ (Keep / Change / Try)</t>
        </is>
      </c>
      <c r="P8" s="387" t="n"/>
      <c r="Q8" s="388" t="n"/>
    </row>
    <row r="9" ht="27.75" customHeight="1">
      <c r="B9" s="99" t="inlineStr">
        <is>
          <t>แผน
ที่</t>
        </is>
      </c>
      <c r="C9" s="265" t="inlineStr">
        <is>
          <t>คาบ
ที่</t>
        </is>
      </c>
      <c r="D9" s="266" t="inlineStr">
        <is>
          <t>วันที่
สอน</t>
        </is>
      </c>
      <c r="E9" s="266" t="inlineStr">
        <is>
          <t>เวลา
จริง
(นาที)</t>
        </is>
      </c>
      <c r="F9" s="266" t="inlineStr">
        <is>
          <t>🟢
(n)</t>
        </is>
      </c>
      <c r="G9" s="267" t="inlineStr">
        <is>
          <t>🟡
(n)</t>
        </is>
      </c>
      <c r="H9" s="268" t="inlineStr">
        <is>
          <t>🔴
(n)</t>
        </is>
      </c>
      <c r="I9" s="267" t="inlineStr">
        <is>
          <t>% บรรลุ
วัตถุประสงค์</t>
        </is>
      </c>
      <c r="J9" s="269" t="inlineStr">
        <is>
          <t>POE
เฉลี่ย</t>
        </is>
      </c>
      <c r="K9" s="266" t="inlineStr">
        <is>
          <t>% Sound
✅</t>
        </is>
      </c>
      <c r="L9" s="268" t="inlineStr">
        <is>
          <t>% Misc
❌</t>
        </is>
      </c>
      <c r="M9" s="265" t="inlineStr">
        <is>
          <t>สถานะ
แผน</t>
        </is>
      </c>
      <c r="O9" s="266" t="inlineStr">
        <is>
          <t>✅ Keep
สิ่งที่ได้ผล ควรคงไว้</t>
        </is>
      </c>
      <c r="P9" s="270" t="inlineStr">
        <is>
          <t>🔄 Change
สิ่งที่ต้องปรับปรุง</t>
        </is>
      </c>
      <c r="Q9" s="269" t="inlineStr">
        <is>
          <t>🆕 Try
สิ่งที่จะลองทำใหม่</t>
        </is>
      </c>
    </row>
    <row r="10" ht="27.75" customHeight="1">
      <c r="C10" s="389" t="n"/>
      <c r="D10" s="390" t="n"/>
      <c r="E10" s="390" t="n"/>
      <c r="F10" s="390" t="n"/>
      <c r="G10" s="391" t="n"/>
      <c r="H10" s="392" t="n"/>
      <c r="I10" s="391" t="n"/>
      <c r="J10" s="393" t="n"/>
      <c r="K10" s="390" t="n"/>
      <c r="L10" s="392" t="n"/>
      <c r="M10" s="389" t="n"/>
      <c r="O10" s="390" t="n"/>
      <c r="P10" s="394" t="n"/>
      <c r="Q10" s="393" t="n"/>
    </row>
    <row r="15" ht="42" customHeight="1">
      <c r="B15" s="118" t="n">
        <v>1</v>
      </c>
      <c r="C15" s="10" t="inlineStr">
        <is>
          <t>1–2</t>
        </is>
      </c>
      <c r="D15" s="7" t="n"/>
      <c r="E15" s="7" t="n"/>
      <c r="F15" s="7" t="n">
        <v>0</v>
      </c>
      <c r="G15" s="7" t="n">
        <v>0</v>
      </c>
      <c r="H15" s="7" t="n">
        <v>0</v>
      </c>
      <c r="I15" s="119" t="n"/>
      <c r="J15" s="120">
        <f>IFERROR('🔬 POE บันทึก'!Y4, 0)</f>
        <v/>
      </c>
      <c r="K15" s="69">
        <f>IFERROR(COUNTIF('🤖 Four-tier วิเคราะห์'!D52:W91,"✅ Sound")/COUNTA('📥 ข้อมูลนักเรียน'!C4:C43)/20,0)</f>
        <v/>
      </c>
      <c r="L15" s="50">
        <f>IFERROR(COUNTIF('🤖 Four-tier วิเคราะห์'!D52:W91,"❌ Misc.")/COUNTA('📥 ข้อมูลนักเรียน'!C4:C43)/20,0)</f>
        <v/>
      </c>
      <c r="M15" s="121">
        <f>IF(I15="","—",IF(AND(I15&gt;=0.8,L15&lt;0.2,J15&gt;=2),"✅ ดีมาก",IF(AND(I15&gt;=0.6,L15&lt;0.3),"🟡 พอใช้","⚠️ ต้องปรับ")))</f>
        <v/>
      </c>
      <c r="O15" s="122" t="n"/>
      <c r="P15" s="122" t="n"/>
      <c r="Q15" s="122" t="n"/>
    </row>
    <row r="16" ht="42" customHeight="1">
      <c r="B16" s="118" t="n">
        <v>2</v>
      </c>
      <c r="C16" s="10" t="inlineStr">
        <is>
          <t>3–4</t>
        </is>
      </c>
      <c r="D16" s="7" t="n"/>
      <c r="E16" s="7" t="n"/>
      <c r="F16" s="7" t="n">
        <v>0</v>
      </c>
      <c r="G16" s="7" t="n">
        <v>0</v>
      </c>
      <c r="H16" s="7" t="n">
        <v>0</v>
      </c>
      <c r="I16" s="119" t="n"/>
      <c r="J16" s="120">
        <f>IFERROR('🔬 POE บันทึก'!Y5, 0)</f>
        <v/>
      </c>
      <c r="K16" s="69">
        <f>IFERROR(COUNTIF('🤖 Four-tier วิเคราะห์'!D52:W91,"✅ Sound")/COUNTA('📥 ข้อมูลนักเรียน'!C4:C43)/20,0)</f>
        <v/>
      </c>
      <c r="L16" s="50">
        <f>IFERROR(COUNTIF('🤖 Four-tier วิเคราะห์'!D52:W91,"❌ Misc.")/COUNTA('📥 ข้อมูลนักเรียน'!C4:C43)/20,0)</f>
        <v/>
      </c>
      <c r="M16" s="123">
        <f>IF(I16="","—",IF(AND(I16&gt;=0.8,L16&lt;0.2,J16&gt;=2),"✅ ดีมาก",IF(AND(I16&gt;=0.6,L16&lt;0.3),"🟡 พอใช้","⚠️ ต้องปรับ")))</f>
        <v/>
      </c>
      <c r="O16" s="122" t="n"/>
      <c r="P16" s="122" t="n"/>
      <c r="Q16" s="122" t="n"/>
    </row>
    <row r="17" ht="42" customHeight="1">
      <c r="B17" s="124" t="n">
        <v>3</v>
      </c>
      <c r="C17" s="8" t="inlineStr">
        <is>
          <t>5–6</t>
        </is>
      </c>
      <c r="D17" s="7" t="n"/>
      <c r="E17" s="7" t="n"/>
      <c r="F17" s="7" t="n">
        <v>0</v>
      </c>
      <c r="G17" s="7" t="n">
        <v>0</v>
      </c>
      <c r="H17" s="7" t="n">
        <v>0</v>
      </c>
      <c r="I17" s="119" t="n"/>
      <c r="J17" s="120">
        <f>IFERROR('🔬 POE บันทึก'!Y6, 0)</f>
        <v/>
      </c>
      <c r="K17" s="69">
        <f>IFERROR(COUNTIF('🤖 Four-tier วิเคราะห์'!D52:W91,"✅ Sound")/COUNTA('📥 ข้อมูลนักเรียน'!C4:C43)/20,0)</f>
        <v/>
      </c>
      <c r="L17" s="50">
        <f>IFERROR(COUNTIF('🤖 Four-tier วิเคราะห์'!D52:W91,"❌ Misc.")/COUNTA('📥 ข้อมูลนักเรียน'!C4:C43)/20,0)</f>
        <v/>
      </c>
      <c r="M17" s="121">
        <f>IF(I17="","—",IF(AND(I17&gt;=0.8,L17&lt;0.2,J17&gt;=2),"✅ ดีมาก",IF(AND(I17&gt;=0.6,L17&lt;0.3),"🟡 พอใช้","⚠️ ต้องปรับ")))</f>
        <v/>
      </c>
      <c r="O17" s="122" t="n"/>
      <c r="P17" s="122" t="n"/>
      <c r="Q17" s="122" t="n"/>
    </row>
    <row r="18" ht="42" customHeight="1">
      <c r="B18" s="124" t="n">
        <v>4</v>
      </c>
      <c r="C18" s="8" t="inlineStr">
        <is>
          <t>7</t>
        </is>
      </c>
      <c r="D18" s="7" t="n"/>
      <c r="E18" s="7" t="n"/>
      <c r="F18" s="7" t="n">
        <v>0</v>
      </c>
      <c r="G18" s="7" t="n">
        <v>0</v>
      </c>
      <c r="H18" s="7" t="n">
        <v>0</v>
      </c>
      <c r="I18" s="119" t="n"/>
      <c r="J18" s="120">
        <f>IFERROR('🔬 POE บันทึก'!Y7, 0)</f>
        <v/>
      </c>
      <c r="K18" s="69">
        <f>IFERROR(COUNTIF('🤖 Four-tier วิเคราะห์'!D52:W91,"✅ Sound")/COUNTA('📥 ข้อมูลนักเรียน'!C4:C43)/20,0)</f>
        <v/>
      </c>
      <c r="L18" s="50">
        <f>IFERROR(COUNTIF('🤖 Four-tier วิเคราะห์'!D52:W91,"❌ Misc.")/COUNTA('📥 ข้อมูลนักเรียน'!C4:C43)/20,0)</f>
        <v/>
      </c>
      <c r="M18" s="123">
        <f>IF(I18="","—",IF(AND(I18&gt;=0.8,L18&lt;0.2,J18&gt;=2),"✅ ดีมาก",IF(AND(I18&gt;=0.6,L18&lt;0.3),"🟡 พอใช้","⚠️ ต้องปรับ")))</f>
        <v/>
      </c>
      <c r="O18" s="122" t="n"/>
      <c r="P18" s="122" t="n"/>
      <c r="Q18" s="122" t="n"/>
    </row>
    <row r="19" ht="42" customHeight="1">
      <c r="B19" s="125" t="n">
        <v>5</v>
      </c>
      <c r="C19" s="7" t="inlineStr">
        <is>
          <t>8–10</t>
        </is>
      </c>
      <c r="D19" s="7" t="n"/>
      <c r="E19" s="7" t="n"/>
      <c r="F19" s="7" t="n">
        <v>0</v>
      </c>
      <c r="G19" s="7" t="n">
        <v>0</v>
      </c>
      <c r="H19" s="7" t="n">
        <v>0</v>
      </c>
      <c r="I19" s="119" t="n"/>
      <c r="J19" s="120">
        <f>IFERROR('🔬 POE บันทึก'!Y8, 0)</f>
        <v/>
      </c>
      <c r="K19" s="69">
        <f>IFERROR(COUNTIF('🤖 Four-tier วิเคราะห์'!D52:W91,"✅ Sound")/COUNTA('📥 ข้อมูลนักเรียน'!C4:C43)/20,0)</f>
        <v/>
      </c>
      <c r="L19" s="50">
        <f>IFERROR(COUNTIF('🤖 Four-tier วิเคราะห์'!D52:W91,"❌ Misc.")/COUNTA('📥 ข้อมูลนักเรียน'!C4:C43)/20,0)</f>
        <v/>
      </c>
      <c r="M19" s="121">
        <f>IF(I19="","—",IF(AND(I19&gt;=0.8,L19&lt;0.2,J19&gt;=2),"✅ ดีมาก",IF(AND(I19&gt;=0.6,L19&lt;0.3),"🟡 พอใช้","⚠️ ต้องปรับ")))</f>
        <v/>
      </c>
      <c r="O19" s="122" t="n"/>
      <c r="P19" s="122" t="n"/>
      <c r="Q19" s="122" t="n"/>
    </row>
    <row r="20" ht="42" customHeight="1">
      <c r="B20" s="126" t="n">
        <v>6</v>
      </c>
      <c r="C20" s="73" t="inlineStr">
        <is>
          <t>11–12</t>
        </is>
      </c>
      <c r="D20" s="7" t="n"/>
      <c r="E20" s="7" t="n"/>
      <c r="F20" s="7" t="n">
        <v>0</v>
      </c>
      <c r="G20" s="7" t="n">
        <v>0</v>
      </c>
      <c r="H20" s="7" t="n">
        <v>0</v>
      </c>
      <c r="I20" s="119" t="n"/>
      <c r="J20" s="120">
        <f>IFERROR('🔬 POE บันทึก'!Y9, 0)</f>
        <v/>
      </c>
      <c r="K20" s="69">
        <f>IFERROR(COUNTIF('🤖 Four-tier วิเคราะห์'!D52:W91,"✅ Sound")/COUNTA('📥 ข้อมูลนักเรียน'!C4:C43)/20,0)</f>
        <v/>
      </c>
      <c r="L20" s="50">
        <f>IFERROR(COUNTIF('🤖 Four-tier วิเคราะห์'!D52:W91,"❌ Misc.")/COUNTA('📥 ข้อมูลนักเรียน'!C4:C43)/20,0)</f>
        <v/>
      </c>
      <c r="M20" s="123">
        <f>IF(I20="","—",IF(AND(I20&gt;=0.8,L20&lt;0.2,J20&gt;=2),"✅ ดีมาก",IF(AND(I20&gt;=0.6,L20&lt;0.3),"🟡 พอใช้","⚠️ ต้องปรับ")))</f>
        <v/>
      </c>
      <c r="O20" s="122" t="n"/>
      <c r="P20" s="122" t="n"/>
      <c r="Q20" s="122" t="n"/>
    </row>
    <row r="21" ht="42" customHeight="1">
      <c r="B21" s="127" t="n">
        <v>7</v>
      </c>
      <c r="C21" s="75" t="inlineStr">
        <is>
          <t>13–15</t>
        </is>
      </c>
      <c r="D21" s="7" t="n"/>
      <c r="E21" s="7" t="n"/>
      <c r="F21" s="7" t="n">
        <v>0</v>
      </c>
      <c r="G21" s="7" t="n">
        <v>0</v>
      </c>
      <c r="H21" s="7" t="n">
        <v>0</v>
      </c>
      <c r="I21" s="119" t="n"/>
      <c r="J21" s="120">
        <f>IFERROR('🔬 POE บันทึก'!Y10, 0)</f>
        <v/>
      </c>
      <c r="K21" s="69">
        <f>IFERROR(COUNTIF('🤖 Four-tier วิเคราะห์'!D52:W91,"✅ Sound")/COUNTA('📥 ข้อมูลนักเรียน'!C4:C43)/20,0)</f>
        <v/>
      </c>
      <c r="L21" s="50">
        <f>IFERROR(COUNTIF('🤖 Four-tier วิเคราะห์'!D52:W91,"❌ Misc.")/COUNTA('📥 ข้อมูลนักเรียน'!C4:C43)/20,0)</f>
        <v/>
      </c>
      <c r="M21" s="121">
        <f>IF(I21="","—",IF(AND(I21&gt;=0.8,L21&lt;0.2,J21&gt;=2),"✅ ดีมาก",IF(AND(I21&gt;=0.6,L21&lt;0.3),"🟡 พอใช้","⚠️ ต้องปรับ")))</f>
        <v/>
      </c>
      <c r="O21" s="122" t="n"/>
      <c r="P21" s="122" t="n"/>
      <c r="Q21" s="122" t="n"/>
    </row>
    <row r="22" ht="42" customHeight="1">
      <c r="B22" s="127" t="n">
        <v>8</v>
      </c>
      <c r="C22" s="75" t="inlineStr">
        <is>
          <t>14,16</t>
        </is>
      </c>
      <c r="D22" s="7" t="n"/>
      <c r="E22" s="7" t="n"/>
      <c r="F22" s="7" t="n">
        <v>0</v>
      </c>
      <c r="G22" s="7" t="n">
        <v>0</v>
      </c>
      <c r="H22" s="7" t="n">
        <v>0</v>
      </c>
      <c r="I22" s="119" t="n"/>
      <c r="J22" s="120">
        <f>IFERROR('🔬 POE บันทึก'!Y11, 0)</f>
        <v/>
      </c>
      <c r="K22" s="69">
        <f>IFERROR(COUNTIF('🤖 Four-tier วิเคราะห์'!D52:W91,"✅ Sound")/COUNTA('📥 ข้อมูลนักเรียน'!C4:C43)/20,0)</f>
        <v/>
      </c>
      <c r="L22" s="50">
        <f>IFERROR(COUNTIF('🤖 Four-tier วิเคราะห์'!D52:W91,"❌ Misc.")/COUNTA('📥 ข้อมูลนักเรียน'!C4:C43)/20,0)</f>
        <v/>
      </c>
      <c r="M22" s="123">
        <f>IF(I22="","—",IF(AND(I22&gt;=0.8,L22&lt;0.2,J22&gt;=2),"✅ ดีมาก",IF(AND(I22&gt;=0.6,L22&lt;0.3),"🟡 พอใช้","⚠️ ต้องปรับ")))</f>
        <v/>
      </c>
      <c r="O22" s="122" t="n"/>
      <c r="P22" s="122" t="n"/>
      <c r="Q22" s="122" t="n"/>
    </row>
    <row r="23" ht="42" customHeight="1">
      <c r="B23" s="128" t="n">
        <v>9</v>
      </c>
      <c r="C23" s="10" t="inlineStr">
        <is>
          <t>17–18</t>
        </is>
      </c>
      <c r="D23" s="7" t="n"/>
      <c r="E23" s="7" t="n"/>
      <c r="F23" s="7" t="n">
        <v>0</v>
      </c>
      <c r="G23" s="7" t="n">
        <v>0</v>
      </c>
      <c r="H23" s="7" t="n">
        <v>0</v>
      </c>
      <c r="I23" s="119" t="n"/>
      <c r="J23" s="120">
        <f>IFERROR('🔬 POE บันทึก'!Y12, 0)</f>
        <v/>
      </c>
      <c r="K23" s="69">
        <f>IFERROR(COUNTIF('🤖 Four-tier วิเคราะห์'!D52:W91,"✅ Sound")/COUNTA('📥 ข้อมูลนักเรียน'!C4:C43)/20,0)</f>
        <v/>
      </c>
      <c r="L23" s="50">
        <f>IFERROR(COUNTIF('🤖 Four-tier วิเคราะห์'!D52:W91,"❌ Misc.")/COUNTA('📥 ข้อมูลนักเรียน'!C4:C43)/20,0)</f>
        <v/>
      </c>
      <c r="M23" s="121">
        <f>IF(I23="","—",IF(AND(I23&gt;=0.8,L23&lt;0.2,J23&gt;=2),"✅ ดีมาก",IF(AND(I23&gt;=0.6,L23&lt;0.3),"🟡 พอใช้","⚠️ ต้องปรับ")))</f>
        <v/>
      </c>
      <c r="O23" s="122" t="n"/>
      <c r="P23" s="122" t="n"/>
      <c r="Q23" s="122" t="n"/>
    </row>
    <row r="24" ht="42" customHeight="1">
      <c r="B24" s="129" t="n">
        <v>10</v>
      </c>
      <c r="C24" s="9" t="inlineStr">
        <is>
          <t>19–20</t>
        </is>
      </c>
      <c r="D24" s="7" t="n"/>
      <c r="E24" s="7" t="n"/>
      <c r="F24" s="7" t="n">
        <v>0</v>
      </c>
      <c r="G24" s="7" t="n">
        <v>0</v>
      </c>
      <c r="H24" s="7" t="n">
        <v>0</v>
      </c>
      <c r="I24" s="119" t="n"/>
      <c r="J24" s="120">
        <f>IFERROR('🔬 POE บันทึก'!Y13, 0)</f>
        <v/>
      </c>
      <c r="K24" s="69">
        <f>IFERROR(COUNTIF('🤖 Four-tier วิเคราะห์'!D52:W91,"✅ Sound")/COUNTA('📥 ข้อมูลนักเรียน'!C4:C43)/20,0)</f>
        <v/>
      </c>
      <c r="L24" s="50">
        <f>IFERROR(COUNTIF('🤖 Four-tier วิเคราะห์'!D52:W91,"❌ Misc.")/COUNTA('📥 ข้อมูลนักเรียน'!C4:C43)/20,0)</f>
        <v/>
      </c>
      <c r="M24" s="123">
        <f>IF(I24="","—",IF(AND(I24&gt;=0.8,L24&lt;0.2,J24&gt;=2),"✅ ดีมาก",IF(AND(I24&gt;=0.6,L24&lt;0.3),"🟡 พอใช้","⚠️ ต้องปรับ")))</f>
        <v/>
      </c>
      <c r="O24" s="122" t="n"/>
      <c r="P24" s="122" t="n"/>
      <c r="Q24" s="122" t="n"/>
    </row>
    <row r="25" ht="24" customHeight="1">
      <c r="B25" s="226" t="inlineStr">
        <is>
          <t>รวม / เฉลี่ย</t>
        </is>
      </c>
      <c r="C25" s="369" t="n"/>
      <c r="D25" s="21" t="n"/>
      <c r="E25" s="130">
        <f>IFERROR(AVERAGE(E15:E24),0)</f>
        <v/>
      </c>
      <c r="F25" s="131">
        <f>IFERROR(SUM(F15:F24),0)</f>
        <v/>
      </c>
      <c r="G25" s="131">
        <f>IFERROR(SUM(G15:G24),0)</f>
        <v/>
      </c>
      <c r="H25" s="131">
        <f>IFERROR(SUM(H15:H24),0)</f>
        <v/>
      </c>
      <c r="I25" s="69">
        <f>IFERROR(AVERAGE(I15:I24),0)</f>
        <v/>
      </c>
      <c r="J25" s="120">
        <f>IFERROR(AVERAGE(J15:J24),0)</f>
        <v/>
      </c>
      <c r="K25" s="69">
        <f>IFERROR(AVERAGE(K15:K24),0)</f>
        <v/>
      </c>
      <c r="L25" s="69">
        <f>IFERROR(AVERAGE(L15:L24),0)</f>
        <v/>
      </c>
      <c r="M25" s="132">
        <f>COUNTIF(M15:M24,"⚠️ ต้องปรับ")&amp;" แผน"</f>
        <v/>
      </c>
    </row>
    <row r="26" ht="9.75" customHeight="1"/>
    <row r="27" ht="21.75" customHeight="1">
      <c r="B27" s="271" t="inlineStr">
        <is>
          <t>📈 แนวโน้มความก้าวหน้า — เปรียบเทียบรายแผน (Auto)</t>
        </is>
      </c>
      <c r="C27" s="395" t="n"/>
      <c r="D27" s="395" t="n"/>
      <c r="E27" s="395" t="n"/>
      <c r="F27" s="395" t="n"/>
      <c r="G27" s="395" t="n"/>
      <c r="H27" s="395" t="n"/>
      <c r="I27" s="395" t="n"/>
      <c r="J27" s="395" t="n"/>
      <c r="K27" s="395" t="n"/>
      <c r="L27" s="395" t="n"/>
      <c r="M27" s="395" t="n"/>
      <c r="N27" s="395" t="n"/>
      <c r="O27" s="395" t="n"/>
      <c r="P27" s="395" t="n"/>
      <c r="Q27" s="395" t="n"/>
    </row>
    <row r="28" ht="21.75" customHeight="1">
      <c r="B28" s="272" t="inlineStr">
        <is>
          <t>แผนที่</t>
        </is>
      </c>
      <c r="C28" s="395" t="n"/>
      <c r="D28" s="101" t="inlineStr">
        <is>
          <t>% บรรลุวัตถุประสงค์</t>
        </is>
      </c>
      <c r="E28" s="102" t="inlineStr">
        <is>
          <t>POE เฉลี่ย</t>
        </is>
      </c>
      <c r="F28" s="100" t="inlineStr">
        <is>
          <t>% Sound</t>
        </is>
      </c>
      <c r="G28" s="103" t="inlineStr">
        <is>
          <t>% Misconception</t>
        </is>
      </c>
      <c r="H28" s="260" t="inlineStr">
        <is>
          <t>Traffic 🟢</t>
        </is>
      </c>
      <c r="I28" s="385" t="n"/>
      <c r="J28" s="103" t="inlineStr">
        <is>
          <t>Traffic 🔴</t>
        </is>
      </c>
      <c r="K28" s="99" t="inlineStr">
        <is>
          <t>สถานะ</t>
        </is>
      </c>
      <c r="L28" s="273" t="inlineStr">
        <is>
          <t>Progress Bar (% บรรลุวัตถุประสงค์)</t>
        </is>
      </c>
      <c r="M28" s="387" t="n"/>
      <c r="N28" s="387" t="n"/>
      <c r="O28" s="387" t="n"/>
      <c r="P28" s="387" t="n"/>
      <c r="Q28" s="387" t="n"/>
    </row>
    <row r="29" ht="19.5" customHeight="1">
      <c r="B29" s="229" t="inlineStr">
        <is>
          <t>แผน 1</t>
        </is>
      </c>
      <c r="C29" s="369" t="n"/>
      <c r="D29" s="133">
        <f>I15</f>
        <v/>
      </c>
      <c r="E29" s="134">
        <f>J15</f>
        <v/>
      </c>
      <c r="F29" s="69">
        <f>K15</f>
        <v/>
      </c>
      <c r="G29" s="50">
        <f>L15</f>
        <v/>
      </c>
      <c r="H29" s="37">
        <f>F15</f>
        <v/>
      </c>
      <c r="I29" s="274">
        <f>H15</f>
        <v/>
      </c>
      <c r="J29" s="369" t="n"/>
      <c r="K29" s="135">
        <f>M15</f>
        <v/>
      </c>
      <c r="L29" s="136">
        <f>IF(I15="","",IF(I15&gt;=0.166666666666667,"█","░"))</f>
        <v/>
      </c>
      <c r="M29" s="136">
        <f>IF(I15="","",IF(I15&gt;=0.333333333333333,"█","░"))</f>
        <v/>
      </c>
      <c r="N29" s="136">
        <f>IF(I15="","",IF(I15&gt;=0.5,"█","░"))</f>
        <v/>
      </c>
      <c r="O29" s="136">
        <f>IF(I15="","",IF(I15&gt;=0.666666666666667,"█","░"))</f>
        <v/>
      </c>
      <c r="P29" s="136">
        <f>IF(I15="","",IF(I15&gt;=0.833333333333333,"█","░"))</f>
        <v/>
      </c>
      <c r="Q29" s="136">
        <f>IF(I15="","",IF(I15&gt;=1,"█","░"))</f>
        <v/>
      </c>
    </row>
    <row r="30" ht="19.5" customHeight="1">
      <c r="B30" s="229" t="inlineStr">
        <is>
          <t>แผน 2</t>
        </is>
      </c>
      <c r="C30" s="369" t="n"/>
      <c r="D30" s="133">
        <f>I16</f>
        <v/>
      </c>
      <c r="E30" s="134">
        <f>J16</f>
        <v/>
      </c>
      <c r="F30" s="69">
        <f>K16</f>
        <v/>
      </c>
      <c r="G30" s="50">
        <f>L16</f>
        <v/>
      </c>
      <c r="H30" s="37">
        <f>F16</f>
        <v/>
      </c>
      <c r="I30" s="274">
        <f>H16</f>
        <v/>
      </c>
      <c r="J30" s="369" t="n"/>
      <c r="K30" s="135">
        <f>M16</f>
        <v/>
      </c>
      <c r="L30" s="136">
        <f>IF(I16="","",IF(I16&gt;=0.166666666666667,"█","░"))</f>
        <v/>
      </c>
      <c r="M30" s="136">
        <f>IF(I16="","",IF(I16&gt;=0.333333333333333,"█","░"))</f>
        <v/>
      </c>
      <c r="N30" s="136">
        <f>IF(I16="","",IF(I16&gt;=0.5,"█","░"))</f>
        <v/>
      </c>
      <c r="O30" s="136">
        <f>IF(I16="","",IF(I16&gt;=0.666666666666667,"█","░"))</f>
        <v/>
      </c>
      <c r="P30" s="136">
        <f>IF(I16="","",IF(I16&gt;=0.833333333333333,"█","░"))</f>
        <v/>
      </c>
      <c r="Q30" s="136">
        <f>IF(I16="","",IF(I16&gt;=1,"█","░"))</f>
        <v/>
      </c>
    </row>
    <row r="31" ht="19.5" customHeight="1">
      <c r="B31" s="275" t="inlineStr">
        <is>
          <t>แผน 3</t>
        </is>
      </c>
      <c r="C31" s="369" t="n"/>
      <c r="D31" s="133">
        <f>I17</f>
        <v/>
      </c>
      <c r="E31" s="134">
        <f>J17</f>
        <v/>
      </c>
      <c r="F31" s="69">
        <f>K17</f>
        <v/>
      </c>
      <c r="G31" s="50">
        <f>L17</f>
        <v/>
      </c>
      <c r="H31" s="37">
        <f>F17</f>
        <v/>
      </c>
      <c r="I31" s="274">
        <f>H17</f>
        <v/>
      </c>
      <c r="J31" s="369" t="n"/>
      <c r="K31" s="135">
        <f>M17</f>
        <v/>
      </c>
      <c r="L31" s="136">
        <f>IF(I17="","",IF(I17&gt;=0.166666666666667,"█","░"))</f>
        <v/>
      </c>
      <c r="M31" s="136">
        <f>IF(I17="","",IF(I17&gt;=0.333333333333333,"█","░"))</f>
        <v/>
      </c>
      <c r="N31" s="136">
        <f>IF(I17="","",IF(I17&gt;=0.5,"█","░"))</f>
        <v/>
      </c>
      <c r="O31" s="136">
        <f>IF(I17="","",IF(I17&gt;=0.666666666666667,"█","░"))</f>
        <v/>
      </c>
      <c r="P31" s="136">
        <f>IF(I17="","",IF(I17&gt;=0.833333333333333,"█","░"))</f>
        <v/>
      </c>
      <c r="Q31" s="136">
        <f>IF(I17="","",IF(I17&gt;=1,"█","░"))</f>
        <v/>
      </c>
    </row>
    <row r="32" ht="19.5" customHeight="1">
      <c r="B32" s="275" t="inlineStr">
        <is>
          <t>แผน 4</t>
        </is>
      </c>
      <c r="C32" s="369" t="n"/>
      <c r="D32" s="133">
        <f>I18</f>
        <v/>
      </c>
      <c r="E32" s="134">
        <f>J18</f>
        <v/>
      </c>
      <c r="F32" s="69">
        <f>K18</f>
        <v/>
      </c>
      <c r="G32" s="50">
        <f>L18</f>
        <v/>
      </c>
      <c r="H32" s="37">
        <f>F18</f>
        <v/>
      </c>
      <c r="I32" s="274">
        <f>H18</f>
        <v/>
      </c>
      <c r="J32" s="369" t="n"/>
      <c r="K32" s="135">
        <f>M18</f>
        <v/>
      </c>
      <c r="L32" s="136">
        <f>IF(I18="","",IF(I18&gt;=0.166666666666667,"█","░"))</f>
        <v/>
      </c>
      <c r="M32" s="136">
        <f>IF(I18="","",IF(I18&gt;=0.333333333333333,"█","░"))</f>
        <v/>
      </c>
      <c r="N32" s="136">
        <f>IF(I18="","",IF(I18&gt;=0.5,"█","░"))</f>
        <v/>
      </c>
      <c r="O32" s="136">
        <f>IF(I18="","",IF(I18&gt;=0.666666666666667,"█","░"))</f>
        <v/>
      </c>
      <c r="P32" s="136">
        <f>IF(I18="","",IF(I18&gt;=0.833333333333333,"█","░"))</f>
        <v/>
      </c>
      <c r="Q32" s="136">
        <f>IF(I18="","",IF(I18&gt;=1,"█","░"))</f>
        <v/>
      </c>
    </row>
    <row r="33" ht="19.5" customHeight="1">
      <c r="B33" s="231" t="inlineStr">
        <is>
          <t>แผน 5</t>
        </is>
      </c>
      <c r="C33" s="369" t="n"/>
      <c r="D33" s="133">
        <f>I19</f>
        <v/>
      </c>
      <c r="E33" s="134">
        <f>J19</f>
        <v/>
      </c>
      <c r="F33" s="69">
        <f>K19</f>
        <v/>
      </c>
      <c r="G33" s="50">
        <f>L19</f>
        <v/>
      </c>
      <c r="H33" s="37">
        <f>F19</f>
        <v/>
      </c>
      <c r="I33" s="274">
        <f>H19</f>
        <v/>
      </c>
      <c r="J33" s="369" t="n"/>
      <c r="K33" s="135">
        <f>M19</f>
        <v/>
      </c>
      <c r="L33" s="136">
        <f>IF(I19="","",IF(I19&gt;=0.166666666666667,"█","░"))</f>
        <v/>
      </c>
      <c r="M33" s="136">
        <f>IF(I19="","",IF(I19&gt;=0.333333333333333,"█","░"))</f>
        <v/>
      </c>
      <c r="N33" s="136">
        <f>IF(I19="","",IF(I19&gt;=0.5,"█","░"))</f>
        <v/>
      </c>
      <c r="O33" s="136">
        <f>IF(I19="","",IF(I19&gt;=0.666666666666667,"█","░"))</f>
        <v/>
      </c>
      <c r="P33" s="136">
        <f>IF(I19="","",IF(I19&gt;=0.833333333333333,"█","░"))</f>
        <v/>
      </c>
      <c r="Q33" s="136">
        <f>IF(I19="","",IF(I19&gt;=1,"█","░"))</f>
        <v/>
      </c>
    </row>
    <row r="34" ht="19.5" customHeight="1">
      <c r="B34" s="233" t="inlineStr">
        <is>
          <t>แผน 6</t>
        </is>
      </c>
      <c r="C34" s="369" t="n"/>
      <c r="D34" s="133">
        <f>I20</f>
        <v/>
      </c>
      <c r="E34" s="134">
        <f>J20</f>
        <v/>
      </c>
      <c r="F34" s="69">
        <f>K20</f>
        <v/>
      </c>
      <c r="G34" s="50">
        <f>L20</f>
        <v/>
      </c>
      <c r="H34" s="37">
        <f>F20</f>
        <v/>
      </c>
      <c r="I34" s="274">
        <f>H20</f>
        <v/>
      </c>
      <c r="J34" s="369" t="n"/>
      <c r="K34" s="135">
        <f>M20</f>
        <v/>
      </c>
      <c r="L34" s="136">
        <f>IF(I20="","",IF(I20&gt;=0.166666666666667,"█","░"))</f>
        <v/>
      </c>
      <c r="M34" s="136">
        <f>IF(I20="","",IF(I20&gt;=0.333333333333333,"█","░"))</f>
        <v/>
      </c>
      <c r="N34" s="136">
        <f>IF(I20="","",IF(I20&gt;=0.5,"█","░"))</f>
        <v/>
      </c>
      <c r="O34" s="136">
        <f>IF(I20="","",IF(I20&gt;=0.666666666666667,"█","░"))</f>
        <v/>
      </c>
      <c r="P34" s="136">
        <f>IF(I20="","",IF(I20&gt;=0.833333333333333,"█","░"))</f>
        <v/>
      </c>
      <c r="Q34" s="136">
        <f>IF(I20="","",IF(I20&gt;=1,"█","░"))</f>
        <v/>
      </c>
    </row>
    <row r="35" ht="19.5" customHeight="1">
      <c r="B35" s="276" t="inlineStr">
        <is>
          <t>แผน 7</t>
        </is>
      </c>
      <c r="C35" s="369" t="n"/>
      <c r="D35" s="133">
        <f>I21</f>
        <v/>
      </c>
      <c r="E35" s="134">
        <f>J21</f>
        <v/>
      </c>
      <c r="F35" s="69">
        <f>K21</f>
        <v/>
      </c>
      <c r="G35" s="50">
        <f>L21</f>
        <v/>
      </c>
      <c r="H35" s="37">
        <f>F21</f>
        <v/>
      </c>
      <c r="I35" s="274">
        <f>H21</f>
        <v/>
      </c>
      <c r="J35" s="369" t="n"/>
      <c r="K35" s="135">
        <f>M21</f>
        <v/>
      </c>
      <c r="L35" s="136">
        <f>IF(I21="","",IF(I21&gt;=0.166666666666667,"█","░"))</f>
        <v/>
      </c>
      <c r="M35" s="136">
        <f>IF(I21="","",IF(I21&gt;=0.333333333333333,"█","░"))</f>
        <v/>
      </c>
      <c r="N35" s="136">
        <f>IF(I21="","",IF(I21&gt;=0.5,"█","░"))</f>
        <v/>
      </c>
      <c r="O35" s="136">
        <f>IF(I21="","",IF(I21&gt;=0.666666666666667,"█","░"))</f>
        <v/>
      </c>
      <c r="P35" s="136">
        <f>IF(I21="","",IF(I21&gt;=0.833333333333333,"█","░"))</f>
        <v/>
      </c>
      <c r="Q35" s="136">
        <f>IF(I21="","",IF(I21&gt;=1,"█","░"))</f>
        <v/>
      </c>
    </row>
    <row r="36" ht="19.5" customHeight="1">
      <c r="B36" s="276" t="inlineStr">
        <is>
          <t>แผน 8</t>
        </is>
      </c>
      <c r="C36" s="369" t="n"/>
      <c r="D36" s="133">
        <f>I22</f>
        <v/>
      </c>
      <c r="E36" s="134">
        <f>J22</f>
        <v/>
      </c>
      <c r="F36" s="69">
        <f>K22</f>
        <v/>
      </c>
      <c r="G36" s="50">
        <f>L22</f>
        <v/>
      </c>
      <c r="H36" s="37">
        <f>F22</f>
        <v/>
      </c>
      <c r="I36" s="274">
        <f>H22</f>
        <v/>
      </c>
      <c r="J36" s="369" t="n"/>
      <c r="K36" s="135">
        <f>M22</f>
        <v/>
      </c>
      <c r="L36" s="136">
        <f>IF(I22="","",IF(I22&gt;=0.166666666666667,"█","░"))</f>
        <v/>
      </c>
      <c r="M36" s="136">
        <f>IF(I22="","",IF(I22&gt;=0.333333333333333,"█","░"))</f>
        <v/>
      </c>
      <c r="N36" s="136">
        <f>IF(I22="","",IF(I22&gt;=0.5,"█","░"))</f>
        <v/>
      </c>
      <c r="O36" s="136">
        <f>IF(I22="","",IF(I22&gt;=0.666666666666667,"█","░"))</f>
        <v/>
      </c>
      <c r="P36" s="136">
        <f>IF(I22="","",IF(I22&gt;=0.833333333333333,"█","░"))</f>
        <v/>
      </c>
      <c r="Q36" s="136">
        <f>IF(I22="","",IF(I22&gt;=1,"█","░"))</f>
        <v/>
      </c>
    </row>
    <row r="37" ht="19.5" customHeight="1">
      <c r="B37" s="277" t="inlineStr">
        <is>
          <t>แผน 9</t>
        </is>
      </c>
      <c r="C37" s="369" t="n"/>
      <c r="D37" s="133">
        <f>I23</f>
        <v/>
      </c>
      <c r="E37" s="134">
        <f>J23</f>
        <v/>
      </c>
      <c r="F37" s="69">
        <f>K23</f>
        <v/>
      </c>
      <c r="G37" s="50">
        <f>L23</f>
        <v/>
      </c>
      <c r="H37" s="37">
        <f>F23</f>
        <v/>
      </c>
      <c r="I37" s="274">
        <f>H23</f>
        <v/>
      </c>
      <c r="J37" s="369" t="n"/>
      <c r="K37" s="135">
        <f>M23</f>
        <v/>
      </c>
      <c r="L37" s="136">
        <f>IF(I23="","",IF(I23&gt;=0.166666666666667,"█","░"))</f>
        <v/>
      </c>
      <c r="M37" s="136">
        <f>IF(I23="","",IF(I23&gt;=0.333333333333333,"█","░"))</f>
        <v/>
      </c>
      <c r="N37" s="136">
        <f>IF(I23="","",IF(I23&gt;=0.5,"█","░"))</f>
        <v/>
      </c>
      <c r="O37" s="136">
        <f>IF(I23="","",IF(I23&gt;=0.666666666666667,"█","░"))</f>
        <v/>
      </c>
      <c r="P37" s="136">
        <f>IF(I23="","",IF(I23&gt;=0.833333333333333,"█","░"))</f>
        <v/>
      </c>
      <c r="Q37" s="136">
        <f>IF(I23="","",IF(I23&gt;=1,"█","░"))</f>
        <v/>
      </c>
    </row>
    <row r="38" ht="19.5" customHeight="1">
      <c r="B38" s="211" t="inlineStr">
        <is>
          <t>แผน 10</t>
        </is>
      </c>
      <c r="C38" s="369" t="n"/>
      <c r="D38" s="133">
        <f>I24</f>
        <v/>
      </c>
      <c r="E38" s="134">
        <f>J24</f>
        <v/>
      </c>
      <c r="F38" s="69">
        <f>K24</f>
        <v/>
      </c>
      <c r="G38" s="50">
        <f>L24</f>
        <v/>
      </c>
      <c r="H38" s="37">
        <f>F24</f>
        <v/>
      </c>
      <c r="I38" s="274">
        <f>H24</f>
        <v/>
      </c>
      <c r="J38" s="369" t="n"/>
      <c r="K38" s="135">
        <f>M24</f>
        <v/>
      </c>
      <c r="L38" s="136">
        <f>IF(I24="","",IF(I24&gt;=0.166666666666667,"█","░"))</f>
        <v/>
      </c>
      <c r="M38" s="136">
        <f>IF(I24="","",IF(I24&gt;=0.333333333333333,"█","░"))</f>
        <v/>
      </c>
      <c r="N38" s="136">
        <f>IF(I24="","",IF(I24&gt;=0.5,"█","░"))</f>
        <v/>
      </c>
      <c r="O38" s="136">
        <f>IF(I24="","",IF(I24&gt;=0.666666666666667,"█","░"))</f>
        <v/>
      </c>
      <c r="P38" s="136">
        <f>IF(I24="","",IF(I24&gt;=0.833333333333333,"█","░"))</f>
        <v/>
      </c>
      <c r="Q38" s="136">
        <f>IF(I24="","",IF(I24&gt;=1,"█","░"))</f>
        <v/>
      </c>
    </row>
    <row r="39" ht="9.75" customHeight="1"/>
    <row r="40" ht="21.75" customHeight="1">
      <c r="B40" s="278" t="inlineStr">
        <is>
          <t>🔴 Misconception Tracker — ติดตาม M1–M5 ก่อน/หลังเรียน (ดึงจาก Sheet 📊 สรุป Misconception)</t>
        </is>
      </c>
      <c r="C40" s="396" t="n"/>
      <c r="D40" s="396" t="n"/>
      <c r="E40" s="396" t="n"/>
      <c r="F40" s="396" t="n"/>
      <c r="G40" s="396" t="n"/>
      <c r="H40" s="396" t="n"/>
      <c r="I40" s="396" t="n"/>
      <c r="J40" s="396" t="n"/>
      <c r="K40" s="396" t="n"/>
      <c r="L40" s="396" t="n"/>
      <c r="M40" s="396" t="n"/>
      <c r="N40" s="396" t="n"/>
      <c r="O40" s="396" t="n"/>
      <c r="P40" s="396" t="n"/>
      <c r="Q40" s="396" t="n"/>
    </row>
    <row r="41" ht="30" customHeight="1">
      <c r="B41" s="279" t="inlineStr">
        <is>
          <t>Misconception</t>
        </is>
      </c>
      <c r="C41" s="396" t="n"/>
      <c r="D41" s="396" t="n"/>
      <c r="E41" s="137" t="inlineStr">
        <is>
          <t>% Pre-test
มี Misc.</t>
        </is>
      </c>
      <c r="F41" s="100" t="inlineStr">
        <is>
          <t>% Post-test
มี Misc.</t>
        </is>
      </c>
      <c r="G41" s="99" t="inlineStr">
        <is>
          <t>ลดลง (%)</t>
        </is>
      </c>
      <c r="H41" s="99" t="inlineStr">
        <is>
          <t>ระดับ</t>
        </is>
      </c>
      <c r="I41" s="280" t="inlineStr">
        <is>
          <t>📉 Visual: Pre (สีส้ม) → Post (สีเขียว)</t>
        </is>
      </c>
      <c r="J41" s="397" t="n"/>
      <c r="K41" s="397" t="n"/>
      <c r="L41" s="397" t="n"/>
      <c r="M41" s="397" t="n"/>
      <c r="N41" s="397" t="n"/>
      <c r="O41" s="397" t="n"/>
      <c r="P41" s="397" t="n"/>
      <c r="Q41" s="397" t="n"/>
    </row>
    <row r="42" ht="19.5" customHeight="1">
      <c r="B42" s="281" t="inlineStr">
        <is>
          <t>M1: อนุภาคเคลื่อนตามคลื่น</t>
        </is>
      </c>
      <c r="C42" s="369" t="n"/>
      <c r="D42" s="369" t="n"/>
      <c r="E42" s="138">
        <f>'📊 สรุป Misconception'!D3</f>
        <v/>
      </c>
      <c r="F42" s="69">
        <f>'📊 สรุป Misconception'!F3</f>
        <v/>
      </c>
      <c r="G42" s="139">
        <f>'📊 สรุป Misconception'!G3</f>
        <v/>
      </c>
      <c r="H42" s="140">
        <f>'📊 สรุป Misconception'!H3</f>
        <v/>
      </c>
      <c r="I42" s="141">
        <f>IF(D3="","░",IF(D3&gt;=0.2,"█","░"))</f>
        <v/>
      </c>
      <c r="J42" s="141">
        <f>IF(D3="","░",IF(D3&gt;=0.4,"█","░"))</f>
        <v/>
      </c>
      <c r="K42" s="141">
        <f>IF(D3="","░",IF(D3&gt;=0.6,"█","░"))</f>
        <v/>
      </c>
      <c r="L42" s="141">
        <f>IF(D3="","░",IF(D3&gt;=0.8,"█","░"))</f>
        <v/>
      </c>
      <c r="M42" s="141">
        <f>IF(D3="","░",IF(D3&gt;=1,"█","░"))</f>
        <v/>
      </c>
      <c r="N42" s="142">
        <f>IF(F3="","░",IF(F3&gt;=0.25,"█","░"))</f>
        <v/>
      </c>
      <c r="O42" s="142">
        <f>IF(F3="","░",IF(F3&gt;=0.5,"█","░"))</f>
        <v/>
      </c>
      <c r="P42" s="142">
        <f>IF(F3="","░",IF(F3&gt;=0.75,"█","░"))</f>
        <v/>
      </c>
      <c r="Q42" s="142">
        <f>IF(F3="","░",IF(F3&gt;=1,"█","░"))</f>
        <v/>
      </c>
    </row>
    <row r="43" ht="19.5" customHeight="1">
      <c r="B43" s="282" t="inlineStr">
        <is>
          <t>M2: คลื่นตามขวางต้องการตัวกลางแข็ง</t>
        </is>
      </c>
      <c r="C43" s="369" t="n"/>
      <c r="D43" s="369" t="n"/>
      <c r="E43" s="138">
        <f>'📊 สรุป Misconception'!D4</f>
        <v/>
      </c>
      <c r="F43" s="69">
        <f>'📊 สรุป Misconception'!F4</f>
        <v/>
      </c>
      <c r="G43" s="139">
        <f>'📊 สรุป Misconception'!G4</f>
        <v/>
      </c>
      <c r="H43" s="140">
        <f>'📊 สรุป Misconception'!H4</f>
        <v/>
      </c>
      <c r="I43" s="141">
        <f>IF(D4="","░",IF(D4&gt;=0.2,"█","░"))</f>
        <v/>
      </c>
      <c r="J43" s="141">
        <f>IF(D4="","░",IF(D4&gt;=0.4,"█","░"))</f>
        <v/>
      </c>
      <c r="K43" s="141">
        <f>IF(D4="","░",IF(D4&gt;=0.6,"█","░"))</f>
        <v/>
      </c>
      <c r="L43" s="141">
        <f>IF(D4="","░",IF(D4&gt;=0.8,"█","░"))</f>
        <v/>
      </c>
      <c r="M43" s="141">
        <f>IF(D4="","░",IF(D4&gt;=1,"█","░"))</f>
        <v/>
      </c>
      <c r="N43" s="142">
        <f>IF(F4="","░",IF(F4&gt;=0.25,"█","░"))</f>
        <v/>
      </c>
      <c r="O43" s="142">
        <f>IF(F4="","░",IF(F4&gt;=0.5,"█","░"))</f>
        <v/>
      </c>
      <c r="P43" s="142">
        <f>IF(F4="","░",IF(F4&gt;=0.75,"█","░"))</f>
        <v/>
      </c>
      <c r="Q43" s="142">
        <f>IF(F4="","░",IF(F4&gt;=1,"█","░"))</f>
        <v/>
      </c>
    </row>
    <row r="44" ht="19.5" customHeight="1">
      <c r="B44" s="281" t="inlineStr">
        <is>
          <t>M3: เสียงเป็นคลื่นตามขวาง</t>
        </is>
      </c>
      <c r="C44" s="369" t="n"/>
      <c r="D44" s="369" t="n"/>
      <c r="E44" s="138">
        <f>'📊 สรุป Misconception'!D5</f>
        <v/>
      </c>
      <c r="F44" s="69">
        <f>'📊 สรุป Misconception'!F5</f>
        <v/>
      </c>
      <c r="G44" s="139">
        <f>'📊 สรุป Misconception'!G5</f>
        <v/>
      </c>
      <c r="H44" s="140">
        <f>'📊 สรุป Misconception'!H5</f>
        <v/>
      </c>
      <c r="I44" s="141">
        <f>IF(D5="","░",IF(D5&gt;=0.2,"█","░"))</f>
        <v/>
      </c>
      <c r="J44" s="141">
        <f>IF(D5="","░",IF(D5&gt;=0.4,"█","░"))</f>
        <v/>
      </c>
      <c r="K44" s="141">
        <f>IF(D5="","░",IF(D5&gt;=0.6,"█","░"))</f>
        <v/>
      </c>
      <c r="L44" s="141">
        <f>IF(D5="","░",IF(D5&gt;=0.8,"█","░"))</f>
        <v/>
      </c>
      <c r="M44" s="141">
        <f>IF(D5="","░",IF(D5&gt;=1,"█","░"))</f>
        <v/>
      </c>
      <c r="N44" s="142">
        <f>IF(F5="","░",IF(F5&gt;=0.25,"█","░"))</f>
        <v/>
      </c>
      <c r="O44" s="142">
        <f>IF(F5="","░",IF(F5&gt;=0.5,"█","░"))</f>
        <v/>
      </c>
      <c r="P44" s="142">
        <f>IF(F5="","░",IF(F5&gt;=0.75,"█","░"))</f>
        <v/>
      </c>
      <c r="Q44" s="142">
        <f>IF(F5="","░",IF(F5&gt;=1,"█","░"))</f>
        <v/>
      </c>
    </row>
    <row r="45" ht="19.5" customHeight="1">
      <c r="B45" s="282" t="inlineStr">
        <is>
          <t>M4: ความถี่ขึ้นกับตัวกลาง</t>
        </is>
      </c>
      <c r="C45" s="369" t="n"/>
      <c r="D45" s="369" t="n"/>
      <c r="E45" s="138">
        <f>'📊 สรุป Misconception'!D6</f>
        <v/>
      </c>
      <c r="F45" s="69">
        <f>'📊 สรุป Misconception'!F6</f>
        <v/>
      </c>
      <c r="G45" s="139">
        <f>'📊 สรุป Misconception'!G6</f>
        <v/>
      </c>
      <c r="H45" s="140">
        <f>'📊 สรุป Misconception'!H6</f>
        <v/>
      </c>
      <c r="I45" s="141">
        <f>IF(D6="","░",IF(D6&gt;=0.2,"█","░"))</f>
        <v/>
      </c>
      <c r="J45" s="141">
        <f>IF(D6="","░",IF(D6&gt;=0.4,"█","░"))</f>
        <v/>
      </c>
      <c r="K45" s="141">
        <f>IF(D6="","░",IF(D6&gt;=0.6,"█","░"))</f>
        <v/>
      </c>
      <c r="L45" s="141">
        <f>IF(D6="","░",IF(D6&gt;=0.8,"█","░"))</f>
        <v/>
      </c>
      <c r="M45" s="141">
        <f>IF(D6="","░",IF(D6&gt;=1,"█","░"))</f>
        <v/>
      </c>
      <c r="N45" s="142">
        <f>IF(F6="","░",IF(F6&gt;=0.25,"█","░"))</f>
        <v/>
      </c>
      <c r="O45" s="142">
        <f>IF(F6="","░",IF(F6&gt;=0.5,"█","░"))</f>
        <v/>
      </c>
      <c r="P45" s="142">
        <f>IF(F6="","░",IF(F6&gt;=0.75,"█","░"))</f>
        <v/>
      </c>
      <c r="Q45" s="142">
        <f>IF(F6="","░",IF(F6&gt;=1,"█","░"))</f>
        <v/>
      </c>
    </row>
    <row r="46" ht="19.5" customHeight="1">
      <c r="B46" s="281" t="inlineStr">
        <is>
          <t>M5: คลื่นดล vs ต่อเนื่องต่างที่ความถี่</t>
        </is>
      </c>
      <c r="C46" s="369" t="n"/>
      <c r="D46" s="369" t="n"/>
      <c r="E46" s="138">
        <f>'📊 สรุป Misconception'!D7</f>
        <v/>
      </c>
      <c r="F46" s="69">
        <f>'📊 สรุป Misconception'!F7</f>
        <v/>
      </c>
      <c r="G46" s="139">
        <f>'📊 สรุป Misconception'!G7</f>
        <v/>
      </c>
      <c r="H46" s="140">
        <f>'📊 สรุป Misconception'!H7</f>
        <v/>
      </c>
      <c r="I46" s="141">
        <f>IF(D7="","░",IF(D7&gt;=0.2,"█","░"))</f>
        <v/>
      </c>
      <c r="J46" s="141">
        <f>IF(D7="","░",IF(D7&gt;=0.4,"█","░"))</f>
        <v/>
      </c>
      <c r="K46" s="141">
        <f>IF(D7="","░",IF(D7&gt;=0.6,"█","░"))</f>
        <v/>
      </c>
      <c r="L46" s="141">
        <f>IF(D7="","░",IF(D7&gt;=0.8,"█","░"))</f>
        <v/>
      </c>
      <c r="M46" s="141">
        <f>IF(D7="","░",IF(D7&gt;=1,"█","░"))</f>
        <v/>
      </c>
      <c r="N46" s="142">
        <f>IF(F7="","░",IF(F7&gt;=0.25,"█","░"))</f>
        <v/>
      </c>
      <c r="O46" s="142">
        <f>IF(F7="","░",IF(F7&gt;=0.5,"█","░"))</f>
        <v/>
      </c>
      <c r="P46" s="142">
        <f>IF(F7="","░",IF(F7&gt;=0.75,"█","░"))</f>
        <v/>
      </c>
      <c r="Q46" s="142">
        <f>IF(F7="","░",IF(F7&gt;=1,"█","░"))</f>
        <v/>
      </c>
    </row>
    <row r="47" ht="9.75" customHeight="1"/>
    <row r="48" ht="36" customHeight="1">
      <c r="B48" s="283" t="inlineStr">
        <is>
          <t>📌 วิธีใช้ Dashboard:  (1) กรอกวันที่ เวลา Traffic Light และ % บรรลุวัตถุประสงค์ในช่องสีเหลือง  |  (2) POE เฉลี่ย, % Sound, % Misc คำนวณอัตโนมัติจาก Sheet อื่น  |  (3) กรอก Keep/Change/Try จากแบบฟอร์ม Word ในช่องขวา  |  (4) สถานะแผนและ Progress Bar อัปเดตอัตโนมัติตามข้อมูลที่กรอก</t>
        </is>
      </c>
      <c r="C48" s="395" t="n"/>
      <c r="D48" s="395" t="n"/>
      <c r="E48" s="395" t="n"/>
      <c r="F48" s="395" t="n"/>
      <c r="G48" s="395" t="n"/>
      <c r="H48" s="395" t="n"/>
      <c r="I48" s="395" t="n"/>
      <c r="J48" s="395" t="n"/>
      <c r="K48" s="395" t="n"/>
      <c r="L48" s="395" t="n"/>
      <c r="M48" s="395" t="n"/>
      <c r="N48" s="395" t="n"/>
      <c r="O48" s="395" t="n"/>
      <c r="P48" s="395" t="n"/>
      <c r="Q48" s="395" t="n"/>
    </row>
    <row r="49" ht="18" customHeight="1">
      <c r="B49" s="284" t="inlineStr">
        <is>
          <t>🟡 ช่องสีเหลือง = กรอกด้วยมือ</t>
        </is>
      </c>
      <c r="C49" s="369" t="n"/>
      <c r="D49" s="369" t="n"/>
      <c r="E49" s="285" t="inlineStr">
        <is>
          <t>🟢 ช่องสีเขียว = Auto จาก Sheet อื่น</t>
        </is>
      </c>
      <c r="F49" s="369" t="n"/>
      <c r="G49" s="369" t="n"/>
      <c r="H49" s="286" t="inlineStr">
        <is>
          <t>🔴 ช่องสีแดงอ่อน = Misconception สูง</t>
        </is>
      </c>
      <c r="I49" s="369" t="n"/>
      <c r="J49" s="369" t="n"/>
      <c r="K49" s="287" t="inlineStr">
        <is>
          <t>📊 ■ = Progress Bar (% บรรลุ)</t>
        </is>
      </c>
      <c r="L49" s="369" t="n"/>
      <c r="M49" s="369" t="n"/>
      <c r="N49" s="288" t="inlineStr">
        <is>
          <t>✅ ดีมาก | 🟡 พอใช้ | ⚠️ ต้องปรับ = เกณฑ์สถานะอัตโนมัติ</t>
        </is>
      </c>
      <c r="O49" s="369" t="n"/>
      <c r="P49" s="369" t="n"/>
      <c r="Q49" s="369" t="n"/>
    </row>
  </sheetData>
  <mergeCells count="60">
    <mergeCell ref="B48:Q48"/>
    <mergeCell ref="B49:D49"/>
    <mergeCell ref="E49:G49"/>
    <mergeCell ref="H49:J49"/>
    <mergeCell ref="K49:M49"/>
    <mergeCell ref="N49:Q49"/>
    <mergeCell ref="B42:D42"/>
    <mergeCell ref="B43:D43"/>
    <mergeCell ref="B44:D44"/>
    <mergeCell ref="B45:D45"/>
    <mergeCell ref="B46:D46"/>
    <mergeCell ref="B38:C38"/>
    <mergeCell ref="I38:J38"/>
    <mergeCell ref="B40:Q40"/>
    <mergeCell ref="B41:D41"/>
    <mergeCell ref="I41:Q41"/>
    <mergeCell ref="B35:C35"/>
    <mergeCell ref="I35:J35"/>
    <mergeCell ref="B36:C36"/>
    <mergeCell ref="I36:J36"/>
    <mergeCell ref="B37:C37"/>
    <mergeCell ref="I37:J37"/>
    <mergeCell ref="B32:C32"/>
    <mergeCell ref="I32:J32"/>
    <mergeCell ref="B33:C33"/>
    <mergeCell ref="I33:J33"/>
    <mergeCell ref="B34:C34"/>
    <mergeCell ref="I34:J34"/>
    <mergeCell ref="B29:C29"/>
    <mergeCell ref="I29:J29"/>
    <mergeCell ref="B30:C30"/>
    <mergeCell ref="I30:J30"/>
    <mergeCell ref="B31:C31"/>
    <mergeCell ref="I31:J31"/>
    <mergeCell ref="B25:C25"/>
    <mergeCell ref="B27:Q27"/>
    <mergeCell ref="B28:C28"/>
    <mergeCell ref="H28:I28"/>
    <mergeCell ref="L28:Q28"/>
    <mergeCell ref="B8:M8"/>
    <mergeCell ref="O8:Q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O9:O10"/>
    <mergeCell ref="P9:P10"/>
    <mergeCell ref="Q9:Q10"/>
    <mergeCell ref="B1:Q1"/>
    <mergeCell ref="B2:Q2"/>
    <mergeCell ref="F4:G4"/>
    <mergeCell ref="F5:G5"/>
    <mergeCell ref="F6:G6"/>
  </mergeCells>
  <conditionalFormatting sqref="I15:I24">
    <cfRule type="colorScale" priority="2">
      <colorScale>
        <cfvo type="num" val="0"/>
        <cfvo type="num" val="0.7"/>
        <cfvo type="num" val="1"/>
        <color rgb="FFFFCCCC"/>
        <color rgb="FFFFF2CC"/>
        <color rgb="FFE2EFD9"/>
      </colorScale>
    </cfRule>
  </conditionalFormatting>
  <conditionalFormatting sqref="J15:J24">
    <cfRule type="colorScale" priority="3">
      <colorScale>
        <cfvo type="num" val="0"/>
        <cfvo type="num" val="1.5"/>
        <cfvo type="num" val="3"/>
        <color rgb="FFFFCCCC"/>
        <color rgb="FFFFF2CC"/>
        <color rgb="FFE2EFD9"/>
      </colorScale>
    </cfRule>
  </conditionalFormatting>
  <conditionalFormatting sqref="K15:K24">
    <cfRule type="colorScale" priority="4">
      <colorScale>
        <cfvo type="num" val="0"/>
        <cfvo type="num" val="0.5"/>
        <cfvo type="num" val="1"/>
        <color rgb="FFFFCCCC"/>
        <color rgb="FFFFF2CC"/>
        <color rgb="FFE2EFD9"/>
      </colorScale>
    </cfRule>
  </conditionalFormatting>
  <conditionalFormatting sqref="L15:L24">
    <cfRule type="colorScale" priority="5">
      <colorScale>
        <cfvo type="num" val="0"/>
        <cfvo type="num" val="0.3"/>
        <cfvo type="num" val="1"/>
        <color rgb="FFE2EFD9"/>
        <color rgb="FFFFF2CC"/>
        <color rgb="FFFFCCCC"/>
      </colorScale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U14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" customWidth="1" min="2" max="11"/>
    <col width="6" customWidth="1" min="12" max="21"/>
  </cols>
  <sheetData>
    <row r="1" ht="31.5" customHeight="1">
      <c r="B1" s="289" t="inlineStr">
        <is>
          <t>📈 Dashboard — ภาพรวมผลวิจัย | คลื่นกล ม.5 | 5E + POE</t>
        </is>
      </c>
    </row>
    <row r="3" ht="21.75" customHeight="1">
      <c r="B3" s="290" t="inlineStr">
        <is>
          <t>นักเรียนทั้งหมด</t>
        </is>
      </c>
      <c r="E3" s="291" t="inlineStr">
        <is>
          <t>คะแนน Pre เฉลี่ย</t>
        </is>
      </c>
      <c r="H3" s="292" t="inlineStr">
        <is>
          <t>คะแนน Post เฉลี่ย</t>
        </is>
      </c>
      <c r="K3" s="293" t="inlineStr">
        <is>
          <t>% พัฒนาขึ้น</t>
        </is>
      </c>
    </row>
    <row r="4" ht="39.75" customHeight="1">
      <c r="B4" s="295">
        <f>COUNTA('📥 ข้อมูลนักเรียน'!C4:C43)</f>
        <v/>
      </c>
      <c r="C4" s="369" t="n"/>
      <c r="D4" s="369" t="n"/>
      <c r="E4" s="296">
        <f>IFERROR(AVERAGE('📥 ข้อมูลนักเรียน'!F4:F43),"—")</f>
        <v/>
      </c>
      <c r="F4" s="369" t="n"/>
      <c r="G4" s="369" t="n"/>
      <c r="H4" s="297">
        <f>IFERROR(AVERAGE('📥 ข้อมูลนักเรียน'!G4:G43),"—")</f>
        <v/>
      </c>
      <c r="I4" s="369" t="n"/>
      <c r="J4" s="369" t="n"/>
      <c r="K4" s="298">
        <f>IFERROR((AVERAGE('📥 ข้อมูลนักเรียน'!G4:G43)-AVERAGE('📥 ข้อมูลนักเรียน'!F4:F43))/AVERAGE('📥 ข้อมูลนักเรียน'!F4:F43),"—")</f>
        <v/>
      </c>
      <c r="L4" s="369" t="n"/>
      <c r="M4" s="369" t="n"/>
    </row>
    <row r="5" ht="18" customHeight="1">
      <c r="B5" s="299" t="inlineStr">
        <is>
          <t>คน</t>
        </is>
      </c>
      <c r="E5" s="299" t="inlineStr">
        <is>
          <t>คะแนน</t>
        </is>
      </c>
      <c r="H5" s="299" t="inlineStr">
        <is>
          <t>คะแนน</t>
        </is>
      </c>
      <c r="K5" s="299" t="inlineStr">
        <is>
          <t>+/-</t>
        </is>
      </c>
    </row>
    <row r="7" ht="24" customHeight="1">
      <c r="B7" s="294" t="inlineStr">
        <is>
          <t>📊 ตารางเปรียบเทียบ Pre-test vs Post-test (รายข้อ — % Sound Understanding)</t>
        </is>
      </c>
      <c r="C7" s="369" t="n"/>
      <c r="D7" s="369" t="n"/>
      <c r="E7" s="369" t="n"/>
      <c r="F7" s="369" t="n"/>
      <c r="G7" s="369" t="n"/>
      <c r="H7" s="369" t="n"/>
      <c r="I7" s="369" t="n"/>
      <c r="J7" s="369" t="n"/>
      <c r="K7" s="369" t="n"/>
      <c r="L7" s="369" t="n"/>
      <c r="M7" s="369" t="n"/>
    </row>
    <row r="8" ht="15" customHeight="1">
      <c r="B8" s="39" t="inlineStr">
        <is>
          <t>Q1</t>
        </is>
      </c>
      <c r="C8" s="39" t="inlineStr">
        <is>
          <t>Q2</t>
        </is>
      </c>
      <c r="D8" s="39" t="inlineStr">
        <is>
          <t>Q3</t>
        </is>
      </c>
      <c r="E8" s="39" t="inlineStr">
        <is>
          <t>Q4</t>
        </is>
      </c>
      <c r="F8" s="39" t="inlineStr">
        <is>
          <t>Q5</t>
        </is>
      </c>
      <c r="G8" s="39" t="inlineStr">
        <is>
          <t>Q6</t>
        </is>
      </c>
      <c r="H8" s="39" t="inlineStr">
        <is>
          <t>Q7</t>
        </is>
      </c>
      <c r="I8" s="39" t="inlineStr">
        <is>
          <t>Q8</t>
        </is>
      </c>
      <c r="J8" s="39" t="inlineStr">
        <is>
          <t>Q9</t>
        </is>
      </c>
      <c r="K8" s="39" t="inlineStr">
        <is>
          <t>Q10</t>
        </is>
      </c>
      <c r="L8" s="39" t="inlineStr">
        <is>
          <t>Q11</t>
        </is>
      </c>
      <c r="M8" s="39" t="inlineStr">
        <is>
          <t>Q12</t>
        </is>
      </c>
      <c r="N8" s="39" t="inlineStr">
        <is>
          <t>Q13</t>
        </is>
      </c>
      <c r="O8" s="39" t="inlineStr">
        <is>
          <t>Q14</t>
        </is>
      </c>
      <c r="P8" s="39" t="inlineStr">
        <is>
          <t>Q15</t>
        </is>
      </c>
      <c r="Q8" s="39" t="inlineStr">
        <is>
          <t>Q16</t>
        </is>
      </c>
      <c r="R8" s="39" t="inlineStr">
        <is>
          <t>Q17</t>
        </is>
      </c>
      <c r="S8" s="39" t="inlineStr">
        <is>
          <t>Q18</t>
        </is>
      </c>
      <c r="T8" s="39" t="inlineStr">
        <is>
          <t>Q19</t>
        </is>
      </c>
      <c r="U8" s="39" t="inlineStr">
        <is>
          <t>Q20</t>
        </is>
      </c>
    </row>
    <row r="9" ht="19.5" customHeight="1">
      <c r="B9" s="140" t="inlineStr">
        <is>
          <t>Pre %</t>
        </is>
      </c>
      <c r="C9" s="143">
        <f>'🤖 Four-tier วิเคราะห์'!D44</f>
        <v/>
      </c>
      <c r="D9" s="143">
        <f>'🤖 Four-tier วิเคราะห์'!E44</f>
        <v/>
      </c>
      <c r="E9" s="143">
        <f>'🤖 Four-tier วิเคราะห์'!F44</f>
        <v/>
      </c>
      <c r="F9" s="143">
        <f>'🤖 Four-tier วิเคราะห์'!G44</f>
        <v/>
      </c>
      <c r="G9" s="143">
        <f>'🤖 Four-tier วิเคราะห์'!H44</f>
        <v/>
      </c>
      <c r="H9" s="143">
        <f>'🤖 Four-tier วิเคราะห์'!I44</f>
        <v/>
      </c>
      <c r="I9" s="143">
        <f>'🤖 Four-tier วิเคราะห์'!J44</f>
        <v/>
      </c>
      <c r="J9" s="143">
        <f>'🤖 Four-tier วิเคราะห์'!K44</f>
        <v/>
      </c>
      <c r="K9" s="143">
        <f>'🤖 Four-tier วิเคราะห์'!L44</f>
        <v/>
      </c>
      <c r="L9" s="143">
        <f>'🤖 Four-tier วิเคราะห์'!M44</f>
        <v/>
      </c>
      <c r="M9" s="143">
        <f>'🤖 Four-tier วิเคราะห์'!N44</f>
        <v/>
      </c>
      <c r="N9" s="143">
        <f>'🤖 Four-tier วิเคราะห์'!O44</f>
        <v/>
      </c>
      <c r="O9" s="143">
        <f>'🤖 Four-tier วิเคราะห์'!P44</f>
        <v/>
      </c>
      <c r="P9" s="143">
        <f>'🤖 Four-tier วิเคราะห์'!Q44</f>
        <v/>
      </c>
      <c r="Q9" s="143">
        <f>'🤖 Four-tier วิเคราะห์'!R44</f>
        <v/>
      </c>
      <c r="R9" s="143">
        <f>'🤖 Four-tier วิเคราะห์'!S44</f>
        <v/>
      </c>
      <c r="S9" s="143">
        <f>'🤖 Four-tier วิเคราะห์'!T44</f>
        <v/>
      </c>
      <c r="T9" s="143">
        <f>'🤖 Four-tier วิเคราะห์'!U44</f>
        <v/>
      </c>
      <c r="U9" s="143">
        <f>'🤖 Four-tier วิเคราะห์'!V44</f>
        <v/>
      </c>
    </row>
    <row r="10" ht="19.5" customHeight="1">
      <c r="B10" s="37" t="inlineStr">
        <is>
          <t>Post %</t>
        </is>
      </c>
      <c r="C10" s="144">
        <f>'🤖 Four-tier วิเคราะห์'!D89</f>
        <v/>
      </c>
      <c r="D10" s="144">
        <f>'🤖 Four-tier วิเคราะห์'!E89</f>
        <v/>
      </c>
      <c r="E10" s="144">
        <f>'🤖 Four-tier วิเคราะห์'!F89</f>
        <v/>
      </c>
      <c r="F10" s="144">
        <f>'🤖 Four-tier วิเคราะห์'!G89</f>
        <v/>
      </c>
      <c r="G10" s="144">
        <f>'🤖 Four-tier วิเคราะห์'!H89</f>
        <v/>
      </c>
      <c r="H10" s="144">
        <f>'🤖 Four-tier วิเคราะห์'!I89</f>
        <v/>
      </c>
      <c r="I10" s="144">
        <f>'🤖 Four-tier วิเคราะห์'!J89</f>
        <v/>
      </c>
      <c r="J10" s="144">
        <f>'🤖 Four-tier วิเคราะห์'!K89</f>
        <v/>
      </c>
      <c r="K10" s="144">
        <f>'🤖 Four-tier วิเคราะห์'!L89</f>
        <v/>
      </c>
      <c r="L10" s="144">
        <f>'🤖 Four-tier วิเคราะห์'!M89</f>
        <v/>
      </c>
      <c r="M10" s="144">
        <f>'🤖 Four-tier วิเคราะห์'!N89</f>
        <v/>
      </c>
      <c r="N10" s="144">
        <f>'🤖 Four-tier วิเคราะห์'!O89</f>
        <v/>
      </c>
      <c r="O10" s="144">
        <f>'🤖 Four-tier วิเคราะห์'!P89</f>
        <v/>
      </c>
      <c r="P10" s="144">
        <f>'🤖 Four-tier วิเคราะห์'!Q89</f>
        <v/>
      </c>
      <c r="Q10" s="144">
        <f>'🤖 Four-tier วิเคราะห์'!R89</f>
        <v/>
      </c>
      <c r="R10" s="144">
        <f>'🤖 Four-tier วิเคราะห์'!S89</f>
        <v/>
      </c>
      <c r="S10" s="144">
        <f>'🤖 Four-tier วิเคราะห์'!T89</f>
        <v/>
      </c>
      <c r="T10" s="144">
        <f>'🤖 Four-tier วิเคราะห์'!U89</f>
        <v/>
      </c>
      <c r="U10" s="144">
        <f>'🤖 Four-tier วิเคราะห์'!V89</f>
        <v/>
      </c>
    </row>
    <row r="12" ht="24" customHeight="1">
      <c r="B12" s="220" t="inlineStr">
        <is>
          <t>🔬 แนวโน้มคะแนน POE เฉลี่ยแต่ละแผนการสอน</t>
        </is>
      </c>
      <c r="C12" s="369" t="n"/>
      <c r="D12" s="369" t="n"/>
      <c r="E12" s="369" t="n"/>
      <c r="F12" s="369" t="n"/>
      <c r="G12" s="369" t="n"/>
      <c r="H12" s="369" t="n"/>
      <c r="I12" s="369" t="n"/>
      <c r="J12" s="369" t="n"/>
      <c r="K12" s="369" t="n"/>
      <c r="L12" s="369" t="n"/>
      <c r="M12" s="369" t="n"/>
    </row>
    <row r="13" ht="15" customHeight="1">
      <c r="B13" s="62" t="inlineStr">
        <is>
          <t>แผน1</t>
        </is>
      </c>
      <c r="C13" s="62" t="inlineStr">
        <is>
          <t>แผน2</t>
        </is>
      </c>
      <c r="D13" s="62" t="inlineStr">
        <is>
          <t>แผน3</t>
        </is>
      </c>
      <c r="E13" s="62" t="inlineStr">
        <is>
          <t>แผน4</t>
        </is>
      </c>
      <c r="F13" s="62" t="inlineStr">
        <is>
          <t>แผน5</t>
        </is>
      </c>
      <c r="G13" s="62" t="inlineStr">
        <is>
          <t>แผน6</t>
        </is>
      </c>
      <c r="H13" s="62" t="inlineStr">
        <is>
          <t>แผน7</t>
        </is>
      </c>
      <c r="I13" s="62" t="inlineStr">
        <is>
          <t>แผน8</t>
        </is>
      </c>
      <c r="J13" s="62" t="inlineStr">
        <is>
          <t>แผน9</t>
        </is>
      </c>
      <c r="K13" s="62" t="inlineStr">
        <is>
          <t>แผน10</t>
        </is>
      </c>
    </row>
    <row r="14" ht="19.5" customHeight="1">
      <c r="B14" s="37" t="inlineStr">
        <is>
          <t>เฉลี่ย POE</t>
        </is>
      </c>
      <c r="C14" s="120">
        <f>IFERROR(AVERAGE('🔬 POE บันทึก'!E4:E43),0)</f>
        <v/>
      </c>
      <c r="D14" s="120">
        <f>IFERROR(AVERAGE('🔬 POE บันทึก'!G4:G43),0)</f>
        <v/>
      </c>
      <c r="E14" s="120">
        <f>IFERROR(AVERAGE('🔬 POE บันทึก'!I4:I43),0)</f>
        <v/>
      </c>
      <c r="F14" s="120">
        <f>IFERROR(AVERAGE('🔬 POE บันทึก'!K4:K43),0)</f>
        <v/>
      </c>
      <c r="G14" s="120">
        <f>IFERROR(AVERAGE('🔬 POE บันทึก'!M4:M43),0)</f>
        <v/>
      </c>
      <c r="H14" s="120">
        <f>IFERROR(AVERAGE('🔬 POE บันทึก'!O4:O43),0)</f>
        <v/>
      </c>
      <c r="I14" s="120">
        <f>IFERROR(AVERAGE('🔬 POE บันทึก'!Q4:Q43),0)</f>
        <v/>
      </c>
      <c r="J14" s="120">
        <f>IFERROR(AVERAGE('🔬 POE บันทึก'!S4:S43),0)</f>
        <v/>
      </c>
      <c r="K14" s="120">
        <f>IFERROR(AVERAGE('🔬 POE บันทึก'!U4:U43),0)</f>
        <v/>
      </c>
    </row>
  </sheetData>
  <mergeCells count="15">
    <mergeCell ref="B7:M7"/>
    <mergeCell ref="B12:M12"/>
    <mergeCell ref="B4:D4"/>
    <mergeCell ref="E4:G4"/>
    <mergeCell ref="H4:J4"/>
    <mergeCell ref="K4:M4"/>
    <mergeCell ref="B5:D5"/>
    <mergeCell ref="E5:G5"/>
    <mergeCell ref="H5:J5"/>
    <mergeCell ref="K5:M5"/>
    <mergeCell ref="B1:L1"/>
    <mergeCell ref="B3:D3"/>
    <mergeCell ref="E3:G3"/>
    <mergeCell ref="H3:J3"/>
    <mergeCell ref="K3:M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43"/>
  <sheetViews>
    <sheetView showGridLines="0" zoomScaleNormal="100" workbookViewId="0">
      <selection activeCell="N12" sqref="N12"/>
    </sheetView>
  </sheetViews>
  <sheetFormatPr baseColWidth="10" defaultColWidth="8.6640625" defaultRowHeight="15"/>
  <cols>
    <col width="3" customWidth="1" min="1" max="1"/>
    <col width="6" customWidth="1" min="2" max="2"/>
    <col width="26" customWidth="1" min="3" max="3"/>
    <col width="18" customWidth="1" min="4" max="5"/>
    <col width="19.1640625" customWidth="1" min="6" max="6"/>
    <col width="22" customWidth="1" min="7" max="7"/>
    <col width="30" customWidth="1" min="8" max="8"/>
  </cols>
  <sheetData>
    <row r="1" ht="27.75" customHeight="1">
      <c r="B1" s="300" t="inlineStr">
        <is>
          <t>🔗 เทียบ Gap: POE Score vs Four-tier Classification (ข้อมูลวิจัยเชิงลึก)</t>
        </is>
      </c>
    </row>
    <row r="2" ht="19.5" customHeight="1">
      <c r="B2" s="301" t="inlineStr">
        <is>
          <t>วิธีอ่าน: นักเรียนที่มี POE Score ≥ 2 (เปลี่ยนมโนทัศน์ได้) แต่ Four-tier ยังเป็น Misconception → แสดงว่า conceptual change ยังไม่ลึกพอ | ต้องการการสอนซ้ำ</t>
        </is>
      </c>
    </row>
    <row r="3" ht="31.5" customHeight="1">
      <c r="B3" s="145" t="inlineStr">
        <is>
          <t>ที่</t>
        </is>
      </c>
      <c r="C3" s="145" t="inlineStr">
        <is>
          <t>ชื่อนักเรียน</t>
        </is>
      </c>
      <c r="D3" s="145" t="inlineStr">
        <is>
          <t>POE รวม
(0-Max)</t>
        </is>
      </c>
      <c r="E3" s="145" t="inlineStr">
        <is>
          <t>POE เฉลี่ย
(0-3)</t>
        </is>
      </c>
      <c r="F3" s="145" t="inlineStr">
        <is>
          <t>Four-tier
Sound (n)</t>
        </is>
      </c>
      <c r="G3" s="145" t="inlineStr">
        <is>
          <t>Four-tier
Misc. (n)</t>
        </is>
      </c>
      <c r="H3" s="145" t="inlineStr">
        <is>
          <t>ตีความ GAP</t>
        </is>
      </c>
    </row>
    <row r="4" ht="36" customHeight="1">
      <c r="B4" s="46">
        <f>'📥 ข้อมูลนักเรียน'!B4</f>
        <v/>
      </c>
      <c r="C4" s="47">
        <f>'📥 ข้อมูลนักเรียน'!C4</f>
        <v/>
      </c>
      <c r="D4" s="10">
        <f>'🔬 POE บันทึก'!AN4</f>
        <v/>
      </c>
      <c r="E4" s="146">
        <f>'🔬 POE บันทึก'!AO4</f>
        <v/>
      </c>
      <c r="F4" s="8">
        <f>'🤖 Four-tier วิเคราะห์'!X50</f>
        <v/>
      </c>
      <c r="G4" s="9">
        <f>'🤖 Four-tier วิเคราะห์'!Y50</f>
        <v/>
      </c>
      <c r="H4" s="87">
        <f>IF(OR(D4="",F4=""),"—",IF(AND(E4&gt;=2,G4&gt;=3),"🔴 เรียนรู้แต่ยังมี Misc. — สอนซ้ำ",IF(AND(E4&gt;=2,G4&lt;3),"🟡 POE ดี แต่ Four-tier อ่อน",IF(AND(E4&lt;2,F4&gt;=10),"🟢 Four-tier ดี — POE อาจไม่แม่น","⚪ ต้องวิเคราะห์เพิ่ม"))))</f>
        <v/>
      </c>
    </row>
    <row r="5" ht="18" customHeight="1">
      <c r="B5" s="46">
        <f>'📥 ข้อมูลนักเรียน'!B5</f>
        <v/>
      </c>
      <c r="C5" s="51">
        <f>'📥 ข้อมูลนักเรียน'!C5</f>
        <v/>
      </c>
      <c r="D5" s="10">
        <f>'🔬 POE บันทึก'!AN5</f>
        <v/>
      </c>
      <c r="E5" s="146">
        <f>'🔬 POE บันทึก'!AO5</f>
        <v/>
      </c>
      <c r="F5" s="8">
        <f>'🤖 Four-tier วิเคราะห์'!X51</f>
        <v/>
      </c>
      <c r="G5" s="9">
        <f>'🤖 Four-tier วิเคราะห์'!Y51</f>
        <v/>
      </c>
      <c r="H5" s="87">
        <f>IF(OR(D5="",F5=""),"—",IF(AND(E5&gt;=2,G5&gt;=3),"🔴 เรียนรู้แต่ยังมี Misc. — สอนซ้ำ",IF(AND(E5&gt;=2,G5&lt;3),"🟡 POE ดี แต่ Four-tier อ่อน",IF(AND(E5&lt;2,F5&gt;=10),"🟢 Four-tier ดี — POE อาจไม่แม่น","⚪ ต้องวิเคราะห์เพิ่ม"))))</f>
        <v/>
      </c>
    </row>
    <row r="6" ht="18" customHeight="1">
      <c r="B6" s="46">
        <f>'📥 ข้อมูลนักเรียน'!B6</f>
        <v/>
      </c>
      <c r="C6" s="47">
        <f>'📥 ข้อมูลนักเรียน'!C6</f>
        <v/>
      </c>
      <c r="D6" s="10">
        <f>'🔬 POE บันทึก'!AN6</f>
        <v/>
      </c>
      <c r="E6" s="146">
        <f>'🔬 POE บันทึก'!AO6</f>
        <v/>
      </c>
      <c r="F6" s="8">
        <f>'🤖 Four-tier วิเคราะห์'!X52</f>
        <v/>
      </c>
      <c r="G6" s="9">
        <f>'🤖 Four-tier วิเคราะห์'!Y52</f>
        <v/>
      </c>
      <c r="H6" s="87">
        <f>IF(OR(D6="",F6=""),"—",IF(AND(E6&gt;=2,G6&gt;=3),"🔴 เรียนรู้แต่ยังมี Misc. — สอนซ้ำ",IF(AND(E6&gt;=2,G6&lt;3),"🟡 POE ดี แต่ Four-tier อ่อน",IF(AND(E6&lt;2,F6&gt;=10),"🟢 Four-tier ดี — POE อาจไม่แม่น","⚪ ต้องวิเคราะห์เพิ่ม"))))</f>
        <v/>
      </c>
    </row>
    <row r="7" ht="18" customHeight="1">
      <c r="B7" s="46">
        <f>'📥 ข้อมูลนักเรียน'!B7</f>
        <v/>
      </c>
      <c r="C7" s="51">
        <f>'📥 ข้อมูลนักเรียน'!C7</f>
        <v/>
      </c>
      <c r="D7" s="10">
        <f>'🔬 POE บันทึก'!AN7</f>
        <v/>
      </c>
      <c r="E7" s="146">
        <f>'🔬 POE บันทึก'!AO7</f>
        <v/>
      </c>
      <c r="F7" s="8">
        <f>'🤖 Four-tier วิเคราะห์'!X53</f>
        <v/>
      </c>
      <c r="G7" s="9">
        <f>'🤖 Four-tier วิเคราะห์'!Y53</f>
        <v/>
      </c>
      <c r="H7" s="87">
        <f>IF(OR(D7="",F7=""),"—",IF(AND(E7&gt;=2,G7&gt;=3),"🔴 เรียนรู้แต่ยังมี Misc. — สอนซ้ำ",IF(AND(E7&gt;=2,G7&lt;3),"🟡 POE ดี แต่ Four-tier อ่อน",IF(AND(E7&lt;2,F7&gt;=10),"🟢 Four-tier ดี — POE อาจไม่แม่น","⚪ ต้องวิเคราะห์เพิ่ม"))))</f>
        <v/>
      </c>
    </row>
    <row r="8" ht="18" customHeight="1">
      <c r="B8" s="46">
        <f>'📥 ข้อมูลนักเรียน'!B8</f>
        <v/>
      </c>
      <c r="C8" s="47">
        <f>'📥 ข้อมูลนักเรียน'!C8</f>
        <v/>
      </c>
      <c r="D8" s="10">
        <f>'🔬 POE บันทึก'!AN8</f>
        <v/>
      </c>
      <c r="E8" s="146">
        <f>'🔬 POE บันทึก'!AO8</f>
        <v/>
      </c>
      <c r="F8" s="8">
        <f>'🤖 Four-tier วิเคราะห์'!X54</f>
        <v/>
      </c>
      <c r="G8" s="9">
        <f>'🤖 Four-tier วิเคราะห์'!Y54</f>
        <v/>
      </c>
      <c r="H8" s="87">
        <f>IF(OR(D8="",F8=""),"—",IF(AND(E8&gt;=2,G8&gt;=3),"🔴 เรียนรู้แต่ยังมี Misc. — สอนซ้ำ",IF(AND(E8&gt;=2,G8&lt;3),"🟡 POE ดี แต่ Four-tier อ่อน",IF(AND(E8&lt;2,F8&gt;=10),"🟢 Four-tier ดี — POE อาจไม่แม่น","⚪ ต้องวิเคราะห์เพิ่ม"))))</f>
        <v/>
      </c>
    </row>
    <row r="9" ht="18" customHeight="1">
      <c r="B9" s="46">
        <f>'📥 ข้อมูลนักเรียน'!B9</f>
        <v/>
      </c>
      <c r="C9" s="51">
        <f>'📥 ข้อมูลนักเรียน'!C9</f>
        <v/>
      </c>
      <c r="D9" s="10">
        <f>'🔬 POE บันทึก'!AN9</f>
        <v/>
      </c>
      <c r="E9" s="146">
        <f>'🔬 POE บันทึก'!AO9</f>
        <v/>
      </c>
      <c r="F9" s="8">
        <f>'🤖 Four-tier วิเคราะห์'!X55</f>
        <v/>
      </c>
      <c r="G9" s="9">
        <f>'🤖 Four-tier วิเคราะห์'!Y55</f>
        <v/>
      </c>
      <c r="H9" s="87">
        <f>IF(OR(D9="",F9=""),"—",IF(AND(E9&gt;=2,G9&gt;=3),"🔴 เรียนรู้แต่ยังมี Misc. — สอนซ้ำ",IF(AND(E9&gt;=2,G9&lt;3),"🟡 POE ดี แต่ Four-tier อ่อน",IF(AND(E9&lt;2,F9&gt;=10),"🟢 Four-tier ดี — POE อาจไม่แม่น","⚪ ต้องวิเคราะห์เพิ่ม"))))</f>
        <v/>
      </c>
    </row>
    <row r="10" ht="18" customHeight="1">
      <c r="B10" s="46">
        <f>'📥 ข้อมูลนักเรียน'!B10</f>
        <v/>
      </c>
      <c r="C10" s="47">
        <f>'📥 ข้อมูลนักเรียน'!C10</f>
        <v/>
      </c>
      <c r="D10" s="10">
        <f>'🔬 POE บันทึก'!AN10</f>
        <v/>
      </c>
      <c r="E10" s="146">
        <f>'🔬 POE บันทึก'!AO10</f>
        <v/>
      </c>
      <c r="F10" s="8">
        <f>'🤖 Four-tier วิเคราะห์'!X56</f>
        <v/>
      </c>
      <c r="G10" s="9">
        <f>'🤖 Four-tier วิเคราะห์'!Y56</f>
        <v/>
      </c>
      <c r="H10" s="87">
        <f>IF(OR(D10="",F10=""),"—",IF(AND(E10&gt;=2,G10&gt;=3),"🔴 เรียนรู้แต่ยังมี Misc. — สอนซ้ำ",IF(AND(E10&gt;=2,G10&lt;3),"🟡 POE ดี แต่ Four-tier อ่อน",IF(AND(E10&lt;2,F10&gt;=10),"🟢 Four-tier ดี — POE อาจไม่แม่น","⚪ ต้องวิเคราะห์เพิ่ม"))))</f>
        <v/>
      </c>
    </row>
    <row r="11" ht="18" customHeight="1">
      <c r="B11" s="46">
        <f>'📥 ข้อมูลนักเรียน'!B11</f>
        <v/>
      </c>
      <c r="C11" s="51">
        <f>'📥 ข้อมูลนักเรียน'!C11</f>
        <v/>
      </c>
      <c r="D11" s="10">
        <f>'🔬 POE บันทึก'!AN11</f>
        <v/>
      </c>
      <c r="E11" s="146">
        <f>'🔬 POE บันทึก'!AO11</f>
        <v/>
      </c>
      <c r="F11" s="8">
        <f>'🤖 Four-tier วิเคราะห์'!X57</f>
        <v/>
      </c>
      <c r="G11" s="9">
        <f>'🤖 Four-tier วิเคราะห์'!Y57</f>
        <v/>
      </c>
      <c r="H11" s="87">
        <f>IF(OR(D11="",F11=""),"—",IF(AND(E11&gt;=2,G11&gt;=3),"🔴 เรียนรู้แต่ยังมี Misc. — สอนซ้ำ",IF(AND(E11&gt;=2,G11&lt;3),"🟡 POE ดี แต่ Four-tier อ่อน",IF(AND(E11&lt;2,F11&gt;=10),"🟢 Four-tier ดี — POE อาจไม่แม่น","⚪ ต้องวิเคราะห์เพิ่ม"))))</f>
        <v/>
      </c>
    </row>
    <row r="12" ht="18" customHeight="1">
      <c r="B12" s="46">
        <f>'📥 ข้อมูลนักเรียน'!B12</f>
        <v/>
      </c>
      <c r="C12" s="47">
        <f>'📥 ข้อมูลนักเรียน'!C12</f>
        <v/>
      </c>
      <c r="D12" s="10">
        <f>'🔬 POE บันทึก'!AN12</f>
        <v/>
      </c>
      <c r="E12" s="146">
        <f>'🔬 POE บันทึก'!AO12</f>
        <v/>
      </c>
      <c r="F12" s="8">
        <f>'🤖 Four-tier วิเคราะห์'!X58</f>
        <v/>
      </c>
      <c r="G12" s="9">
        <f>'🤖 Four-tier วิเคราะห์'!Y58</f>
        <v/>
      </c>
      <c r="H12" s="87">
        <f>IF(OR(D12="",F12=""),"—",IF(AND(E12&gt;=2,G12&gt;=3),"🔴 เรียนรู้แต่ยังมี Misc. — สอนซ้ำ",IF(AND(E12&gt;=2,G12&lt;3),"🟡 POE ดี แต่ Four-tier อ่อน",IF(AND(E12&lt;2,F12&gt;=10),"🟢 Four-tier ดี — POE อาจไม่แม่น","⚪ ต้องวิเคราะห์เพิ่ม"))))</f>
        <v/>
      </c>
    </row>
    <row r="13" ht="18" customHeight="1">
      <c r="B13" s="46">
        <f>'📥 ข้อมูลนักเรียน'!B13</f>
        <v/>
      </c>
      <c r="C13" s="51">
        <f>'📥 ข้อมูลนักเรียน'!C13</f>
        <v/>
      </c>
      <c r="D13" s="10">
        <f>'🔬 POE บันทึก'!AN13</f>
        <v/>
      </c>
      <c r="E13" s="146">
        <f>'🔬 POE บันทึก'!AO13</f>
        <v/>
      </c>
      <c r="F13" s="8">
        <f>'🤖 Four-tier วิเคราะห์'!X59</f>
        <v/>
      </c>
      <c r="G13" s="9">
        <f>'🤖 Four-tier วิเคราะห์'!Y59</f>
        <v/>
      </c>
      <c r="H13" s="87">
        <f>IF(OR(D13="",F13=""),"—",IF(AND(E13&gt;=2,G13&gt;=3),"🔴 เรียนรู้แต่ยังมี Misc. — สอนซ้ำ",IF(AND(E13&gt;=2,G13&lt;3),"🟡 POE ดี แต่ Four-tier อ่อน",IF(AND(E13&lt;2,F13&gt;=10),"🟢 Four-tier ดี — POE อาจไม่แม่น","⚪ ต้องวิเคราะห์เพิ่ม"))))</f>
        <v/>
      </c>
    </row>
    <row r="14" ht="18" customHeight="1">
      <c r="B14" s="46">
        <f>'📥 ข้อมูลนักเรียน'!B14</f>
        <v/>
      </c>
      <c r="C14" s="47">
        <f>'📥 ข้อมูลนักเรียน'!C14</f>
        <v/>
      </c>
      <c r="D14" s="10">
        <f>'🔬 POE บันทึก'!AN14</f>
        <v/>
      </c>
      <c r="E14" s="146">
        <f>'🔬 POE บันทึก'!AO14</f>
        <v/>
      </c>
      <c r="F14" s="8">
        <f>'🤖 Four-tier วิเคราะห์'!X60</f>
        <v/>
      </c>
      <c r="G14" s="9">
        <f>'🤖 Four-tier วิเคราะห์'!Y60</f>
        <v/>
      </c>
      <c r="H14" s="87">
        <f>IF(OR(D14="",F14=""),"—",IF(AND(E14&gt;=2,G14&gt;=3),"🔴 เรียนรู้แต่ยังมี Misc. — สอนซ้ำ",IF(AND(E14&gt;=2,G14&lt;3),"🟡 POE ดี แต่ Four-tier อ่อน",IF(AND(E14&lt;2,F14&gt;=10),"🟢 Four-tier ดี — POE อาจไม่แม่น","⚪ ต้องวิเคราะห์เพิ่ม"))))</f>
        <v/>
      </c>
    </row>
    <row r="15" ht="18" customHeight="1">
      <c r="B15" s="46">
        <f>'📥 ข้อมูลนักเรียน'!B15</f>
        <v/>
      </c>
      <c r="C15" s="51">
        <f>'📥 ข้อมูลนักเรียน'!C15</f>
        <v/>
      </c>
      <c r="D15" s="10">
        <f>'🔬 POE บันทึก'!AN15</f>
        <v/>
      </c>
      <c r="E15" s="146">
        <f>'🔬 POE บันทึก'!AO15</f>
        <v/>
      </c>
      <c r="F15" s="8">
        <f>'🤖 Four-tier วิเคราะห์'!X61</f>
        <v/>
      </c>
      <c r="G15" s="9">
        <f>'🤖 Four-tier วิเคราะห์'!Y61</f>
        <v/>
      </c>
      <c r="H15" s="87">
        <f>IF(OR(D15="",F15=""),"—",IF(AND(E15&gt;=2,G15&gt;=3),"🔴 เรียนรู้แต่ยังมี Misc. — สอนซ้ำ",IF(AND(E15&gt;=2,G15&lt;3),"🟡 POE ดี แต่ Four-tier อ่อน",IF(AND(E15&lt;2,F15&gt;=10),"🟢 Four-tier ดี — POE อาจไม่แม่น","⚪ ต้องวิเคราะห์เพิ่ม"))))</f>
        <v/>
      </c>
    </row>
    <row r="16" ht="18" customHeight="1">
      <c r="B16" s="46">
        <f>'📥 ข้อมูลนักเรียน'!B16</f>
        <v/>
      </c>
      <c r="C16" s="47">
        <f>'📥 ข้อมูลนักเรียน'!C16</f>
        <v/>
      </c>
      <c r="D16" s="10">
        <f>'🔬 POE บันทึก'!AN16</f>
        <v/>
      </c>
      <c r="E16" s="146">
        <f>'🔬 POE บันทึก'!AO16</f>
        <v/>
      </c>
      <c r="F16" s="8">
        <f>'🤖 Four-tier วิเคราะห์'!X62</f>
        <v/>
      </c>
      <c r="G16" s="9">
        <f>'🤖 Four-tier วิเคราะห์'!Y62</f>
        <v/>
      </c>
      <c r="H16" s="87">
        <f>IF(OR(D16="",F16=""),"—",IF(AND(E16&gt;=2,G16&gt;=3),"🔴 เรียนรู้แต่ยังมี Misc. — สอนซ้ำ",IF(AND(E16&gt;=2,G16&lt;3),"🟡 POE ดี แต่ Four-tier อ่อน",IF(AND(E16&lt;2,F16&gt;=10),"🟢 Four-tier ดี — POE อาจไม่แม่น","⚪ ต้องวิเคราะห์เพิ่ม"))))</f>
        <v/>
      </c>
    </row>
    <row r="17" ht="18" customHeight="1">
      <c r="B17" s="46">
        <f>'📥 ข้อมูลนักเรียน'!B17</f>
        <v/>
      </c>
      <c r="C17" s="51">
        <f>'📥 ข้อมูลนักเรียน'!C17</f>
        <v/>
      </c>
      <c r="D17" s="10">
        <f>'🔬 POE บันทึก'!AN17</f>
        <v/>
      </c>
      <c r="E17" s="146">
        <f>'🔬 POE บันทึก'!AO17</f>
        <v/>
      </c>
      <c r="F17" s="8">
        <f>'🤖 Four-tier วิเคราะห์'!X63</f>
        <v/>
      </c>
      <c r="G17" s="9">
        <f>'🤖 Four-tier วิเคราะห์'!Y63</f>
        <v/>
      </c>
      <c r="H17" s="87">
        <f>IF(OR(D17="",F17=""),"—",IF(AND(E17&gt;=2,G17&gt;=3),"🔴 เรียนรู้แต่ยังมี Misc. — สอนซ้ำ",IF(AND(E17&gt;=2,G17&lt;3),"🟡 POE ดี แต่ Four-tier อ่อน",IF(AND(E17&lt;2,F17&gt;=10),"🟢 Four-tier ดี — POE อาจไม่แม่น","⚪ ต้องวิเคราะห์เพิ่ม"))))</f>
        <v/>
      </c>
    </row>
    <row r="18" ht="18" customHeight="1">
      <c r="B18" s="46">
        <f>'📥 ข้อมูลนักเรียน'!B18</f>
        <v/>
      </c>
      <c r="C18" s="47">
        <f>'📥 ข้อมูลนักเรียน'!C18</f>
        <v/>
      </c>
      <c r="D18" s="10">
        <f>'🔬 POE บันทึก'!AN18</f>
        <v/>
      </c>
      <c r="E18" s="146">
        <f>'🔬 POE บันทึก'!AO18</f>
        <v/>
      </c>
      <c r="F18" s="8">
        <f>'🤖 Four-tier วิเคราะห์'!X64</f>
        <v/>
      </c>
      <c r="G18" s="9">
        <f>'🤖 Four-tier วิเคราะห์'!Y64</f>
        <v/>
      </c>
      <c r="H18" s="87">
        <f>IF(OR(D18="",F18=""),"—",IF(AND(E18&gt;=2,G18&gt;=3),"🔴 เรียนรู้แต่ยังมี Misc. — สอนซ้ำ",IF(AND(E18&gt;=2,G18&lt;3),"🟡 POE ดี แต่ Four-tier อ่อน",IF(AND(E18&lt;2,F18&gt;=10),"🟢 Four-tier ดี — POE อาจไม่แม่น","⚪ ต้องวิเคราะห์เพิ่ม"))))</f>
        <v/>
      </c>
    </row>
    <row r="19" ht="18" customHeight="1">
      <c r="B19" s="46">
        <f>'📥 ข้อมูลนักเรียน'!B19</f>
        <v/>
      </c>
      <c r="C19" s="51">
        <f>'📥 ข้อมูลนักเรียน'!C19</f>
        <v/>
      </c>
      <c r="D19" s="10">
        <f>'🔬 POE บันทึก'!AN19</f>
        <v/>
      </c>
      <c r="E19" s="146">
        <f>'🔬 POE บันทึก'!AO19</f>
        <v/>
      </c>
      <c r="F19" s="8">
        <f>'🤖 Four-tier วิเคราะห์'!X65</f>
        <v/>
      </c>
      <c r="G19" s="9">
        <f>'🤖 Four-tier วิเคราะห์'!Y65</f>
        <v/>
      </c>
      <c r="H19" s="87">
        <f>IF(OR(D19="",F19=""),"—",IF(AND(E19&gt;=2,G19&gt;=3),"🔴 เรียนรู้แต่ยังมี Misc. — สอนซ้ำ",IF(AND(E19&gt;=2,G19&lt;3),"🟡 POE ดี แต่ Four-tier อ่อน",IF(AND(E19&lt;2,F19&gt;=10),"🟢 Four-tier ดี — POE อาจไม่แม่น","⚪ ต้องวิเคราะห์เพิ่ม"))))</f>
        <v/>
      </c>
    </row>
    <row r="20" ht="18" customHeight="1">
      <c r="B20" s="46">
        <f>'📥 ข้อมูลนักเรียน'!B20</f>
        <v/>
      </c>
      <c r="C20" s="47">
        <f>'📥 ข้อมูลนักเรียน'!C20</f>
        <v/>
      </c>
      <c r="D20" s="10">
        <f>'🔬 POE บันทึก'!AN20</f>
        <v/>
      </c>
      <c r="E20" s="146">
        <f>'🔬 POE บันทึก'!AO20</f>
        <v/>
      </c>
      <c r="F20" s="8">
        <f>'🤖 Four-tier วิเคราะห์'!X66</f>
        <v/>
      </c>
      <c r="G20" s="9">
        <f>'🤖 Four-tier วิเคราะห์'!Y66</f>
        <v/>
      </c>
      <c r="H20" s="87">
        <f>IF(OR(D20="",F20=""),"—",IF(AND(E20&gt;=2,G20&gt;=3),"🔴 เรียนรู้แต่ยังมี Misc. — สอนซ้ำ",IF(AND(E20&gt;=2,G20&lt;3),"🟡 POE ดี แต่ Four-tier อ่อน",IF(AND(E20&lt;2,F20&gt;=10),"🟢 Four-tier ดี — POE อาจไม่แม่น","⚪ ต้องวิเคราะห์เพิ่ม"))))</f>
        <v/>
      </c>
    </row>
    <row r="21" ht="18" customHeight="1">
      <c r="B21" s="46">
        <f>'📥 ข้อมูลนักเรียน'!B21</f>
        <v/>
      </c>
      <c r="C21" s="51">
        <f>'📥 ข้อมูลนักเรียน'!C21</f>
        <v/>
      </c>
      <c r="D21" s="10">
        <f>'🔬 POE บันทึก'!AN21</f>
        <v/>
      </c>
      <c r="E21" s="146">
        <f>'🔬 POE บันทึก'!AO21</f>
        <v/>
      </c>
      <c r="F21" s="8">
        <f>'🤖 Four-tier วิเคราะห์'!X67</f>
        <v/>
      </c>
      <c r="G21" s="9">
        <f>'🤖 Four-tier วิเคราะห์'!Y67</f>
        <v/>
      </c>
      <c r="H21" s="87">
        <f>IF(OR(D21="",F21=""),"—",IF(AND(E21&gt;=2,G21&gt;=3),"🔴 เรียนรู้แต่ยังมี Misc. — สอนซ้ำ",IF(AND(E21&gt;=2,G21&lt;3),"🟡 POE ดี แต่ Four-tier อ่อน",IF(AND(E21&lt;2,F21&gt;=10),"🟢 Four-tier ดี — POE อาจไม่แม่น","⚪ ต้องวิเคราะห์เพิ่ม"))))</f>
        <v/>
      </c>
    </row>
    <row r="22" ht="18" customHeight="1">
      <c r="B22" s="46">
        <f>'📥 ข้อมูลนักเรียน'!B22</f>
        <v/>
      </c>
      <c r="C22" s="47">
        <f>'📥 ข้อมูลนักเรียน'!C22</f>
        <v/>
      </c>
      <c r="D22" s="10">
        <f>'🔬 POE บันทึก'!AN22</f>
        <v/>
      </c>
      <c r="E22" s="146">
        <f>'🔬 POE บันทึก'!AO22</f>
        <v/>
      </c>
      <c r="F22" s="8">
        <f>'🤖 Four-tier วิเคราะห์'!X68</f>
        <v/>
      </c>
      <c r="G22" s="9">
        <f>'🤖 Four-tier วิเคราะห์'!Y68</f>
        <v/>
      </c>
      <c r="H22" s="87">
        <f>IF(OR(D22="",F22=""),"—",IF(AND(E22&gt;=2,G22&gt;=3),"🔴 เรียนรู้แต่ยังมี Misc. — สอนซ้ำ",IF(AND(E22&gt;=2,G22&lt;3),"🟡 POE ดี แต่ Four-tier อ่อน",IF(AND(E22&lt;2,F22&gt;=10),"🟢 Four-tier ดี — POE อาจไม่แม่น","⚪ ต้องวิเคราะห์เพิ่ม"))))</f>
        <v/>
      </c>
    </row>
    <row r="23" ht="18" customHeight="1">
      <c r="B23" s="46">
        <f>'📥 ข้อมูลนักเรียน'!B23</f>
        <v/>
      </c>
      <c r="C23" s="51">
        <f>'📥 ข้อมูลนักเรียน'!C23</f>
        <v/>
      </c>
      <c r="D23" s="10">
        <f>'🔬 POE บันทึก'!AN23</f>
        <v/>
      </c>
      <c r="E23" s="146">
        <f>'🔬 POE บันทึก'!AO23</f>
        <v/>
      </c>
      <c r="F23" s="8">
        <f>'🤖 Four-tier วิเคราะห์'!X69</f>
        <v/>
      </c>
      <c r="G23" s="9">
        <f>'🤖 Four-tier วิเคราะห์'!Y69</f>
        <v/>
      </c>
      <c r="H23" s="87">
        <f>IF(OR(D23="",F23=""),"—",IF(AND(E23&gt;=2,G23&gt;=3),"🔴 เรียนรู้แต่ยังมี Misc. — สอนซ้ำ",IF(AND(E23&gt;=2,G23&lt;3),"🟡 POE ดี แต่ Four-tier อ่อน",IF(AND(E23&lt;2,F23&gt;=10),"🟢 Four-tier ดี — POE อาจไม่แม่น","⚪ ต้องวิเคราะห์เพิ่ม"))))</f>
        <v/>
      </c>
    </row>
    <row r="24" ht="18" customHeight="1">
      <c r="B24" s="46">
        <f>'📥 ข้อมูลนักเรียน'!B24</f>
        <v/>
      </c>
      <c r="C24" s="47">
        <f>'📥 ข้อมูลนักเรียน'!C24</f>
        <v/>
      </c>
      <c r="D24" s="10">
        <f>'🔬 POE บันทึก'!AN24</f>
        <v/>
      </c>
      <c r="E24" s="146">
        <f>'🔬 POE บันทึก'!AO24</f>
        <v/>
      </c>
      <c r="F24" s="8">
        <f>'🤖 Four-tier วิเคราะห์'!X70</f>
        <v/>
      </c>
      <c r="G24" s="9">
        <f>'🤖 Four-tier วิเคราะห์'!Y70</f>
        <v/>
      </c>
      <c r="H24" s="87">
        <f>IF(OR(D24="",F24=""),"—",IF(AND(E24&gt;=2,G24&gt;=3),"🔴 เรียนรู้แต่ยังมี Misc. — สอนซ้ำ",IF(AND(E24&gt;=2,G24&lt;3),"🟡 POE ดี แต่ Four-tier อ่อน",IF(AND(E24&lt;2,F24&gt;=10),"🟢 Four-tier ดี — POE อาจไม่แม่น","⚪ ต้องวิเคราะห์เพิ่ม"))))</f>
        <v/>
      </c>
    </row>
    <row r="25" ht="18" customHeight="1">
      <c r="B25" s="46">
        <f>'📥 ข้อมูลนักเรียน'!B25</f>
        <v/>
      </c>
      <c r="C25" s="51">
        <f>'📥 ข้อมูลนักเรียน'!C25</f>
        <v/>
      </c>
      <c r="D25" s="10">
        <f>'🔬 POE บันทึก'!AN25</f>
        <v/>
      </c>
      <c r="E25" s="146">
        <f>'🔬 POE บันทึก'!AO25</f>
        <v/>
      </c>
      <c r="F25" s="8">
        <f>'🤖 Four-tier วิเคราะห์'!X71</f>
        <v/>
      </c>
      <c r="G25" s="9">
        <f>'🤖 Four-tier วิเคราะห์'!Y71</f>
        <v/>
      </c>
      <c r="H25" s="87">
        <f>IF(OR(D25="",F25=""),"—",IF(AND(E25&gt;=2,G25&gt;=3),"🔴 เรียนรู้แต่ยังมี Misc. — สอนซ้ำ",IF(AND(E25&gt;=2,G25&lt;3),"🟡 POE ดี แต่ Four-tier อ่อน",IF(AND(E25&lt;2,F25&gt;=10),"🟢 Four-tier ดี — POE อาจไม่แม่น","⚪ ต้องวิเคราะห์เพิ่ม"))))</f>
        <v/>
      </c>
    </row>
    <row r="26" ht="18" customHeight="1">
      <c r="B26" s="46">
        <f>'📥 ข้อมูลนักเรียน'!B26</f>
        <v/>
      </c>
      <c r="C26" s="47">
        <f>'📥 ข้อมูลนักเรียน'!C26</f>
        <v/>
      </c>
      <c r="D26" s="10">
        <f>'🔬 POE บันทึก'!AN26</f>
        <v/>
      </c>
      <c r="E26" s="146">
        <f>'🔬 POE บันทึก'!AO26</f>
        <v/>
      </c>
      <c r="F26" s="8">
        <f>'🤖 Four-tier วิเคราะห์'!X72</f>
        <v/>
      </c>
      <c r="G26" s="9">
        <f>'🤖 Four-tier วิเคราะห์'!Y72</f>
        <v/>
      </c>
      <c r="H26" s="87">
        <f>IF(OR(D26="",F26=""),"—",IF(AND(E26&gt;=2,G26&gt;=3),"🔴 เรียนรู้แต่ยังมี Misc. — สอนซ้ำ",IF(AND(E26&gt;=2,G26&lt;3),"🟡 POE ดี แต่ Four-tier อ่อน",IF(AND(E26&lt;2,F26&gt;=10),"🟢 Four-tier ดี — POE อาจไม่แม่น","⚪ ต้องวิเคราะห์เพิ่ม"))))</f>
        <v/>
      </c>
    </row>
    <row r="27" ht="18" customHeight="1">
      <c r="B27" s="46">
        <f>'📥 ข้อมูลนักเรียน'!B27</f>
        <v/>
      </c>
      <c r="C27" s="51">
        <f>'📥 ข้อมูลนักเรียน'!C27</f>
        <v/>
      </c>
      <c r="D27" s="10">
        <f>'🔬 POE บันทึก'!AN27</f>
        <v/>
      </c>
      <c r="E27" s="146">
        <f>'🔬 POE บันทึก'!AO27</f>
        <v/>
      </c>
      <c r="F27" s="8">
        <f>'🤖 Four-tier วิเคราะห์'!X73</f>
        <v/>
      </c>
      <c r="G27" s="9">
        <f>'🤖 Four-tier วิเคราะห์'!Y73</f>
        <v/>
      </c>
      <c r="H27" s="87">
        <f>IF(OR(D27="",F27=""),"—",IF(AND(E27&gt;=2,G27&gt;=3),"🔴 เรียนรู้แต่ยังมี Misc. — สอนซ้ำ",IF(AND(E27&gt;=2,G27&lt;3),"🟡 POE ดี แต่ Four-tier อ่อน",IF(AND(E27&lt;2,F27&gt;=10),"🟢 Four-tier ดี — POE อาจไม่แม่น","⚪ ต้องวิเคราะห์เพิ่ม"))))</f>
        <v/>
      </c>
    </row>
    <row r="28" ht="18" customHeight="1">
      <c r="B28" s="46">
        <f>'📥 ข้อมูลนักเรียน'!B28</f>
        <v/>
      </c>
      <c r="C28" s="47">
        <f>'📥 ข้อมูลนักเรียน'!C28</f>
        <v/>
      </c>
      <c r="D28" s="10">
        <f>'🔬 POE บันทึก'!AN28</f>
        <v/>
      </c>
      <c r="E28" s="146">
        <f>'🔬 POE บันทึก'!AO28</f>
        <v/>
      </c>
      <c r="F28" s="8">
        <f>'🤖 Four-tier วิเคราะห์'!X74</f>
        <v/>
      </c>
      <c r="G28" s="9">
        <f>'🤖 Four-tier วิเคราะห์'!Y74</f>
        <v/>
      </c>
      <c r="H28" s="87">
        <f>IF(OR(D28="",F28=""),"—",IF(AND(E28&gt;=2,G28&gt;=3),"🔴 เรียนรู้แต่ยังมี Misc. — สอนซ้ำ",IF(AND(E28&gt;=2,G28&lt;3),"🟡 POE ดี แต่ Four-tier อ่อน",IF(AND(E28&lt;2,F28&gt;=10),"🟢 Four-tier ดี — POE อาจไม่แม่น","⚪ ต้องวิเคราะห์เพิ่ม"))))</f>
        <v/>
      </c>
    </row>
    <row r="29" ht="18" customHeight="1">
      <c r="B29" s="46">
        <f>'📥 ข้อมูลนักเรียน'!B29</f>
        <v/>
      </c>
      <c r="C29" s="51">
        <f>'📥 ข้อมูลนักเรียน'!C29</f>
        <v/>
      </c>
      <c r="D29" s="10">
        <f>'🔬 POE บันทึก'!AN29</f>
        <v/>
      </c>
      <c r="E29" s="146">
        <f>'🔬 POE บันทึก'!AO29</f>
        <v/>
      </c>
      <c r="F29" s="8">
        <f>'🤖 Four-tier วิเคราะห์'!X75</f>
        <v/>
      </c>
      <c r="G29" s="9">
        <f>'🤖 Four-tier วิเคราะห์'!Y75</f>
        <v/>
      </c>
      <c r="H29" s="87">
        <f>IF(OR(D29="",F29=""),"—",IF(AND(E29&gt;=2,G29&gt;=3),"🔴 เรียนรู้แต่ยังมี Misc. — สอนซ้ำ",IF(AND(E29&gt;=2,G29&lt;3),"🟡 POE ดี แต่ Four-tier อ่อน",IF(AND(E29&lt;2,F29&gt;=10),"🟢 Four-tier ดี — POE อาจไม่แม่น","⚪ ต้องวิเคราะห์เพิ่ม"))))</f>
        <v/>
      </c>
    </row>
    <row r="30" ht="18" customHeight="1">
      <c r="B30" s="46">
        <f>'📥 ข้อมูลนักเรียน'!B30</f>
        <v/>
      </c>
      <c r="C30" s="47">
        <f>'📥 ข้อมูลนักเรียน'!C30</f>
        <v/>
      </c>
      <c r="D30" s="10">
        <f>'🔬 POE บันทึก'!AN30</f>
        <v/>
      </c>
      <c r="E30" s="146">
        <f>'🔬 POE บันทึก'!AO30</f>
        <v/>
      </c>
      <c r="F30" s="8">
        <f>'🤖 Four-tier วิเคราะห์'!X76</f>
        <v/>
      </c>
      <c r="G30" s="9">
        <f>'🤖 Four-tier วิเคราะห์'!Y76</f>
        <v/>
      </c>
      <c r="H30" s="87">
        <f>IF(OR(D30="",F30=""),"—",IF(AND(E30&gt;=2,G30&gt;=3),"🔴 เรียนรู้แต่ยังมี Misc. — สอนซ้ำ",IF(AND(E30&gt;=2,G30&lt;3),"🟡 POE ดี แต่ Four-tier อ่อน",IF(AND(E30&lt;2,F30&gt;=10),"🟢 Four-tier ดี — POE อาจไม่แม่น","⚪ ต้องวิเคราะห์เพิ่ม"))))</f>
        <v/>
      </c>
    </row>
    <row r="31" ht="18" customHeight="1">
      <c r="B31" s="46">
        <f>'📥 ข้อมูลนักเรียน'!B31</f>
        <v/>
      </c>
      <c r="C31" s="51">
        <f>'📥 ข้อมูลนักเรียน'!C31</f>
        <v/>
      </c>
      <c r="D31" s="10">
        <f>'🔬 POE บันทึก'!AN31</f>
        <v/>
      </c>
      <c r="E31" s="146">
        <f>'🔬 POE บันทึก'!AO31</f>
        <v/>
      </c>
      <c r="F31" s="8">
        <f>'🤖 Four-tier วิเคราะห์'!X77</f>
        <v/>
      </c>
      <c r="G31" s="9">
        <f>'🤖 Four-tier วิเคราะห์'!Y77</f>
        <v/>
      </c>
      <c r="H31" s="87">
        <f>IF(OR(D31="",F31=""),"—",IF(AND(E31&gt;=2,G31&gt;=3),"🔴 เรียนรู้แต่ยังมี Misc. — สอนซ้ำ",IF(AND(E31&gt;=2,G31&lt;3),"🟡 POE ดี แต่ Four-tier อ่อน",IF(AND(E31&lt;2,F31&gt;=10),"🟢 Four-tier ดี — POE อาจไม่แม่น","⚪ ต้องวิเคราะห์เพิ่ม"))))</f>
        <v/>
      </c>
    </row>
    <row r="32" ht="18" customHeight="1">
      <c r="B32" s="46">
        <f>'📥 ข้อมูลนักเรียน'!B32</f>
        <v/>
      </c>
      <c r="C32" s="47">
        <f>'📥 ข้อมูลนักเรียน'!C32</f>
        <v/>
      </c>
      <c r="D32" s="10">
        <f>'🔬 POE บันทึก'!AN32</f>
        <v/>
      </c>
      <c r="E32" s="146">
        <f>'🔬 POE บันทึก'!AO32</f>
        <v/>
      </c>
      <c r="F32" s="8">
        <f>'🤖 Four-tier วิเคราะห์'!X78</f>
        <v/>
      </c>
      <c r="G32" s="9">
        <f>'🤖 Four-tier วิเคราะห์'!Y78</f>
        <v/>
      </c>
      <c r="H32" s="87">
        <f>IF(OR(D32="",F32=""),"—",IF(AND(E32&gt;=2,G32&gt;=3),"🔴 เรียนรู้แต่ยังมี Misc. — สอนซ้ำ",IF(AND(E32&gt;=2,G32&lt;3),"🟡 POE ดี แต่ Four-tier อ่อน",IF(AND(E32&lt;2,F32&gt;=10),"🟢 Four-tier ดี — POE อาจไม่แม่น","⚪ ต้องวิเคราะห์เพิ่ม"))))</f>
        <v/>
      </c>
    </row>
    <row r="33" ht="18" customHeight="1">
      <c r="B33" s="46">
        <f>'📥 ข้อมูลนักเรียน'!B33</f>
        <v/>
      </c>
      <c r="C33" s="51">
        <f>'📥 ข้อมูลนักเรียน'!C33</f>
        <v/>
      </c>
      <c r="D33" s="10">
        <f>'🔬 POE บันทึก'!AN33</f>
        <v/>
      </c>
      <c r="E33" s="146">
        <f>'🔬 POE บันทึก'!AO33</f>
        <v/>
      </c>
      <c r="F33" s="8">
        <f>'🤖 Four-tier วิเคราะห์'!X79</f>
        <v/>
      </c>
      <c r="G33" s="9">
        <f>'🤖 Four-tier วิเคราะห์'!Y79</f>
        <v/>
      </c>
      <c r="H33" s="87">
        <f>IF(OR(D33="",F33=""),"—",IF(AND(E33&gt;=2,G33&gt;=3),"🔴 เรียนรู้แต่ยังมี Misc. — สอนซ้ำ",IF(AND(E33&gt;=2,G33&lt;3),"🟡 POE ดี แต่ Four-tier อ่อน",IF(AND(E33&lt;2,F33&gt;=10),"🟢 Four-tier ดี — POE อาจไม่แม่น","⚪ ต้องวิเคราะห์เพิ่ม"))))</f>
        <v/>
      </c>
    </row>
    <row r="34" ht="18" customHeight="1">
      <c r="B34" s="46">
        <f>'📥 ข้อมูลนักเรียน'!B34</f>
        <v/>
      </c>
      <c r="C34" s="47">
        <f>'📥 ข้อมูลนักเรียน'!C34</f>
        <v/>
      </c>
      <c r="D34" s="10">
        <f>'🔬 POE บันทึก'!AN34</f>
        <v/>
      </c>
      <c r="E34" s="146">
        <f>'🔬 POE บันทึก'!AO34</f>
        <v/>
      </c>
      <c r="F34" s="8">
        <f>'🤖 Four-tier วิเคราะห์'!X80</f>
        <v/>
      </c>
      <c r="G34" s="9">
        <f>'🤖 Four-tier วิเคราะห์'!Y80</f>
        <v/>
      </c>
      <c r="H34" s="87">
        <f>IF(OR(D34="",F34=""),"—",IF(AND(E34&gt;=2,G34&gt;=3),"🔴 เรียนรู้แต่ยังมี Misc. — สอนซ้ำ",IF(AND(E34&gt;=2,G34&lt;3),"🟡 POE ดี แต่ Four-tier อ่อน",IF(AND(E34&lt;2,F34&gt;=10),"🟢 Four-tier ดี — POE อาจไม่แม่น","⚪ ต้องวิเคราะห์เพิ่ม"))))</f>
        <v/>
      </c>
    </row>
    <row r="35" ht="18" customHeight="1">
      <c r="B35" s="46">
        <f>'📥 ข้อมูลนักเรียน'!B35</f>
        <v/>
      </c>
      <c r="C35" s="51">
        <f>'📥 ข้อมูลนักเรียน'!C35</f>
        <v/>
      </c>
      <c r="D35" s="10">
        <f>'🔬 POE บันทึก'!AN35</f>
        <v/>
      </c>
      <c r="E35" s="146">
        <f>'🔬 POE บันทึก'!AO35</f>
        <v/>
      </c>
      <c r="F35" s="8">
        <f>'🤖 Four-tier วิเคราะห์'!X81</f>
        <v/>
      </c>
      <c r="G35" s="9">
        <f>'🤖 Four-tier วิเคราะห์'!Y81</f>
        <v/>
      </c>
      <c r="H35" s="87">
        <f>IF(OR(D35="",F35=""),"—",IF(AND(E35&gt;=2,G35&gt;=3),"🔴 เรียนรู้แต่ยังมี Misc. — สอนซ้ำ",IF(AND(E35&gt;=2,G35&lt;3),"🟡 POE ดี แต่ Four-tier อ่อน",IF(AND(E35&lt;2,F35&gt;=10),"🟢 Four-tier ดี — POE อาจไม่แม่น","⚪ ต้องวิเคราะห์เพิ่ม"))))</f>
        <v/>
      </c>
    </row>
    <row r="36" ht="18" customHeight="1">
      <c r="B36" s="46">
        <f>'📥 ข้อมูลนักเรียน'!B36</f>
        <v/>
      </c>
      <c r="C36" s="47">
        <f>'📥 ข้อมูลนักเรียน'!C36</f>
        <v/>
      </c>
      <c r="D36" s="10">
        <f>'🔬 POE บันทึก'!AN36</f>
        <v/>
      </c>
      <c r="E36" s="146">
        <f>'🔬 POE บันทึก'!AO36</f>
        <v/>
      </c>
      <c r="F36" s="8">
        <f>'🤖 Four-tier วิเคราะห์'!X82</f>
        <v/>
      </c>
      <c r="G36" s="9">
        <f>'🤖 Four-tier วิเคราะห์'!Y82</f>
        <v/>
      </c>
      <c r="H36" s="87">
        <f>IF(OR(D36="",F36=""),"—",IF(AND(E36&gt;=2,G36&gt;=3),"🔴 เรียนรู้แต่ยังมี Misc. — สอนซ้ำ",IF(AND(E36&gt;=2,G36&lt;3),"🟡 POE ดี แต่ Four-tier อ่อน",IF(AND(E36&lt;2,F36&gt;=10),"🟢 Four-tier ดี — POE อาจไม่แม่น","⚪ ต้องวิเคราะห์เพิ่ม"))))</f>
        <v/>
      </c>
    </row>
    <row r="37" ht="18" customHeight="1">
      <c r="B37" s="46">
        <f>'📥 ข้อมูลนักเรียน'!B37</f>
        <v/>
      </c>
      <c r="C37" s="51">
        <f>'📥 ข้อมูลนักเรียน'!C37</f>
        <v/>
      </c>
      <c r="D37" s="10">
        <f>'🔬 POE บันทึก'!AN37</f>
        <v/>
      </c>
      <c r="E37" s="146">
        <f>'🔬 POE บันทึก'!AO37</f>
        <v/>
      </c>
      <c r="F37" s="8">
        <f>'🤖 Four-tier วิเคราะห์'!X83</f>
        <v/>
      </c>
      <c r="G37" s="9">
        <f>'🤖 Four-tier วิเคราะห์'!Y83</f>
        <v/>
      </c>
      <c r="H37" s="87">
        <f>IF(OR(D37="",F37=""),"—",IF(AND(E37&gt;=2,G37&gt;=3),"🔴 เรียนรู้แต่ยังมี Misc. — สอนซ้ำ",IF(AND(E37&gt;=2,G37&lt;3),"🟡 POE ดี แต่ Four-tier อ่อน",IF(AND(E37&lt;2,F37&gt;=10),"🟢 Four-tier ดี — POE อาจไม่แม่น","⚪ ต้องวิเคราะห์เพิ่ม"))))</f>
        <v/>
      </c>
    </row>
    <row r="38" ht="18" customHeight="1">
      <c r="B38" s="46">
        <f>'📥 ข้อมูลนักเรียน'!B38</f>
        <v/>
      </c>
      <c r="C38" s="47">
        <f>'📥 ข้อมูลนักเรียน'!C38</f>
        <v/>
      </c>
      <c r="D38" s="10">
        <f>'🔬 POE บันทึก'!AN38</f>
        <v/>
      </c>
      <c r="E38" s="146">
        <f>'🔬 POE บันทึก'!AO38</f>
        <v/>
      </c>
      <c r="F38" s="8">
        <f>'🤖 Four-tier วิเคราะห์'!X84</f>
        <v/>
      </c>
      <c r="G38" s="9">
        <f>'🤖 Four-tier วิเคราะห์'!Y84</f>
        <v/>
      </c>
      <c r="H38" s="87">
        <f>IF(OR(D38="",F38=""),"—",IF(AND(E38&gt;=2,G38&gt;=3),"🔴 เรียนรู้แต่ยังมี Misc. — สอนซ้ำ",IF(AND(E38&gt;=2,G38&lt;3),"🟡 POE ดี แต่ Four-tier อ่อน",IF(AND(E38&lt;2,F38&gt;=10),"🟢 Four-tier ดี — POE อาจไม่แม่น","⚪ ต้องวิเคราะห์เพิ่ม"))))</f>
        <v/>
      </c>
    </row>
    <row r="39" ht="18" customHeight="1">
      <c r="B39" s="46">
        <f>'📥 ข้อมูลนักเรียน'!B39</f>
        <v/>
      </c>
      <c r="C39" s="51">
        <f>'📥 ข้อมูลนักเรียน'!C39</f>
        <v/>
      </c>
      <c r="D39" s="10">
        <f>'🔬 POE บันทึก'!AN39</f>
        <v/>
      </c>
      <c r="E39" s="146">
        <f>'🔬 POE บันทึก'!AO39</f>
        <v/>
      </c>
      <c r="F39" s="8">
        <f>'🤖 Four-tier วิเคราะห์'!X85</f>
        <v/>
      </c>
      <c r="G39" s="9">
        <f>'🤖 Four-tier วิเคราะห์'!Y85</f>
        <v/>
      </c>
      <c r="H39" s="87">
        <f>IF(OR(D39="",F39=""),"—",IF(AND(E39&gt;=2,G39&gt;=3),"🔴 เรียนรู้แต่ยังมี Misc. — สอนซ้ำ",IF(AND(E39&gt;=2,G39&lt;3),"🟡 POE ดี แต่ Four-tier อ่อน",IF(AND(E39&lt;2,F39&gt;=10),"🟢 Four-tier ดี — POE อาจไม่แม่น","⚪ ต้องวิเคราะห์เพิ่ม"))))</f>
        <v/>
      </c>
    </row>
    <row r="40" ht="18" customHeight="1">
      <c r="B40" s="46">
        <f>'📥 ข้อมูลนักเรียน'!B40</f>
        <v/>
      </c>
      <c r="C40" s="47">
        <f>'📥 ข้อมูลนักเรียน'!C40</f>
        <v/>
      </c>
      <c r="D40" s="10">
        <f>'🔬 POE บันทึก'!AN40</f>
        <v/>
      </c>
      <c r="E40" s="146">
        <f>'🔬 POE บันทึก'!AO40</f>
        <v/>
      </c>
      <c r="F40" s="8">
        <f>'🤖 Four-tier วิเคราะห์'!X86</f>
        <v/>
      </c>
      <c r="G40" s="9">
        <f>'🤖 Four-tier วิเคราะห์'!Y86</f>
        <v/>
      </c>
      <c r="H40" s="87">
        <f>IF(OR(D40="",F40=""),"—",IF(AND(E40&gt;=2,G40&gt;=3),"🔴 เรียนรู้แต่ยังมี Misc. — สอนซ้ำ",IF(AND(E40&gt;=2,G40&lt;3),"🟡 POE ดี แต่ Four-tier อ่อน",IF(AND(E40&lt;2,F40&gt;=10),"🟢 Four-tier ดี — POE อาจไม่แม่น","⚪ ต้องวิเคราะห์เพิ่ม"))))</f>
        <v/>
      </c>
    </row>
    <row r="41" ht="18" customHeight="1">
      <c r="B41" s="46">
        <f>'📥 ข้อมูลนักเรียน'!B41</f>
        <v/>
      </c>
      <c r="C41" s="51">
        <f>'📥 ข้อมูลนักเรียน'!C41</f>
        <v/>
      </c>
      <c r="D41" s="10">
        <f>'🔬 POE บันทึก'!AN41</f>
        <v/>
      </c>
      <c r="E41" s="146">
        <f>'🔬 POE บันทึก'!AO41</f>
        <v/>
      </c>
      <c r="F41" s="8">
        <f>'🤖 Four-tier วิเคราะห์'!X87</f>
        <v/>
      </c>
      <c r="G41" s="9">
        <f>'🤖 Four-tier วิเคราะห์'!Y87</f>
        <v/>
      </c>
      <c r="H41" s="87">
        <f>IF(OR(D41="",F41=""),"—",IF(AND(E41&gt;=2,G41&gt;=3),"🔴 เรียนรู้แต่ยังมี Misc. — สอนซ้ำ",IF(AND(E41&gt;=2,G41&lt;3),"🟡 POE ดี แต่ Four-tier อ่อน",IF(AND(E41&lt;2,F41&gt;=10),"🟢 Four-tier ดี — POE อาจไม่แม่น","⚪ ต้องวิเคราะห์เพิ่ม"))))</f>
        <v/>
      </c>
    </row>
    <row r="42" ht="18" customHeight="1">
      <c r="B42" s="46">
        <f>'📥 ข้อมูลนักเรียน'!B42</f>
        <v/>
      </c>
      <c r="C42" s="47">
        <f>'📥 ข้อมูลนักเรียน'!C42</f>
        <v/>
      </c>
      <c r="D42" s="10">
        <f>'🔬 POE บันทึก'!AN42</f>
        <v/>
      </c>
      <c r="E42" s="146">
        <f>'🔬 POE บันทึก'!AO42</f>
        <v/>
      </c>
      <c r="F42" s="8">
        <f>'🤖 Four-tier วิเคราะห์'!X88</f>
        <v/>
      </c>
      <c r="G42" s="9">
        <f>'🤖 Four-tier วิเคราะห์'!Y88</f>
        <v/>
      </c>
      <c r="H42" s="87">
        <f>IF(OR(D42="",F42=""),"—",IF(AND(E42&gt;=2,G42&gt;=3),"🔴 เรียนรู้แต่ยังมี Misc. — สอนซ้ำ",IF(AND(E42&gt;=2,G42&lt;3),"🟡 POE ดี แต่ Four-tier อ่อน",IF(AND(E42&lt;2,F42&gt;=10),"🟢 Four-tier ดี — POE อาจไม่แม่น","⚪ ต้องวิเคราะห์เพิ่ม"))))</f>
        <v/>
      </c>
    </row>
    <row r="43" ht="18" customHeight="1">
      <c r="B43" s="46">
        <f>'📥 ข้อมูลนักเรียน'!B43</f>
        <v/>
      </c>
      <c r="C43" s="51">
        <f>'📥 ข้อมูลนักเรียน'!C43</f>
        <v/>
      </c>
      <c r="D43" s="10">
        <f>'🔬 POE บันทึก'!AN43</f>
        <v/>
      </c>
      <c r="E43" s="146">
        <f>'🔬 POE บันทึก'!AO43</f>
        <v/>
      </c>
      <c r="F43" s="8">
        <f>'🤖 Four-tier วิเคราะห์'!X89</f>
        <v/>
      </c>
      <c r="G43" s="9">
        <f>'🤖 Four-tier วิเคราะห์'!Y89</f>
        <v/>
      </c>
      <c r="H43" s="87">
        <f>IF(OR(D43="",F43=""),"—",IF(AND(E43&gt;=2,G43&gt;=3),"🔴 เรียนรู้แต่ยังมี Misc. — สอนซ้ำ",IF(AND(E43&gt;=2,G43&lt;3),"🟡 POE ดี แต่ Four-tier อ่อน",IF(AND(E43&lt;2,F43&gt;=10),"🟢 Four-tier ดี — POE อาจไม่แม่น","⚪ ต้องวิเคราะห์เพิ่ม"))))</f>
        <v/>
      </c>
    </row>
  </sheetData>
  <mergeCells count="2">
    <mergeCell ref="B1:G1"/>
    <mergeCell ref="B2:G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R544"/>
  <sheetViews>
    <sheetView showGridLines="0" tabSelected="1" zoomScale="90" zoomScaleNormal="90" workbookViewId="0">
      <pane xSplit="1" ySplit="4" topLeftCell="B466" activePane="bottomRight" state="frozen"/>
      <selection pane="topRight" activeCell="B1" sqref="B1"/>
      <selection pane="bottomLeft" activeCell="A5" sqref="A5"/>
      <selection pane="bottomRight" activeCell="D222" sqref="D222"/>
    </sheetView>
  </sheetViews>
  <sheetFormatPr baseColWidth="10" defaultColWidth="8.6640625" defaultRowHeight="15"/>
  <cols>
    <col width="1.5" customWidth="1" min="1" max="1"/>
    <col width="18" customWidth="1" min="2" max="2"/>
    <col width="12" customWidth="1" min="3" max="8"/>
    <col width="10" customWidth="1" min="9" max="10"/>
    <col width="4.1640625" bestFit="1" customWidth="1" min="11" max="11"/>
    <col width="14" customWidth="1" min="12" max="12"/>
    <col width="22" customWidth="1" min="13" max="15"/>
    <col width="14" customWidth="1" min="16" max="18"/>
  </cols>
  <sheetData>
    <row r="1" ht="27.75" customHeight="1">
      <c r="B1" s="234" t="inlineStr">
        <is>
          <t>📓 บันทึกหลังแผนการจัดการเรียนรู้ — วิชาฟิสิกส์ 3 | บทที่ 9 คลื่นกล | ม.5 | 5E + POE | วPA 8 องค์ประกอบ</t>
        </is>
      </c>
    </row>
    <row r="2" ht="18" customHeight="1">
      <c r="B2" s="302" t="inlineStr">
        <is>
          <t>🟢 ช่องสีเขียว = Auto จาก Sheet อื่น (ห้ามแก้ไข)   🟡 ช่องสีเหลือง = กรอกเอง   📌 เลื่อนลงเพื่อดูแต่ละแผน (กด Ctrl+F แล้วพิมพ์ 'แผนที่ N')</t>
        </is>
      </c>
    </row>
    <row r="3" ht="19.5" customHeight="1">
      <c r="B3" s="147" t="inlineStr">
        <is>
          <t>ไปที่แผน →</t>
        </is>
      </c>
      <c r="C3" s="64" t="inlineStr">
        <is>
          <t>แผน 1</t>
        </is>
      </c>
      <c r="D3" s="64" t="inlineStr">
        <is>
          <t>แผน 2</t>
        </is>
      </c>
      <c r="E3" s="11" t="inlineStr">
        <is>
          <t>แผน 3</t>
        </is>
      </c>
      <c r="F3" s="11" t="inlineStr">
        <is>
          <t>แผน 4</t>
        </is>
      </c>
      <c r="G3" s="148" t="inlineStr">
        <is>
          <t>แผน 5</t>
        </is>
      </c>
      <c r="H3" s="25" t="inlineStr">
        <is>
          <t>แผน 6</t>
        </is>
      </c>
      <c r="I3" s="18" t="inlineStr">
        <is>
          <t>แผน 7</t>
        </is>
      </c>
      <c r="J3" s="18" t="inlineStr">
        <is>
          <t>แผน 8</t>
        </is>
      </c>
      <c r="K3" s="145" t="inlineStr">
        <is>
          <t>แผน 9</t>
        </is>
      </c>
      <c r="L3" s="71" t="inlineStr">
        <is>
          <t>แผน 10</t>
        </is>
      </c>
    </row>
    <row r="4" ht="7.5" customHeight="1"/>
    <row r="5" ht="24" customHeight="1">
      <c r="B5" s="303" t="inlineStr">
        <is>
          <t>▌ แผนการสอนที่ 1  |  ธรรมชาติของคลื่น (1): การเกิดคลื่นและชนิด  |  คาบที่ 1–2  |  อ้างอิง 9.1.1–9.1.2</t>
        </is>
      </c>
      <c r="C5" s="378" t="n"/>
      <c r="D5" s="378" t="n"/>
      <c r="E5" s="378" t="n"/>
      <c r="F5" s="378" t="n"/>
      <c r="G5" s="378" t="n"/>
      <c r="H5" s="378" t="n"/>
      <c r="I5" s="378" t="n"/>
      <c r="J5" s="378" t="n"/>
      <c r="K5" s="378" t="n"/>
      <c r="L5" s="378" t="n"/>
      <c r="M5" s="378" t="n"/>
      <c r="N5" s="378" t="n"/>
      <c r="O5" s="378" t="n"/>
      <c r="P5" s="378" t="n"/>
      <c r="Q5" s="378" t="n"/>
      <c r="R5" s="378" t="n"/>
    </row>
    <row r="6" ht="18" customHeight="1">
      <c r="B6" s="304" t="inlineStr">
        <is>
          <t>จำนวนนักเรียน (Auto):</t>
        </is>
      </c>
      <c r="D6" s="305">
        <f>COUNTA('📥 ข้อมูลนักเรียน'!C4:C43)&amp;" คน"</f>
        <v/>
      </c>
      <c r="E6" s="398" t="n"/>
      <c r="L6" s="304" t="inlineStr">
        <is>
          <t>วันที่สอน:</t>
        </is>
      </c>
      <c r="M6" s="306" t="n"/>
      <c r="N6" s="399" t="n"/>
      <c r="O6" s="304" t="inlineStr">
        <is>
          <t>เวลาที่ใช้ (นาที):</t>
        </is>
      </c>
      <c r="P6" s="306" t="n"/>
      <c r="Q6" s="400" t="n"/>
      <c r="R6" s="399" t="n"/>
    </row>
    <row r="7" ht="19.5" customHeight="1">
      <c r="B7" s="307" t="inlineStr">
        <is>
          <t>ส่วนที่ 1 — ผลการจัดกิจกรรม 5E</t>
        </is>
      </c>
      <c r="C7" s="401" t="n"/>
      <c r="D7" s="401" t="n"/>
      <c r="E7" s="401" t="n"/>
      <c r="F7" s="401" t="n"/>
      <c r="G7" s="401" t="n"/>
      <c r="H7" s="401" t="n"/>
      <c r="I7" s="401" t="n"/>
      <c r="J7" s="401" t="n"/>
      <c r="L7" s="307" t="inlineStr">
        <is>
          <t>✏️ สิ่งที่สังเกต / หมายเหตุ</t>
        </is>
      </c>
      <c r="M7" s="401" t="n"/>
      <c r="N7" s="401" t="n"/>
      <c r="O7" s="401" t="n"/>
      <c r="P7" s="401" t="n"/>
      <c r="Q7" s="401" t="n"/>
      <c r="R7" s="401" t="n"/>
    </row>
    <row r="8" ht="15.75" customHeight="1">
      <c r="B8" s="150" t="inlineStr">
        <is>
          <t>ขั้น 5E</t>
        </is>
      </c>
      <c r="C8" s="308" t="inlineStr">
        <is>
          <t>ตัวชี้วัด / ผล (Auto)</t>
        </is>
      </c>
      <c r="D8" s="369" t="n"/>
      <c r="E8" s="369" t="n"/>
      <c r="F8" s="369" t="n"/>
      <c r="G8" s="308" t="inlineStr">
        <is>
          <t>ระดับ (Auto)</t>
        </is>
      </c>
      <c r="H8" s="369" t="n"/>
      <c r="I8" s="369" t="n"/>
      <c r="J8" s="369" t="n"/>
      <c r="L8" s="308" t="inlineStr">
        <is>
          <t>บันทึกสั้น (2–3 บรรทัด)</t>
        </is>
      </c>
      <c r="M8" s="369" t="n"/>
      <c r="N8" s="369" t="n"/>
      <c r="O8" s="369" t="n"/>
      <c r="P8" s="369" t="n"/>
      <c r="Q8" s="369" t="n"/>
      <c r="R8" s="369" t="n"/>
    </row>
    <row r="9" ht="21.75" customHeight="1">
      <c r="B9" s="151" t="inlineStr">
        <is>
          <t>🔵 Engage</t>
        </is>
      </c>
      <c r="C9" s="285">
        <f>IF('🎯 บันทึกการสอน Dashboard'!F15&gt;0,'🎯 บันทึกการสอน Dashboard'!F15&amp;" คน 🟢","—")</f>
        <v/>
      </c>
      <c r="D9" s="369" t="n"/>
      <c r="E9" s="369" t="n"/>
      <c r="F9" s="369" t="n"/>
      <c r="G9" s="309">
        <f>IFERROR(IF('🎯 บันทึกการสอน Dashboard'!F15+IFERROR('🎯 บันทึกการสอน Dashboard'!G15,0)+IFERROR('🎯 บันทึกการสอน Dashboard'!H15,0)&gt;0,IF('🎯 บันทึกการสอน Dashboard'!F15/('🎯 บันทึกการสอน Dashboard'!F15+IFERROR('🎯 บันทึกการสอน Dashboard'!G15,0)+IFERROR('🎯 บันทึกการสอน Dashboard'!H15,0))&gt;=0.5,"✅ ดี","⚠️ ต่ำ"),"ยังไม่กรอก"),"—")</f>
        <v/>
      </c>
      <c r="H9" s="369" t="n"/>
      <c r="I9" s="369" t="n"/>
      <c r="J9" s="369" t="n"/>
      <c r="L9" s="310" t="n"/>
      <c r="M9" s="400" t="n"/>
      <c r="N9" s="400" t="n"/>
      <c r="O9" s="400" t="n"/>
      <c r="P9" s="400" t="n"/>
      <c r="Q9" s="400" t="n"/>
      <c r="R9" s="400" t="n"/>
    </row>
    <row r="10" ht="21.75" customHeight="1">
      <c r="B10" s="151" t="inlineStr">
        <is>
          <t>🟠 Explore</t>
        </is>
      </c>
      <c r="C10" s="285">
        <f>IF('🎯 บันทึกการสอน Dashboard'!J15&gt;0,"POE avg: "&amp;TEXT('🎯 บันทึกการสอน Dashboard'!J15,"0.00"),"—")</f>
        <v/>
      </c>
      <c r="D10" s="369" t="n"/>
      <c r="E10" s="369" t="n"/>
      <c r="F10" s="369" t="n"/>
      <c r="G10" s="309">
        <f>IF(ISNUMBER('🎯 บันทึกการสอน Dashboard'!J15),IF('🎯 บันทึกการสอน Dashboard'!J15&gt;=2,"✅ ดี","⚠️ ต่ำ"),"—")</f>
        <v/>
      </c>
      <c r="H10" s="369" t="n"/>
      <c r="I10" s="369" t="n"/>
      <c r="J10" s="369" t="n"/>
      <c r="L10" s="310" t="n"/>
      <c r="M10" s="400" t="n"/>
      <c r="N10" s="400" t="n"/>
      <c r="O10" s="400" t="n"/>
      <c r="P10" s="400" t="n"/>
      <c r="Q10" s="400" t="n"/>
      <c r="R10" s="400" t="n"/>
    </row>
    <row r="11" ht="21.75" customHeight="1">
      <c r="B11" s="151" t="inlineStr">
        <is>
          <t>🟢 Explain</t>
        </is>
      </c>
      <c r="C11" s="285">
        <f>IF('🎯 บันทึกการสอน Dashboard'!K15&gt;0,"Sound: "&amp;TEXT('🎯 บันทึกการสอน Dashboard'!K15,"0%"),"—")</f>
        <v/>
      </c>
      <c r="D11" s="369" t="n"/>
      <c r="E11" s="369" t="n"/>
      <c r="F11" s="369" t="n"/>
      <c r="G11" s="309">
        <f>IF(ISNUMBER('🎯 บันทึกการสอน Dashboard'!K15),IF('🎯 บันทึกการสอน Dashboard'!K15&gt;=0.7,"✅ ดี","⚠️ ต่ำ"),"—")</f>
        <v/>
      </c>
      <c r="H11" s="369" t="n"/>
      <c r="I11" s="369" t="n"/>
      <c r="J11" s="369" t="n"/>
      <c r="L11" s="310" t="n"/>
      <c r="M11" s="400" t="n"/>
      <c r="N11" s="400" t="n"/>
      <c r="O11" s="400" t="n"/>
      <c r="P11" s="400" t="n"/>
      <c r="Q11" s="400" t="n"/>
      <c r="R11" s="400" t="n"/>
    </row>
    <row r="12" ht="21.75" customHeight="1">
      <c r="B12" s="151" t="inlineStr">
        <is>
          <t>🟡 Elaborate</t>
        </is>
      </c>
      <c r="C12" s="285" t="inlineStr">
        <is>
          <t>ดูผลใบงาน/Spot the Error</t>
        </is>
      </c>
      <c r="D12" s="369" t="n"/>
      <c r="E12" s="369" t="n"/>
      <c r="F12" s="369" t="n"/>
      <c r="G12" s="309" t="inlineStr">
        <is>
          <t>กรอกเอง</t>
        </is>
      </c>
      <c r="H12" s="369" t="n"/>
      <c r="I12" s="369" t="n"/>
      <c r="J12" s="369" t="n"/>
      <c r="L12" s="310" t="n"/>
      <c r="M12" s="400" t="n"/>
      <c r="N12" s="400" t="n"/>
      <c r="O12" s="400" t="n"/>
      <c r="P12" s="400" t="n"/>
      <c r="Q12" s="400" t="n"/>
      <c r="R12" s="400" t="n"/>
    </row>
    <row r="13" ht="21.75" customHeight="1">
      <c r="B13" s="151" t="inlineStr">
        <is>
          <t>🔴 Evaluate</t>
        </is>
      </c>
      <c r="C13" s="285">
        <f>IF('🎯 บันทึกการสอน Dashboard'!H15&gt;0,"🔴 "&amp;'🎯 บันทึกการสอน Dashboard'!H15&amp;" คน","ยังไม่กรอก")</f>
        <v/>
      </c>
      <c r="D13" s="369" t="n"/>
      <c r="E13" s="369" t="n"/>
      <c r="F13" s="369" t="n"/>
      <c r="G13" s="309">
        <f>IF(ISNUMBER('🎯 บันทึกการสอน Dashboard'!H15),IF('🎯 บันทึกการสอน Dashboard'!H15&lt;=5,"✅ น้อย","⚠️ มาก"),"—")</f>
        <v/>
      </c>
      <c r="H13" s="369" t="n"/>
      <c r="I13" s="369" t="n"/>
      <c r="J13" s="369" t="n"/>
      <c r="L13" s="310" t="n"/>
      <c r="M13" s="400" t="n"/>
      <c r="N13" s="400" t="n"/>
      <c r="O13" s="400" t="n"/>
      <c r="P13" s="400" t="n"/>
      <c r="Q13" s="400" t="n"/>
      <c r="R13" s="400" t="n"/>
    </row>
    <row r="14" ht="19.5" customHeight="1">
      <c r="B14" s="311" t="inlineStr">
        <is>
          <t>ส่วนที่ 2 — ผลการทำ POE (2 ครั้ง)</t>
        </is>
      </c>
      <c r="C14" s="385" t="n"/>
      <c r="D14" s="385" t="n"/>
      <c r="E14" s="385" t="n"/>
      <c r="F14" s="385" t="n"/>
      <c r="G14" s="385" t="n"/>
      <c r="H14" s="385" t="n"/>
      <c r="I14" s="385" t="n"/>
      <c r="J14" s="385" t="n"/>
      <c r="L14" s="311" t="inlineStr">
        <is>
          <t>✏️ ตัวอย่างคำพูดนักเรียน / ข้อค้นพบ</t>
        </is>
      </c>
      <c r="M14" s="385" t="n"/>
      <c r="N14" s="385" t="n"/>
      <c r="O14" s="385" t="n"/>
      <c r="P14" s="385" t="n"/>
      <c r="Q14" s="385" t="n"/>
      <c r="R14" s="385" t="n"/>
    </row>
    <row r="15" ht="27.75" customHeight="1">
      <c r="B15" s="152" t="inlineStr">
        <is>
          <t>POE#1: ริบบิ้นในสปริง</t>
        </is>
      </c>
      <c r="C15" s="285">
        <f>IFERROR("P avg: "&amp;TEXT(AVERAGE('🔬 POE บันทึก'!D4:D43),"0.0")&amp;"  |  E avg: "&amp;TEXT(AVERAGE('🔬 POE บันทึก'!E4:E43),"0.0"),"—")</f>
        <v/>
      </c>
      <c r="D15" s="369" t="n"/>
      <c r="E15" s="369" t="n"/>
      <c r="F15" s="369" t="n"/>
      <c r="G15" s="309">
        <f>IFERROR(IF(AVERAGE('🔬 POE บันทึก'!E4:E43)&gt;=2,"✅ Conceptual Change","⚠️ ยังไม่เปลี่ยน"),"—")</f>
        <v/>
      </c>
      <c r="H15" s="369" t="n"/>
      <c r="I15" s="369" t="n"/>
      <c r="J15" s="369" t="n"/>
      <c r="L15" s="312" t="n"/>
      <c r="M15" s="402" t="n"/>
      <c r="N15" s="402" t="n"/>
      <c r="O15" s="402" t="n"/>
      <c r="P15" s="402" t="n"/>
      <c r="Q15" s="402" t="n"/>
      <c r="R15" s="402" t="n"/>
    </row>
    <row r="16" ht="15" customHeight="1">
      <c r="L16" s="403" t="n"/>
    </row>
    <row r="17" ht="27.75" customHeight="1">
      <c r="B17" s="152" t="inlineStr">
        <is>
          <t>POE#2: PhET ความถี่ vs อัตราเร็ว</t>
        </is>
      </c>
      <c r="C17" s="285">
        <f>IFERROR("P avg: "&amp;TEXT(AVERAGE('🔬 POE บันทึก'!F4:F43),"0.0")&amp;"  |  E avg: "&amp;TEXT(AVERAGE('🔬 POE บันทึก'!G4:G43),"0.0"),"—")</f>
        <v/>
      </c>
      <c r="D17" s="369" t="n"/>
      <c r="E17" s="369" t="n"/>
      <c r="F17" s="369" t="n"/>
      <c r="G17" s="309">
        <f>IFERROR(IF(AVERAGE('🔬 POE บันทึก'!G4:G43)&gt;=2,"✅ Conceptual Change","⚠️ ยังไม่เปลี่ยน"),"—")</f>
        <v/>
      </c>
      <c r="H17" s="369" t="n"/>
      <c r="I17" s="369" t="n"/>
      <c r="J17" s="369" t="n"/>
      <c r="L17" s="312" t="n"/>
      <c r="M17" s="402" t="n"/>
      <c r="N17" s="402" t="n"/>
      <c r="O17" s="402" t="n"/>
      <c r="P17" s="402" t="n"/>
      <c r="Q17" s="402" t="n"/>
      <c r="R17" s="402" t="n"/>
    </row>
    <row r="18" ht="15" customHeight="1">
      <c r="L18" s="403" t="n"/>
    </row>
    <row r="19" ht="19.5" customHeight="1">
      <c r="B19" s="307" t="inlineStr">
        <is>
          <t>ส่วนที่ 3 — การบรรลุวัตถุประสงค์การเรียนรู้ (Auto จาก Four-tier + ตัวชี้วัด)</t>
        </is>
      </c>
      <c r="C19" s="401" t="n"/>
      <c r="D19" s="401" t="n"/>
      <c r="E19" s="401" t="n"/>
      <c r="F19" s="401" t="n"/>
      <c r="G19" s="401" t="n"/>
      <c r="H19" s="401" t="n"/>
      <c r="I19" s="401" t="n"/>
      <c r="J19" s="401" t="n"/>
      <c r="K19" s="401" t="n"/>
      <c r="L19" s="401" t="n"/>
      <c r="M19" s="401" t="n"/>
      <c r="N19" s="401" t="n"/>
      <c r="O19" s="401" t="n"/>
      <c r="P19" s="401" t="n"/>
      <c r="Q19" s="401" t="n"/>
      <c r="R19" s="401" t="n"/>
    </row>
    <row r="20" ht="18" customHeight="1">
      <c r="B20" s="153" t="inlineStr">
        <is>
          <t>วัตถุประสงค์</t>
        </is>
      </c>
      <c r="C20" s="153" t="inlineStr">
        <is>
          <t>ตัวชี้วัด</t>
        </is>
      </c>
      <c r="D20" s="313" t="inlineStr">
        <is>
          <t>n ผ่านเกณฑ์ (Auto)</t>
        </is>
      </c>
      <c r="E20" s="401" t="n"/>
      <c r="F20" s="153" t="inlineStr">
        <is>
          <t>% (Auto)</t>
        </is>
      </c>
      <c r="G20" s="313" t="inlineStr">
        <is>
          <t>ผ่าน? (Auto)</t>
        </is>
      </c>
      <c r="H20" s="401" t="n"/>
      <c r="I20" s="313" t="inlineStr">
        <is>
          <t>หลักฐาน/วิธีวัด</t>
        </is>
      </c>
      <c r="J20" s="401" t="n"/>
      <c r="K20" s="401" t="n"/>
    </row>
    <row r="21" ht="21.75" customHeight="1">
      <c r="B21" s="154" t="inlineStr">
        <is>
          <t>1. อธิบายการเกิดคลื่นและลักษณะสำคัญได้</t>
        </is>
      </c>
      <c r="C21" s="155" t="inlineStr">
        <is>
          <t>ว 2.2 ม.5/1</t>
        </is>
      </c>
      <c r="D21" s="314">
        <f>IFERROR(ROUND('🤖 Four-tier วิเคราะห์'!D90*COUNTA('📥 ข้อมูลนักเรียน'!C4:C43),0),"—")</f>
        <v/>
      </c>
      <c r="E21" s="369" t="n"/>
      <c r="F21" s="79">
        <f>IFERROR('🤖 Four-tier วิเคราะห์'!D90,"—")</f>
        <v/>
      </c>
      <c r="G21" s="315">
        <f>IFERROR(IF('🤖 Four-tier วิเคราะห์'!D90&gt;=0.8,"✅ ผ่าน (≥80%)","❌ ไม่ผ่าน (&lt;80%)"),"—")</f>
        <v/>
      </c>
      <c r="H21" s="369" t="n"/>
      <c r="I21" s="310" t="n"/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</row>
    <row r="22" ht="21.75" customHeight="1">
      <c r="B22" s="154" t="inlineStr">
        <is>
          <t>2. จำแนกคลื่นกลและคลื่นแม่เหล็กไฟฟ้าได้</t>
        </is>
      </c>
      <c r="C22" s="155" t="inlineStr">
        <is>
          <t>ว 2.2 ม.5/1</t>
        </is>
      </c>
      <c r="D22" s="314">
        <f>IFERROR(ROUND('🤖 Four-tier วิเคราะห์'!E90*COUNTA('📥 ข้อมูลนักเรียน'!C4:C43),0),"—")</f>
        <v/>
      </c>
      <c r="E22" s="369" t="n"/>
      <c r="F22" s="79">
        <f>IFERROR('🤖 Four-tier วิเคราะห์'!E90,"—")</f>
        <v/>
      </c>
      <c r="G22" s="315">
        <f>IFERROR(IF('🤖 Four-tier วิเคราะห์'!E90&gt;=0.8,"✅ ผ่าน (≥80%)","❌ ไม่ผ่าน (&lt;80%)"),"—")</f>
        <v/>
      </c>
      <c r="H22" s="369" t="n"/>
      <c r="I22" s="310" t="n"/>
      <c r="J22" s="400" t="n"/>
      <c r="K22" s="400" t="n"/>
      <c r="L22" s="400" t="n"/>
      <c r="M22" s="400" t="n"/>
      <c r="N22" s="400" t="n"/>
      <c r="O22" s="400" t="n"/>
      <c r="P22" s="400" t="n"/>
      <c r="Q22" s="400" t="n"/>
      <c r="R22" s="400" t="n"/>
    </row>
    <row r="23" ht="21.75" customHeight="1">
      <c r="B23" s="154" t="inlineStr">
        <is>
          <t>3. แยกคลื่นตามขวาง/ตามยาวได้</t>
        </is>
      </c>
      <c r="C23" s="155" t="inlineStr">
        <is>
          <t>ว 2.2 ม.5/1</t>
        </is>
      </c>
      <c r="D23" s="314">
        <f>IFERROR(ROUND('🤖 Four-tier วิเคราะห์'!F90*COUNTA('📥 ข้อมูลนักเรียน'!C4:C43),0),"—")</f>
        <v/>
      </c>
      <c r="E23" s="369" t="n"/>
      <c r="F23" s="79">
        <f>IFERROR('🤖 Four-tier วิเคราะห์'!F90,"—")</f>
        <v/>
      </c>
      <c r="G23" s="315">
        <f>IFERROR(IF('🤖 Four-tier วิเคราะห์'!F90&gt;=0.8,"✅ ผ่าน (≥80%)","❌ ไม่ผ่าน (&lt;80%)"),"—")</f>
        <v/>
      </c>
      <c r="H23" s="369" t="n"/>
      <c r="I23" s="310" t="n"/>
      <c r="J23" s="400" t="n"/>
      <c r="K23" s="400" t="n"/>
      <c r="L23" s="400" t="n"/>
      <c r="M23" s="400" t="n"/>
      <c r="N23" s="400" t="n"/>
      <c r="O23" s="400" t="n"/>
      <c r="P23" s="400" t="n"/>
      <c r="Q23" s="400" t="n"/>
      <c r="R23" s="400" t="n"/>
    </row>
    <row r="24" ht="21.75" customHeight="1">
      <c r="B24" s="154" t="inlineStr">
        <is>
          <t>4. แยกคลื่นดลและคลื่นต่อเนื่องได้</t>
        </is>
      </c>
      <c r="C24" s="155" t="inlineStr">
        <is>
          <t>ว 2.2 ม.5/1</t>
        </is>
      </c>
      <c r="D24" s="314">
        <f>IFERROR(ROUND('🤖 Four-tier วิเคราะห์'!G90*COUNTA('📥 ข้อมูลนักเรียน'!C4:C43),0),"—")</f>
        <v/>
      </c>
      <c r="E24" s="369" t="n"/>
      <c r="F24" s="79">
        <f>IFERROR('🤖 Four-tier วิเคราะห์'!G90,"—")</f>
        <v/>
      </c>
      <c r="G24" s="315">
        <f>IFERROR(IF('🤖 Four-tier วิเคราะห์'!G90&gt;=0.8,"✅ ผ่าน (≥80%)","❌ ไม่ผ่าน (&lt;80%)"),"—")</f>
        <v/>
      </c>
      <c r="H24" s="369" t="n"/>
      <c r="I24" s="310" t="n"/>
      <c r="J24" s="400" t="n"/>
      <c r="K24" s="400" t="n"/>
      <c r="L24" s="400" t="n"/>
      <c r="M24" s="400" t="n"/>
      <c r="N24" s="400" t="n"/>
      <c r="O24" s="400" t="n"/>
      <c r="P24" s="400" t="n"/>
      <c r="Q24" s="400" t="n"/>
      <c r="R24" s="400" t="n"/>
    </row>
    <row r="25" ht="21.75" customHeight="1">
      <c r="B25" s="156" t="inlineStr">
        <is>
          <t>ภาพรวมแผนนี้</t>
        </is>
      </c>
      <c r="C25" s="316">
        <f>IFERROR(AVERAGE('🤖 Four-tier วิเคราะห์'!D90,'🤖 Four-tier วิเคราะห์'!E90,'🤖 Four-tier วิเคราะห์'!F90,'🤖 Four-tier วิเคราะห์'!G90),0)</f>
        <v/>
      </c>
      <c r="D25" s="369" t="n"/>
      <c r="E25" s="369" t="n"/>
      <c r="F25" s="317">
        <f>IFERROR((IF(ISNUMBER('🤖 Four-tier วิเคราะห์'!C90),IF('🤖 Four-tier วิเคราะห์'!C90&gt;=0.8,1,0),0)+IF(ISNUMBER('🤖 Four-tier วิเคราะห์'!D90),IF('🤖 Four-tier วิเคราะห์'!D90&gt;=0.8,1,0),0)+IF(ISNUMBER('🤖 Four-tier วิเคราะห์'!E90),IF('🤖 Four-tier วิเคราะห์'!E90&gt;=0.8,1,0),0)+IF(ISNUMBER('🤖 Four-tier วิเคราะห์'!F90),IF('🤖 Four-tier วิเคราะห์'!F90&gt;=0.8,1,0),0))&amp;"/4 วัตถุประสงค์ผ่าน","—")</f>
        <v/>
      </c>
      <c r="G25" s="369" t="n"/>
      <c r="H25" s="369" t="n"/>
      <c r="I25" s="318">
        <f>IFERROR(IF(AVERAGE('🤖 Four-tier วิเคราะห์'!D90,'🤖 Four-tier วิเคราะห์'!E90,'🤖 Four-tier วิเคราะห์'!F90,'🤖 Four-tier วิเคราะห์'!G90)&gt;=0.8,"✅ บรรลุเกณฑ์ภาพรวม","⚠️ ยังต่ำกว่าเกณฑ์"),"—")</f>
        <v/>
      </c>
      <c r="J25" s="369" t="n"/>
      <c r="K25" s="369" t="n"/>
      <c r="L25" s="369" t="n"/>
      <c r="M25" s="369" t="n"/>
      <c r="N25" s="369" t="n"/>
      <c r="O25" s="369" t="n"/>
      <c r="P25" s="369" t="n"/>
      <c r="Q25" s="369" t="n"/>
      <c r="R25" s="369" t="n"/>
    </row>
    <row r="26" ht="19.5" customHeight="1">
      <c r="B26" s="311" t="inlineStr">
        <is>
          <t>ส่วนที่ 4 — พฤติกรรมนักเรียนและการมีส่วนร่วม</t>
        </is>
      </c>
      <c r="C26" s="385" t="n"/>
      <c r="D26" s="385" t="n"/>
      <c r="E26" s="385" t="n"/>
      <c r="F26" s="385" t="n"/>
      <c r="G26" s="385" t="n"/>
      <c r="H26" s="385" t="n"/>
      <c r="I26" s="385" t="n"/>
      <c r="J26" s="385" t="n"/>
      <c r="L26" s="311" t="inlineStr">
        <is>
          <t>✏️ กรอก</t>
        </is>
      </c>
      <c r="M26" s="385" t="n"/>
      <c r="N26" s="385" t="n"/>
      <c r="O26" s="385" t="n"/>
      <c r="P26" s="385" t="n"/>
      <c r="Q26" s="385" t="n"/>
      <c r="R26" s="385" t="n"/>
    </row>
    <row r="27" ht="18" customHeight="1">
      <c r="B27" s="157" t="inlineStr">
        <is>
          <t>🟢 Traffic Light</t>
        </is>
      </c>
      <c r="C27" s="314">
        <f>IFERROR('🎯 บันทึกการสอน Dashboard'!F15,0)&amp;" คน"</f>
        <v/>
      </c>
      <c r="D27" s="369" t="n"/>
      <c r="E27" s="369" t="n"/>
      <c r="F27" s="369" t="n"/>
      <c r="G27" s="369" t="n"/>
      <c r="H27" s="369" t="n"/>
      <c r="I27" s="369" t="n"/>
      <c r="J27" s="369" t="n"/>
      <c r="L27" s="319" t="inlineStr">
        <is>
          <t>นักเรียนที่ต้องดูแลพิเศษ / กลุ่มที่มีส่วนร่วมต่ำ:</t>
        </is>
      </c>
      <c r="M27" s="402" t="n"/>
      <c r="N27" s="402" t="n"/>
      <c r="O27" s="402" t="n"/>
      <c r="P27" s="402" t="n"/>
      <c r="Q27" s="402" t="n"/>
      <c r="R27" s="402" t="n"/>
    </row>
    <row r="28" ht="18" customHeight="1">
      <c r="B28" s="158" t="inlineStr">
        <is>
          <t>🟡 Traffic Light</t>
        </is>
      </c>
      <c r="C28" s="320">
        <f>IFERROR('🎯 บันทึกการสอน Dashboard'!G15,0)&amp;" คน"</f>
        <v/>
      </c>
      <c r="D28" s="369" t="n"/>
      <c r="E28" s="369" t="n"/>
      <c r="F28" s="369" t="n"/>
      <c r="G28" s="369" t="n"/>
      <c r="H28" s="369" t="n"/>
      <c r="I28" s="369" t="n"/>
      <c r="J28" s="369" t="n"/>
      <c r="L28" s="403" t="n"/>
    </row>
    <row r="29" ht="18" customHeight="1">
      <c r="B29" s="159" t="inlineStr">
        <is>
          <t>🔴 Traffic Light</t>
        </is>
      </c>
      <c r="C29" s="321">
        <f>IFERROR('🎯 บันทึกการสอน Dashboard'!H15,0)&amp;" คน"</f>
        <v/>
      </c>
      <c r="D29" s="369" t="n"/>
      <c r="E29" s="369" t="n"/>
      <c r="F29" s="369" t="n"/>
      <c r="G29" s="369" t="n"/>
      <c r="H29" s="369" t="n"/>
      <c r="I29" s="369" t="n"/>
      <c r="J29" s="369" t="n"/>
      <c r="L29" s="403" t="n"/>
    </row>
    <row r="30" ht="18" customHeight="1">
      <c r="B30" s="160" t="inlineStr">
        <is>
          <t>สถานะโดยรวม</t>
        </is>
      </c>
      <c r="C30" s="309">
        <f>IFERROR('🎯 บันทึกการสอน Dashboard'!M15,"ยังไม่กรอก")</f>
        <v/>
      </c>
      <c r="D30" s="369" t="n"/>
      <c r="E30" s="369" t="n"/>
      <c r="F30" s="369" t="n"/>
      <c r="G30" s="369" t="n"/>
      <c r="H30" s="369" t="n"/>
      <c r="I30" s="369" t="n"/>
      <c r="J30" s="369" t="n"/>
      <c r="L30" s="403" t="n"/>
    </row>
    <row r="31" ht="19.5" customHeight="1">
      <c r="B31" s="322" t="inlineStr">
        <is>
          <t>ส่วนที่ 5 — ปัญหา อุปสรรค และข้อค้นพบ</t>
        </is>
      </c>
      <c r="C31" s="404" t="n"/>
      <c r="D31" s="404" t="n"/>
      <c r="E31" s="404" t="n"/>
      <c r="F31" s="404" t="n"/>
      <c r="G31" s="404" t="n"/>
      <c r="H31" s="404" t="n"/>
      <c r="I31" s="404" t="n"/>
      <c r="J31" s="404" t="n"/>
      <c r="L31" s="322" t="inlineStr">
        <is>
          <t>✏️ กรอก</t>
        </is>
      </c>
      <c r="M31" s="404" t="n"/>
      <c r="N31" s="404" t="n"/>
      <c r="O31" s="404" t="n"/>
      <c r="P31" s="404" t="n"/>
      <c r="Q31" s="404" t="n"/>
      <c r="R31" s="404" t="n"/>
    </row>
    <row r="32" ht="18" customHeight="1">
      <c r="B32" s="161" t="inlineStr">
        <is>
          <t>Misconception M1 (Pre)</t>
        </is>
      </c>
      <c r="C32" s="323">
        <f>IFERROR('📊 สรุป Misconception'!D3,"—")</f>
        <v/>
      </c>
      <c r="D32" s="369" t="n"/>
      <c r="E32" s="369" t="n"/>
      <c r="F32" s="369" t="n"/>
      <c r="G32" s="369" t="n"/>
      <c r="H32" s="369" t="n"/>
      <c r="I32" s="369" t="n"/>
      <c r="J32" s="369" t="n"/>
      <c r="L32" s="319" t="inlineStr">
        <is>
          <t>รายละเอียดปัญหา / สิ่งที่ค้นพบระหว่างสอน:</t>
        </is>
      </c>
      <c r="M32" s="402" t="n"/>
      <c r="N32" s="402" t="n"/>
      <c r="O32" s="402" t="n"/>
      <c r="P32" s="402" t="n"/>
      <c r="Q32" s="402" t="n"/>
      <c r="R32" s="402" t="n"/>
    </row>
    <row r="33" ht="18" customHeight="1">
      <c r="B33" s="162" t="inlineStr">
        <is>
          <t>Misconception M1 (Post)</t>
        </is>
      </c>
      <c r="C33" s="324">
        <f>IFERROR('📊 สรุป Misconception'!F3,"—")</f>
        <v/>
      </c>
      <c r="D33" s="369" t="n"/>
      <c r="E33" s="369" t="n"/>
      <c r="F33" s="369" t="n"/>
      <c r="G33" s="369" t="n"/>
      <c r="H33" s="369" t="n"/>
      <c r="I33" s="369" t="n"/>
      <c r="J33" s="369" t="n"/>
      <c r="L33" s="403" t="n"/>
    </row>
    <row r="34" ht="18" customHeight="1">
      <c r="B34" s="163" t="inlineStr">
        <is>
          <t>ระดับ M1</t>
        </is>
      </c>
      <c r="C34" s="325">
        <f>IFERROR('📊 สรุป Misconception'!H3,"—")</f>
        <v/>
      </c>
      <c r="D34" s="369" t="n"/>
      <c r="E34" s="369" t="n"/>
      <c r="F34" s="369" t="n"/>
      <c r="G34" s="369" t="n"/>
      <c r="H34" s="369" t="n"/>
      <c r="I34" s="369" t="n"/>
      <c r="J34" s="369" t="n"/>
      <c r="L34" s="403" t="n"/>
    </row>
    <row r="35" ht="18" customHeight="1">
      <c r="B35" s="161" t="inlineStr">
        <is>
          <t>Misc. ใหม่ที่ไม่คาดคิด</t>
        </is>
      </c>
      <c r="C35" s="323" t="inlineStr">
        <is>
          <t>— ดูจากใบงาน POE —</t>
        </is>
      </c>
      <c r="D35" s="369" t="n"/>
      <c r="E35" s="369" t="n"/>
      <c r="F35" s="369" t="n"/>
      <c r="G35" s="369" t="n"/>
      <c r="H35" s="369" t="n"/>
      <c r="I35" s="369" t="n"/>
      <c r="J35" s="369" t="n"/>
      <c r="L35" s="403" t="n"/>
    </row>
    <row r="36" ht="19.5" customHeight="1">
      <c r="B36" s="326" t="inlineStr">
        <is>
          <t>ส่วนที่ 6 — ข้อมูลเชิงวิจัย (Auto ทั้งหมด)</t>
        </is>
      </c>
      <c r="C36" s="405" t="n"/>
      <c r="D36" s="405" t="n"/>
      <c r="E36" s="405" t="n"/>
      <c r="F36" s="405" t="n"/>
      <c r="G36" s="405" t="n"/>
      <c r="H36" s="405" t="n"/>
      <c r="I36" s="405" t="n"/>
      <c r="J36" s="405" t="n"/>
      <c r="L36" s="326" t="inlineStr">
        <is>
          <t>✏️ กรอก</t>
        </is>
      </c>
      <c r="M36" s="405" t="n"/>
      <c r="N36" s="405" t="n"/>
      <c r="O36" s="405" t="n"/>
      <c r="P36" s="405" t="n"/>
      <c r="Q36" s="405" t="n"/>
      <c r="R36" s="405" t="n"/>
    </row>
    <row r="37" ht="18" customHeight="1">
      <c r="B37" s="164" t="inlineStr">
        <is>
          <t>POE เฉลี่ยแผนนี้</t>
        </is>
      </c>
      <c r="C37" s="327">
        <f>IFERROR('🎯 บันทึกการสอน Dashboard'!J15,"—")</f>
        <v/>
      </c>
      <c r="D37" s="369" t="n"/>
      <c r="E37" s="369" t="n"/>
      <c r="F37" s="369" t="n"/>
      <c r="G37" s="369" t="n"/>
      <c r="H37" s="369" t="n"/>
      <c r="I37" s="369" t="n"/>
      <c r="J37" s="369" t="n"/>
      <c r="L37" s="319" t="inlineStr">
        <is>
          <t>การวิเคราะห์เพิ่มเติม / บันทึกสำหรับบทที่ 4:</t>
        </is>
      </c>
      <c r="M37" s="402" t="n"/>
      <c r="N37" s="402" t="n"/>
      <c r="O37" s="402" t="n"/>
      <c r="P37" s="402" t="n"/>
      <c r="Q37" s="402" t="n"/>
      <c r="R37" s="402" t="n"/>
    </row>
    <row r="38" ht="18" customHeight="1">
      <c r="B38" s="165" t="inlineStr">
        <is>
          <t>% Sound (Post-test)</t>
        </is>
      </c>
      <c r="C38" s="328">
        <f>IFERROR('🎯 บันทึกการสอน Dashboard'!K15,"—")</f>
        <v/>
      </c>
      <c r="D38" s="369" t="n"/>
      <c r="E38" s="369" t="n"/>
      <c r="F38" s="369" t="n"/>
      <c r="G38" s="369" t="n"/>
      <c r="H38" s="369" t="n"/>
      <c r="I38" s="369" t="n"/>
      <c r="J38" s="369" t="n"/>
      <c r="L38" s="403" t="n"/>
    </row>
    <row r="39" ht="18" customHeight="1">
      <c r="B39" s="166" t="inlineStr">
        <is>
          <t>% Misconception (Post)</t>
        </is>
      </c>
      <c r="C39" s="329">
        <f>IFERROR('🎯 บันทึกการสอน Dashboard'!L15,"—")</f>
        <v/>
      </c>
      <c r="D39" s="369" t="n"/>
      <c r="E39" s="369" t="n"/>
      <c r="F39" s="369" t="n"/>
      <c r="G39" s="369" t="n"/>
      <c r="H39" s="369" t="n"/>
      <c r="I39" s="369" t="n"/>
      <c r="J39" s="369" t="n"/>
      <c r="L39" s="403" t="n"/>
    </row>
    <row r="40" ht="18" customHeight="1">
      <c r="B40" s="164" t="inlineStr">
        <is>
          <t>GAP: POE ดีแต่ Misc.</t>
        </is>
      </c>
      <c r="C40" s="330">
        <f>IFERROR(COUNTIF('🔗 POE-Fourtier เทียบ'!H4,"🔴*"),0)&amp;" คน"</f>
        <v/>
      </c>
      <c r="D40" s="369" t="n"/>
      <c r="E40" s="369" t="n"/>
      <c r="F40" s="369" t="n"/>
      <c r="G40" s="369" t="n"/>
      <c r="H40" s="369" t="n"/>
      <c r="I40" s="369" t="n"/>
      <c r="J40" s="369" t="n"/>
      <c r="L40" s="403" t="n"/>
    </row>
    <row r="41" ht="19.5" customHeight="1">
      <c r="B41" s="307" t="inlineStr">
        <is>
          <t>ส่วนที่ 7 — ประเมิน 8 องค์ประกอบ วPA</t>
        </is>
      </c>
      <c r="C41" s="401" t="n"/>
      <c r="D41" s="401" t="n"/>
      <c r="E41" s="401" t="n"/>
      <c r="F41" s="401" t="n"/>
      <c r="G41" s="401" t="n"/>
      <c r="H41" s="401" t="n"/>
      <c r="I41" s="401" t="n"/>
      <c r="J41" s="401" t="n"/>
      <c r="K41" s="401" t="n"/>
      <c r="L41" s="401" t="n"/>
      <c r="M41" s="401" t="n"/>
      <c r="N41" s="401" t="n"/>
      <c r="O41" s="401" t="n"/>
      <c r="P41" s="401" t="n"/>
      <c r="Q41" s="401" t="n"/>
      <c r="R41" s="401" t="n"/>
    </row>
    <row r="42" ht="18" customHeight="1">
      <c r="B42" s="313" t="inlineStr">
        <is>
          <t>องค์ประกอบ วPA</t>
        </is>
      </c>
      <c r="C42" s="401" t="n"/>
      <c r="D42" s="401" t="n"/>
      <c r="E42" s="313" t="inlineStr">
        <is>
          <t>กิจกรรมที่รองรับ</t>
        </is>
      </c>
      <c r="F42" s="401" t="n"/>
      <c r="G42" s="401" t="n"/>
      <c r="H42" s="313" t="inlineStr">
        <is>
          <t>ระดับ (Auto)</t>
        </is>
      </c>
      <c r="I42" s="401" t="n"/>
      <c r="J42" s="401" t="n"/>
      <c r="K42" s="313" t="inlineStr">
        <is>
          <t>ผ่าน?</t>
        </is>
      </c>
      <c r="L42" s="401" t="n"/>
      <c r="M42" s="401" t="n"/>
      <c r="N42" s="313" t="inlineStr">
        <is>
          <t>หลักฐาน/สิ่งที่สังเกต</t>
        </is>
      </c>
      <c r="O42" s="401" t="n"/>
      <c r="P42" s="401" t="n"/>
    </row>
    <row r="43" ht="19.5" customHeight="1">
      <c r="B43" s="331" t="inlineStr">
        <is>
          <t>1. เข้าถึงและเข้าใจบทเรียน</t>
        </is>
      </c>
      <c r="C43" s="369" t="n"/>
      <c r="D43" s="369" t="n"/>
      <c r="E43" s="332" t="inlineStr">
        <is>
          <t>Concept Cartoon + วิดีโอ</t>
        </is>
      </c>
      <c r="F43" s="369" t="n"/>
      <c r="G43" s="369" t="n"/>
      <c r="H43" s="333">
        <f>IFERROR(IF('🎯 บันทึกการสอน Dashboard'!K15&gt;=0.6,"✅","⚠️"),"—")</f>
        <v/>
      </c>
      <c r="I43" s="369" t="n"/>
      <c r="J43" s="310" t="n"/>
      <c r="K43" s="400" t="n"/>
      <c r="L43" s="400" t="n"/>
      <c r="M43" s="400" t="n"/>
      <c r="N43" s="400" t="n"/>
      <c r="O43" s="400" t="n"/>
      <c r="P43" s="400" t="n"/>
      <c r="Q43" s="400" t="n"/>
      <c r="R43" s="400" t="n"/>
    </row>
    <row r="44" ht="19.5" customHeight="1">
      <c r="B44" s="331" t="inlineStr">
        <is>
          <t>2. เชื่อมโยงความรู้เดิม</t>
        </is>
      </c>
      <c r="C44" s="369" t="n"/>
      <c r="D44" s="369" t="n"/>
      <c r="E44" s="332" t="inlineStr">
        <is>
          <t>POE-Predict + KWL</t>
        </is>
      </c>
      <c r="F44" s="369" t="n"/>
      <c r="G44" s="369" t="n"/>
      <c r="H44" s="333">
        <f>IFERROR(IF('🎯 บันทึกการสอน Dashboard'!J15&gt;=1.5,"✅","⚠️"),"—")</f>
        <v/>
      </c>
      <c r="I44" s="369" t="n"/>
      <c r="J44" s="310" t="n"/>
      <c r="K44" s="400" t="n"/>
      <c r="L44" s="400" t="n"/>
      <c r="M44" s="400" t="n"/>
      <c r="N44" s="400" t="n"/>
      <c r="O44" s="400" t="n"/>
      <c r="P44" s="400" t="n"/>
      <c r="Q44" s="400" t="n"/>
      <c r="R44" s="400" t="n"/>
    </row>
    <row r="45" ht="19.5" customHeight="1">
      <c r="B45" s="331" t="inlineStr">
        <is>
          <t>3. สร้างความรู้เอง</t>
        </is>
      </c>
      <c r="C45" s="369" t="n"/>
      <c r="D45" s="369" t="n"/>
      <c r="E45" s="332" t="inlineStr">
        <is>
          <t>ทดลองสปริง + PhET</t>
        </is>
      </c>
      <c r="F45" s="369" t="n"/>
      <c r="G45" s="369" t="n"/>
      <c r="H45" s="333">
        <f>IFERROR(IF('🎯 บันทึกการสอน Dashboard'!J15&gt;=2,"✅","⚠️"),"—")</f>
        <v/>
      </c>
      <c r="I45" s="369" t="n"/>
      <c r="J45" s="310" t="n"/>
      <c r="K45" s="400" t="n"/>
      <c r="L45" s="400" t="n"/>
      <c r="M45" s="400" t="n"/>
      <c r="N45" s="400" t="n"/>
      <c r="O45" s="400" t="n"/>
      <c r="P45" s="400" t="n"/>
      <c r="Q45" s="400" t="n"/>
      <c r="R45" s="400" t="n"/>
    </row>
    <row r="46" ht="19.5" customHeight="1">
      <c r="B46" s="331" t="inlineStr">
        <is>
          <t>4. แรงจูงใจ</t>
        </is>
      </c>
      <c r="C46" s="369" t="n"/>
      <c r="D46" s="369" t="n"/>
      <c r="E46" s="332" t="inlineStr">
        <is>
          <t>Traffic Lights + Brain Break</t>
        </is>
      </c>
      <c r="F46" s="369" t="n"/>
      <c r="G46" s="369" t="n"/>
      <c r="H46" s="333">
        <f>IFERROR(IF('🎯 บันทึกการสอน Dashboard'!F15&gt;='🎯 บันทึกการสอน Dashboard'!H15,"✅","⚠️"),"—")</f>
        <v/>
      </c>
      <c r="I46" s="369" t="n"/>
      <c r="J46" s="310" t="n"/>
      <c r="K46" s="400" t="n"/>
      <c r="L46" s="400" t="n"/>
      <c r="M46" s="400" t="n"/>
      <c r="N46" s="400" t="n"/>
      <c r="O46" s="400" t="n"/>
      <c r="P46" s="400" t="n"/>
      <c r="Q46" s="400" t="n"/>
      <c r="R46" s="400" t="n"/>
    </row>
    <row r="47" ht="19.5" customHeight="1">
      <c r="B47" s="331" t="inlineStr">
        <is>
          <t>5. พัฒนาทักษะเชี่ยวชาญ</t>
        </is>
      </c>
      <c r="C47" s="369" t="n"/>
      <c r="D47" s="369" t="n"/>
      <c r="E47" s="332" t="inlineStr">
        <is>
          <t>Spot the Error + Matrix</t>
        </is>
      </c>
      <c r="F47" s="369" t="n"/>
      <c r="G47" s="369" t="n"/>
      <c r="H47" s="333">
        <f>IFERROR(IF('🎯 บันทึกการสอน Dashboard'!I15&gt;=0.7,"✅","⚠️"),"—")</f>
        <v/>
      </c>
      <c r="I47" s="369" t="n"/>
      <c r="J47" s="310" t="n"/>
      <c r="K47" s="400" t="n"/>
      <c r="L47" s="400" t="n"/>
      <c r="M47" s="400" t="n"/>
      <c r="N47" s="400" t="n"/>
      <c r="O47" s="400" t="n"/>
      <c r="P47" s="400" t="n"/>
      <c r="Q47" s="400" t="n"/>
      <c r="R47" s="400" t="n"/>
    </row>
    <row r="48" ht="19.5" customHeight="1">
      <c r="B48" s="331" t="inlineStr">
        <is>
          <t>6. Feedback ปรับปรุง</t>
        </is>
      </c>
      <c r="C48" s="369" t="n"/>
      <c r="D48" s="369" t="n"/>
      <c r="E48" s="332" t="inlineStr">
        <is>
          <t>Concept Cartoon เฉลย + 3-2-1</t>
        </is>
      </c>
      <c r="F48" s="369" t="n"/>
      <c r="G48" s="369" t="n"/>
      <c r="H48" s="333">
        <f>IFERROR(IF('🎯 บันทึกการสอน Dashboard'!H15&lt;=5,"✅","⚠️"),"—")</f>
        <v/>
      </c>
      <c r="I48" s="369" t="n"/>
      <c r="J48" s="310" t="n"/>
      <c r="K48" s="400" t="n"/>
      <c r="L48" s="400" t="n"/>
      <c r="M48" s="400" t="n"/>
      <c r="N48" s="400" t="n"/>
      <c r="O48" s="400" t="n"/>
      <c r="P48" s="400" t="n"/>
      <c r="Q48" s="400" t="n"/>
      <c r="R48" s="400" t="n"/>
    </row>
    <row r="49" ht="19.5" customHeight="1">
      <c r="B49" s="331" t="inlineStr">
        <is>
          <t>7. บรรยากาศชั้นเรียน</t>
        </is>
      </c>
      <c r="C49" s="369" t="n"/>
      <c r="D49" s="369" t="n"/>
      <c r="E49" s="332" t="inlineStr">
        <is>
          <t>Talking Chips + Visual Timer</t>
        </is>
      </c>
      <c r="F49" s="369" t="n"/>
      <c r="G49" s="369" t="n"/>
      <c r="H49" s="333">
        <f>IFERROR(IF('🎯 บันทึกการสอน Dashboard'!M15="✅ ดีมาก","✅","⚠️"),"—")</f>
        <v/>
      </c>
      <c r="I49" s="369" t="n"/>
      <c r="J49" s="310" t="n"/>
      <c r="K49" s="400" t="n"/>
      <c r="L49" s="400" t="n"/>
      <c r="M49" s="400" t="n"/>
      <c r="N49" s="400" t="n"/>
      <c r="O49" s="400" t="n"/>
      <c r="P49" s="400" t="n"/>
      <c r="Q49" s="400" t="n"/>
      <c r="R49" s="400" t="n"/>
    </row>
    <row r="50" ht="19.5" customHeight="1">
      <c r="B50" s="331" t="inlineStr">
        <is>
          <t>8. กำกับตนเอง</t>
        </is>
      </c>
      <c r="C50" s="369" t="n"/>
      <c r="D50" s="369" t="n"/>
      <c r="E50" s="332" t="inlineStr">
        <is>
          <t>3-2-1 Journal + Goal Setting</t>
        </is>
      </c>
      <c r="F50" s="369" t="n"/>
      <c r="G50" s="369" t="n"/>
      <c r="H50" s="333">
        <f>IFERROR(IF('🎯 บันทึกการสอน Dashboard'!I15&gt;=0.6,"✅","⚠️"),"—")</f>
        <v/>
      </c>
      <c r="I50" s="369" t="n"/>
      <c r="J50" s="310" t="n"/>
      <c r="K50" s="400" t="n"/>
      <c r="L50" s="400" t="n"/>
      <c r="M50" s="400" t="n"/>
      <c r="N50" s="400" t="n"/>
      <c r="O50" s="400" t="n"/>
      <c r="P50" s="400" t="n"/>
      <c r="Q50" s="400" t="n"/>
      <c r="R50" s="400" t="n"/>
    </row>
    <row r="51" ht="19.5" customHeight="1">
      <c r="B51" s="307" t="inlineStr">
        <is>
          <t>ส่วนที่ 8 — แนวทางปรับปรุง + Mini-trend เทียบแผนก่อน</t>
        </is>
      </c>
      <c r="C51" s="401" t="n"/>
      <c r="D51" s="401" t="n"/>
      <c r="E51" s="401" t="n"/>
      <c r="F51" s="401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</row>
    <row r="52" ht="19.5" customHeight="1">
      <c r="B52" s="167" t="inlineStr">
        <is>
          <t>📈 Mini-trend (เทียบแผนก่อน)</t>
        </is>
      </c>
      <c r="C52" s="334">
        <f>"แผนแรก — ยังไม่มีข้อมูลเปรียบเทียบ"</f>
        <v/>
      </c>
      <c r="D52" s="369" t="n"/>
      <c r="E52" s="369" t="n"/>
      <c r="F52" s="369" t="n"/>
      <c r="G52" s="369" t="n"/>
      <c r="H52" s="369" t="n"/>
      <c r="I52" s="369" t="n"/>
      <c r="J52" s="369" t="n"/>
    </row>
    <row r="53" ht="18" customHeight="1">
      <c r="B53" s="260" t="inlineStr">
        <is>
          <t>✅ Keep — สิ่งที่ได้ผล ควรคงไว้</t>
        </is>
      </c>
      <c r="C53" s="385" t="n"/>
      <c r="D53" s="385" t="n"/>
      <c r="E53" s="385" t="n"/>
      <c r="F53" s="385" t="n"/>
      <c r="G53" s="335" t="inlineStr">
        <is>
          <t>🔄 Change — สิ่งที่ต้องปรับปรุง</t>
        </is>
      </c>
      <c r="H53" s="404" t="n"/>
      <c r="I53" s="404" t="n"/>
      <c r="J53" s="404" t="n"/>
      <c r="K53" s="404" t="n"/>
      <c r="L53" s="336" t="inlineStr">
        <is>
          <t>🆕 Try — สิ่งที่จะลองทำในแผนถัดไป</t>
        </is>
      </c>
      <c r="M53" s="406" t="n"/>
      <c r="N53" s="406" t="n"/>
      <c r="O53" s="406" t="n"/>
      <c r="P53" s="406" t="n"/>
    </row>
    <row r="54" ht="19.5" customHeight="1">
      <c r="B54" s="312" t="n"/>
      <c r="C54" s="402" t="n"/>
      <c r="D54" s="402" t="n"/>
      <c r="E54" s="402" t="n"/>
      <c r="F54" s="402" t="n"/>
      <c r="G54" s="312" t="n"/>
      <c r="H54" s="402" t="n"/>
      <c r="I54" s="402" t="n"/>
      <c r="J54" s="402" t="n"/>
      <c r="K54" s="402" t="n"/>
      <c r="L54" s="312" t="n"/>
      <c r="M54" s="402" t="n"/>
      <c r="N54" s="402" t="n"/>
      <c r="O54" s="402" t="n"/>
      <c r="P54" s="402" t="n"/>
    </row>
    <row r="55" ht="19.5" customHeight="1">
      <c r="B55" s="403" t="n"/>
      <c r="G55" s="403" t="n"/>
      <c r="L55" s="403" t="n"/>
    </row>
    <row r="56" ht="19.5" customHeight="1">
      <c r="B56" s="403" t="n"/>
      <c r="G56" s="403" t="n"/>
      <c r="L56" s="403" t="n"/>
    </row>
    <row r="57" ht="19.5" customHeight="1">
      <c r="B57" s="167" t="inlineStr">
        <is>
          <t>📌 เนื้อหา/ทักษะที่จะทบทวนต้นคาบแผนที่ 2:</t>
        </is>
      </c>
      <c r="C57" s="312" t="n"/>
      <c r="D57" s="402" t="n"/>
      <c r="E57" s="402" t="n"/>
      <c r="F57" s="402" t="n"/>
      <c r="G57" s="402" t="n"/>
      <c r="H57" s="402" t="n"/>
      <c r="I57" s="402" t="n"/>
      <c r="J57" s="402" t="n"/>
      <c r="K57" s="402" t="n"/>
      <c r="L57" s="402" t="n"/>
      <c r="M57" s="402" t="n"/>
      <c r="N57" s="402" t="n"/>
      <c r="O57" s="402" t="n"/>
      <c r="P57" s="402" t="n"/>
      <c r="Q57" s="402" t="n"/>
      <c r="R57" s="402" t="n"/>
    </row>
    <row r="58" ht="19.5" customHeight="1">
      <c r="C58" s="403" t="n"/>
    </row>
    <row r="59" ht="12" customHeight="1"/>
    <row r="60" ht="24" customHeight="1">
      <c r="B60" s="303" t="inlineStr">
        <is>
          <t>▌ แผนการสอนที่ 2  |  ธรรมชาติของคลื่น (2): ส่วนประกอบและเฟส  |  คาบที่ 3–4  |  อ้างอิง 9.1.3</t>
        </is>
      </c>
      <c r="C60" s="378" t="n"/>
      <c r="D60" s="378" t="n"/>
      <c r="E60" s="378" t="n"/>
      <c r="F60" s="378" t="n"/>
      <c r="G60" s="378" t="n"/>
      <c r="H60" s="378" t="n"/>
      <c r="I60" s="378" t="n"/>
      <c r="J60" s="378" t="n"/>
      <c r="K60" s="378" t="n"/>
      <c r="L60" s="378" t="n"/>
      <c r="M60" s="378" t="n"/>
      <c r="N60" s="378" t="n"/>
      <c r="O60" s="378" t="n"/>
      <c r="P60" s="378" t="n"/>
      <c r="Q60" s="378" t="n"/>
      <c r="R60" s="378" t="n"/>
    </row>
    <row r="61" ht="18" customHeight="1">
      <c r="B61" s="304" t="inlineStr">
        <is>
          <t>จำนวนนักเรียน (Auto):</t>
        </is>
      </c>
      <c r="D61" s="305">
        <f>COUNTA('📥 ข้อมูลนักเรียน'!C4:C43)&amp;" คน"</f>
        <v/>
      </c>
      <c r="E61" s="398" t="n"/>
      <c r="L61" s="304" t="inlineStr">
        <is>
          <t>วันที่สอน:</t>
        </is>
      </c>
      <c r="M61" s="306" t="n"/>
      <c r="N61" s="399" t="n"/>
      <c r="O61" s="304" t="inlineStr">
        <is>
          <t>เวลาที่ใช้ (นาที):</t>
        </is>
      </c>
      <c r="P61" s="306" t="n"/>
      <c r="Q61" s="400" t="n"/>
      <c r="R61" s="399" t="n"/>
    </row>
    <row r="62" ht="19.5" customHeight="1">
      <c r="B62" s="307" t="inlineStr">
        <is>
          <t>ส่วนที่ 1 — ผลการจัดกิจกรรม 5E</t>
        </is>
      </c>
      <c r="C62" s="401" t="n"/>
      <c r="D62" s="401" t="n"/>
      <c r="E62" s="401" t="n"/>
      <c r="F62" s="401" t="n"/>
      <c r="G62" s="401" t="n"/>
      <c r="H62" s="401" t="n"/>
      <c r="I62" s="401" t="n"/>
      <c r="J62" s="401" t="n"/>
      <c r="L62" s="307" t="inlineStr">
        <is>
          <t>✏️ สิ่งที่สังเกต / หมายเหตุ</t>
        </is>
      </c>
      <c r="M62" s="401" t="n"/>
      <c r="N62" s="401" t="n"/>
      <c r="O62" s="401" t="n"/>
      <c r="P62" s="401" t="n"/>
      <c r="Q62" s="401" t="n"/>
      <c r="R62" s="401" t="n"/>
    </row>
    <row r="63" ht="15.75" customHeight="1">
      <c r="B63" s="150" t="inlineStr">
        <is>
          <t>ขั้น 5E</t>
        </is>
      </c>
      <c r="C63" s="308" t="inlineStr">
        <is>
          <t>ตัวชี้วัด / ผล (Auto)</t>
        </is>
      </c>
      <c r="D63" s="369" t="n"/>
      <c r="E63" s="369" t="n"/>
      <c r="F63" s="369" t="n"/>
      <c r="G63" s="308" t="inlineStr">
        <is>
          <t>ระดับ (Auto)</t>
        </is>
      </c>
      <c r="H63" s="369" t="n"/>
      <c r="I63" s="369" t="n"/>
      <c r="J63" s="369" t="n"/>
      <c r="L63" s="308" t="inlineStr">
        <is>
          <t>บันทึกสั้น (2–3 บรรทัด)</t>
        </is>
      </c>
      <c r="M63" s="369" t="n"/>
      <c r="N63" s="369" t="n"/>
      <c r="O63" s="369" t="n"/>
      <c r="P63" s="369" t="n"/>
      <c r="Q63" s="369" t="n"/>
      <c r="R63" s="369" t="n"/>
    </row>
    <row r="64" ht="21.75" customHeight="1">
      <c r="B64" s="151" t="inlineStr">
        <is>
          <t>🔵 Engage</t>
        </is>
      </c>
      <c r="C64" s="285">
        <f>IF('🎯 บันทึกการสอน Dashboard'!F16&gt;0,'🎯 บันทึกการสอน Dashboard'!F16&amp;" คน 🟢","—")</f>
        <v/>
      </c>
      <c r="D64" s="369" t="n"/>
      <c r="E64" s="369" t="n"/>
      <c r="F64" s="369" t="n"/>
      <c r="G64" s="309">
        <f>IFERROR(IF('🎯 บันทึกการสอน Dashboard'!F16+IFERROR('🎯 บันทึกการสอน Dashboard'!G16,0)+IFERROR('🎯 บันทึกการสอน Dashboard'!H16,0)&gt;0,IF('🎯 บันทึกการสอน Dashboard'!F16/('🎯 บันทึกการสอน Dashboard'!F16+IFERROR('🎯 บันทึกการสอน Dashboard'!G16,0)+IFERROR('🎯 บันทึกการสอน Dashboard'!H16,0))&gt;=0.5,"✅ ดี","⚠️ ต่ำ"),"ยังไม่กรอก"),"—")</f>
        <v/>
      </c>
      <c r="H64" s="369" t="n"/>
      <c r="I64" s="369" t="n"/>
      <c r="J64" s="369" t="n"/>
      <c r="L64" s="310" t="n"/>
      <c r="M64" s="400" t="n"/>
      <c r="N64" s="400" t="n"/>
      <c r="O64" s="400" t="n"/>
      <c r="P64" s="400" t="n"/>
      <c r="Q64" s="400" t="n"/>
      <c r="R64" s="400" t="n"/>
    </row>
    <row r="65" ht="21.75" customHeight="1">
      <c r="B65" s="151" t="inlineStr">
        <is>
          <t>🟠 Explore</t>
        </is>
      </c>
      <c r="C65" s="285">
        <f>IF('🎯 บันทึกการสอน Dashboard'!J16&gt;0,"POE avg: "&amp;TEXT('🎯 บันทึกการสอน Dashboard'!J16,"0.00"),"—")</f>
        <v/>
      </c>
      <c r="D65" s="369" t="n"/>
      <c r="E65" s="369" t="n"/>
      <c r="F65" s="369" t="n"/>
      <c r="G65" s="309">
        <f>IF(ISNUMBER('🎯 บันทึกการสอน Dashboard'!J16),IF('🎯 บันทึกการสอน Dashboard'!J16&gt;=2,"✅ ดี","⚠️ ต่ำ"),"—")</f>
        <v/>
      </c>
      <c r="H65" s="369" t="n"/>
      <c r="I65" s="369" t="n"/>
      <c r="J65" s="369" t="n"/>
      <c r="L65" s="310" t="n"/>
      <c r="M65" s="400" t="n"/>
      <c r="N65" s="400" t="n"/>
      <c r="O65" s="400" t="n"/>
      <c r="P65" s="400" t="n"/>
      <c r="Q65" s="400" t="n"/>
      <c r="R65" s="400" t="n"/>
    </row>
    <row r="66" ht="21.75" customHeight="1">
      <c r="B66" s="151" t="inlineStr">
        <is>
          <t>🟢 Explain</t>
        </is>
      </c>
      <c r="C66" s="285">
        <f>IF('🎯 บันทึกการสอน Dashboard'!K16&gt;0,"Sound: "&amp;TEXT('🎯 บันทึกการสอน Dashboard'!K16,"0%"),"—")</f>
        <v/>
      </c>
      <c r="D66" s="369" t="n"/>
      <c r="E66" s="369" t="n"/>
      <c r="F66" s="369" t="n"/>
      <c r="G66" s="309">
        <f>IF(ISNUMBER('🎯 บันทึกการสอน Dashboard'!K16),IF('🎯 บันทึกการสอน Dashboard'!K16&gt;=0.7,"✅ ดี","⚠️ ต่ำ"),"—")</f>
        <v/>
      </c>
      <c r="H66" s="369" t="n"/>
      <c r="I66" s="369" t="n"/>
      <c r="J66" s="369" t="n"/>
      <c r="L66" s="310" t="n"/>
      <c r="M66" s="400" t="n"/>
      <c r="N66" s="400" t="n"/>
      <c r="O66" s="400" t="n"/>
      <c r="P66" s="400" t="n"/>
      <c r="Q66" s="400" t="n"/>
      <c r="R66" s="400" t="n"/>
    </row>
    <row r="67" ht="21.75" customHeight="1">
      <c r="B67" s="151" t="inlineStr">
        <is>
          <t>🟡 Elaborate</t>
        </is>
      </c>
      <c r="C67" s="285" t="inlineStr">
        <is>
          <t>ดูผลใบงาน/Spot the Error</t>
        </is>
      </c>
      <c r="D67" s="369" t="n"/>
      <c r="E67" s="369" t="n"/>
      <c r="F67" s="369" t="n"/>
      <c r="G67" s="309" t="inlineStr">
        <is>
          <t>กรอกเอง</t>
        </is>
      </c>
      <c r="H67" s="369" t="n"/>
      <c r="I67" s="369" t="n"/>
      <c r="J67" s="369" t="n"/>
      <c r="L67" s="310" t="n"/>
      <c r="M67" s="400" t="n"/>
      <c r="N67" s="400" t="n"/>
      <c r="O67" s="400" t="n"/>
      <c r="P67" s="400" t="n"/>
      <c r="Q67" s="400" t="n"/>
      <c r="R67" s="400" t="n"/>
    </row>
    <row r="68" ht="21.75" customHeight="1">
      <c r="B68" s="151" t="inlineStr">
        <is>
          <t>🔴 Evaluate</t>
        </is>
      </c>
      <c r="C68" s="285">
        <f>IF('🎯 บันทึกการสอน Dashboard'!H16&gt;0,"🔴 "&amp;'🎯 บันทึกการสอน Dashboard'!H16&amp;" คน","ยังไม่กรอก")</f>
        <v/>
      </c>
      <c r="D68" s="369" t="n"/>
      <c r="E68" s="369" t="n"/>
      <c r="F68" s="369" t="n"/>
      <c r="G68" s="309">
        <f>IF(ISNUMBER('🎯 บันทึกการสอน Dashboard'!H16),IF('🎯 บันทึกการสอน Dashboard'!H16&lt;=5,"✅ น้อย","⚠️ มาก"),"—")</f>
        <v/>
      </c>
      <c r="H68" s="369" t="n"/>
      <c r="I68" s="369" t="n"/>
      <c r="J68" s="369" t="n"/>
      <c r="L68" s="310" t="n"/>
      <c r="M68" s="400" t="n"/>
      <c r="N68" s="400" t="n"/>
      <c r="O68" s="400" t="n"/>
      <c r="P68" s="400" t="n"/>
      <c r="Q68" s="400" t="n"/>
      <c r="R68" s="400" t="n"/>
    </row>
    <row r="69" ht="19.5" customHeight="1">
      <c r="B69" s="311" t="inlineStr">
        <is>
          <t>ส่วนที่ 2 — ผลการทำ POE (2 ครั้ง)</t>
        </is>
      </c>
      <c r="C69" s="385" t="n"/>
      <c r="D69" s="385" t="n"/>
      <c r="E69" s="385" t="n"/>
      <c r="F69" s="385" t="n"/>
      <c r="G69" s="385" t="n"/>
      <c r="H69" s="385" t="n"/>
      <c r="I69" s="385" t="n"/>
      <c r="J69" s="385" t="n"/>
      <c r="L69" s="311" t="inlineStr">
        <is>
          <t>✏️ ตัวอย่างคำพูดนักเรียน / ข้อค้นพบ</t>
        </is>
      </c>
      <c r="M69" s="385" t="n"/>
      <c r="N69" s="385" t="n"/>
      <c r="O69" s="385" t="n"/>
      <c r="P69" s="385" t="n"/>
      <c r="Q69" s="385" t="n"/>
      <c r="R69" s="385" t="n"/>
    </row>
    <row r="70" ht="27.75" customHeight="1">
      <c r="B70" s="152" t="inlineStr">
        <is>
          <t>POE#1: เฟสต่างของสองจุด</t>
        </is>
      </c>
      <c r="C70" s="285">
        <f>IFERROR("P avg: "&amp;TEXT(AVERAGE('🔬 POE บันทึก'!H4:H43),"0.0")&amp;"  |  E avg: "&amp;TEXT(AVERAGE('🔬 POE บันทึก'!I4:I43),"0.0"),"—")</f>
        <v/>
      </c>
      <c r="D70" s="369" t="n"/>
      <c r="E70" s="369" t="n"/>
      <c r="F70" s="369" t="n"/>
      <c r="G70" s="309">
        <f>IFERROR(IF(AVERAGE('🔬 POE บันทึก'!I4:I43)&gt;=2,"✅ Conceptual Change","⚠️ ยังไม่เปลี่ยน"),"—")</f>
        <v/>
      </c>
      <c r="H70" s="369" t="n"/>
      <c r="I70" s="369" t="n"/>
      <c r="J70" s="369" t="n"/>
      <c r="L70" s="312" t="n"/>
      <c r="M70" s="402" t="n"/>
      <c r="N70" s="402" t="n"/>
      <c r="O70" s="402" t="n"/>
      <c r="P70" s="402" t="n"/>
      <c r="Q70" s="402" t="n"/>
      <c r="R70" s="402" t="n"/>
    </row>
    <row r="71" ht="15" customHeight="1">
      <c r="L71" s="403" t="n"/>
    </row>
    <row r="72" ht="27.75" customHeight="1">
      <c r="B72" s="152" t="inlineStr">
        <is>
          <t>POE#2: กราฟ y vs t</t>
        </is>
      </c>
      <c r="C72" s="285">
        <f>IFERROR("P avg: "&amp;TEXT(AVERAGE('🔬 POE บันทึก'!J4:J43),"0.0")&amp;"  |  E avg: "&amp;TEXT(AVERAGE('🔬 POE บันทึก'!K4:K43),"0.0"),"—")</f>
        <v/>
      </c>
      <c r="D72" s="369" t="n"/>
      <c r="E72" s="369" t="n"/>
      <c r="F72" s="369" t="n"/>
      <c r="G72" s="309">
        <f>IFERROR(IF(AVERAGE('🔬 POE บันทึก'!K4:K43)&gt;=2,"✅ Conceptual Change","⚠️ ยังไม่เปลี่ยน"),"—")</f>
        <v/>
      </c>
      <c r="H72" s="369" t="n"/>
      <c r="I72" s="369" t="n"/>
      <c r="J72" s="369" t="n"/>
      <c r="L72" s="312" t="n"/>
      <c r="M72" s="402" t="n"/>
      <c r="N72" s="402" t="n"/>
      <c r="O72" s="402" t="n"/>
      <c r="P72" s="402" t="n"/>
      <c r="Q72" s="402" t="n"/>
      <c r="R72" s="402" t="n"/>
    </row>
    <row r="73" ht="15" customHeight="1">
      <c r="L73" s="403" t="n"/>
    </row>
    <row r="74" ht="19.5" customHeight="1">
      <c r="B74" s="307" t="inlineStr">
        <is>
          <t>ส่วนที่ 3 — การบรรลุวัตถุประสงค์การเรียนรู้ (Auto จาก Four-tier + ตัวชี้วัด)</t>
        </is>
      </c>
      <c r="C74" s="401" t="n"/>
      <c r="D74" s="401" t="n"/>
      <c r="E74" s="401" t="n"/>
      <c r="F74" s="401" t="n"/>
      <c r="G74" s="401" t="n"/>
      <c r="H74" s="401" t="n"/>
      <c r="I74" s="401" t="n"/>
      <c r="J74" s="401" t="n"/>
      <c r="K74" s="401" t="n"/>
      <c r="L74" s="401" t="n"/>
      <c r="M74" s="401" t="n"/>
      <c r="N74" s="401" t="n"/>
      <c r="O74" s="401" t="n"/>
      <c r="P74" s="401" t="n"/>
      <c r="Q74" s="401" t="n"/>
      <c r="R74" s="401" t="n"/>
    </row>
    <row r="75" ht="18" customHeight="1">
      <c r="B75" s="153" t="inlineStr">
        <is>
          <t>วัตถุประสงค์</t>
        </is>
      </c>
      <c r="C75" s="153" t="inlineStr">
        <is>
          <t>ตัวชี้วัด</t>
        </is>
      </c>
      <c r="D75" s="313" t="inlineStr">
        <is>
          <t>n ผ่านเกณฑ์ (Auto)</t>
        </is>
      </c>
      <c r="E75" s="401" t="n"/>
      <c r="F75" s="153" t="inlineStr">
        <is>
          <t>% (Auto)</t>
        </is>
      </c>
      <c r="G75" s="313" t="inlineStr">
        <is>
          <t>ผ่าน? (Auto)</t>
        </is>
      </c>
      <c r="H75" s="401" t="n"/>
      <c r="I75" s="313" t="inlineStr">
        <is>
          <t>หลักฐาน/วิธีวัด</t>
        </is>
      </c>
      <c r="J75" s="401" t="n"/>
      <c r="K75" s="401" t="n"/>
    </row>
    <row r="76" ht="21.75" customHeight="1">
      <c r="B76" s="154" t="inlineStr">
        <is>
          <t>1. ระบุส่วนประกอบของคลื่นจากกราฟได้</t>
        </is>
      </c>
      <c r="C76" s="155" t="inlineStr">
        <is>
          <t>ว 2.2 ม.5/2</t>
        </is>
      </c>
      <c r="D76" s="314">
        <f>IFERROR(ROUND('🤖 Four-tier วิเคราะห์'!F90*COUNTA('📥 ข้อมูลนักเรียน'!C4:C43),0),"—")</f>
        <v/>
      </c>
      <c r="E76" s="369" t="n"/>
      <c r="F76" s="79">
        <f>IFERROR('🤖 Four-tier วิเคราะห์'!F90,"—")</f>
        <v/>
      </c>
      <c r="G76" s="315">
        <f>IFERROR(IF('🤖 Four-tier วิเคราะห์'!F90&gt;=0.8,"✅ ผ่าน (≥80%)","❌ ไม่ผ่าน (&lt;80%)"),"—")</f>
        <v/>
      </c>
      <c r="H76" s="369" t="n"/>
      <c r="I76" s="31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</row>
    <row r="77" ht="21.75" customHeight="1">
      <c r="B77" s="154" t="inlineStr">
        <is>
          <t>2. อธิบายเฟส ความถี่ คาบคลื่นได้</t>
        </is>
      </c>
      <c r="C77" s="155" t="inlineStr">
        <is>
          <t>ว 2.2 ม.5/2</t>
        </is>
      </c>
      <c r="D77" s="314">
        <f>IFERROR(ROUND('🤖 Four-tier วิเคราะห์'!G90*COUNTA('📥 ข้อมูลนักเรียน'!C4:C43),0),"—")</f>
        <v/>
      </c>
      <c r="E77" s="369" t="n"/>
      <c r="F77" s="79">
        <f>IFERROR('🤖 Four-tier วิเคราะห์'!G90,"—")</f>
        <v/>
      </c>
      <c r="G77" s="315">
        <f>IFERROR(IF('🤖 Four-tier วิเคราะห์'!G90&gt;=0.8,"✅ ผ่าน (≥80%)","❌ ไม่ผ่าน (&lt;80%)"),"—")</f>
        <v/>
      </c>
      <c r="H77" s="369" t="n"/>
      <c r="I77" s="31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</row>
    <row r="78" ht="21.75" customHeight="1">
      <c r="B78" s="154" t="inlineStr">
        <is>
          <t>3. คำนวณเฟสต่าง Δφ ได้</t>
        </is>
      </c>
      <c r="C78" s="155" t="inlineStr">
        <is>
          <t>ว 2.2 ม.5/2</t>
        </is>
      </c>
      <c r="D78" s="314">
        <f>IFERROR(ROUND('🤖 Four-tier วิเคราะห์'!H90*COUNTA('📥 ข้อมูลนักเรียน'!C4:C43),0),"—")</f>
        <v/>
      </c>
      <c r="E78" s="369" t="n"/>
      <c r="F78" s="79">
        <f>IFERROR('🤖 Four-tier วิเคราะห์'!H90,"—")</f>
        <v/>
      </c>
      <c r="G78" s="315">
        <f>IFERROR(IF('🤖 Four-tier วิเคราะห์'!H90&gt;=0.8,"✅ ผ่าน (≥80%)","❌ ไม่ผ่าน (&lt;80%)"),"—")</f>
        <v/>
      </c>
      <c r="H78" s="369" t="n"/>
      <c r="I78" s="31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</row>
    <row r="79" ht="21.75" customHeight="1">
      <c r="B79" s="154" t="inlineStr">
        <is>
          <t>4. วิเคราะห์กราฟคลื่นฮาร์โมนิกได้</t>
        </is>
      </c>
      <c r="C79" s="155" t="inlineStr">
        <is>
          <t>ว 2.2 ม.5/2</t>
        </is>
      </c>
      <c r="D79" s="314">
        <f>IFERROR(ROUND('🤖 Four-tier วิเคราะห์'!I90*COUNTA('📥 ข้อมูลนักเรียน'!C4:C43),0),"—")</f>
        <v/>
      </c>
      <c r="E79" s="369" t="n"/>
      <c r="F79" s="79">
        <f>IFERROR('🤖 Four-tier วิเคราะห์'!I90,"—")</f>
        <v/>
      </c>
      <c r="G79" s="315">
        <f>IFERROR(IF('🤖 Four-tier วิเคราะห์'!I90&gt;=0.8,"✅ ผ่าน (≥80%)","❌ ไม่ผ่าน (&lt;80%)"),"—")</f>
        <v/>
      </c>
      <c r="H79" s="369" t="n"/>
      <c r="I79" s="31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</row>
    <row r="80" ht="21.75" customHeight="1">
      <c r="B80" s="156" t="inlineStr">
        <is>
          <t>ภาพรวมแผนนี้</t>
        </is>
      </c>
      <c r="C80" s="316">
        <f>IFERROR(AVERAGE('🤖 Four-tier วิเคราะห์'!F90,'🤖 Four-tier วิเคราะห์'!G90,'🤖 Four-tier วิเคราะห์'!H90,'🤖 Four-tier วิเคราะห์'!I90),0)</f>
        <v/>
      </c>
      <c r="D80" s="369" t="n"/>
      <c r="E80" s="369" t="n"/>
      <c r="F80" s="317">
        <f>IFERROR((IF(ISNUMBER('🤖 Four-tier วิเคราะห์'!E90),IF('🤖 Four-tier วิเคราะห์'!E90&gt;=0.8,1,0),0)+IF(ISNUMBER('🤖 Four-tier วิเคราะห์'!F90),IF('🤖 Four-tier วิเคราะห์'!F90&gt;=0.8,1,0),0)+IF(ISNUMBER('🤖 Four-tier วิเคราะห์'!G90),IF('🤖 Four-tier วิเคราะห์'!G90&gt;=0.8,1,0),0)+IF(ISNUMBER('🤖 Four-tier วิเคราะห์'!H90),IF('🤖 Four-tier วิเคราะห์'!H90&gt;=0.8,1,0),0))&amp;"/4 วัตถุประสงค์ผ่าน","—")</f>
        <v/>
      </c>
      <c r="G80" s="369" t="n"/>
      <c r="H80" s="369" t="n"/>
      <c r="I80" s="318">
        <f>IFERROR(IF(AVERAGE('🤖 Four-tier วิเคราะห์'!F90,'🤖 Four-tier วิเคราะห์'!G90,'🤖 Four-tier วิเคราะห์'!H90,'🤖 Four-tier วิเคราะห์'!I90)&gt;=0.8,"✅ บรรลุเกณฑ์ภาพรวม","⚠️ ยังต่ำกว่าเกณฑ์"),"—")</f>
        <v/>
      </c>
      <c r="J80" s="369" t="n"/>
      <c r="K80" s="369" t="n"/>
      <c r="L80" s="369" t="n"/>
      <c r="M80" s="369" t="n"/>
      <c r="N80" s="369" t="n"/>
      <c r="O80" s="369" t="n"/>
      <c r="P80" s="369" t="n"/>
      <c r="Q80" s="369" t="n"/>
      <c r="R80" s="369" t="n"/>
    </row>
    <row r="81" ht="19.5" customHeight="1">
      <c r="B81" s="311" t="inlineStr">
        <is>
          <t>ส่วนที่ 4 — พฤติกรรมนักเรียนและการมีส่วนร่วม</t>
        </is>
      </c>
      <c r="C81" s="385" t="n"/>
      <c r="D81" s="385" t="n"/>
      <c r="E81" s="385" t="n"/>
      <c r="F81" s="385" t="n"/>
      <c r="G81" s="385" t="n"/>
      <c r="H81" s="385" t="n"/>
      <c r="I81" s="385" t="n"/>
      <c r="J81" s="385" t="n"/>
      <c r="L81" s="311" t="inlineStr">
        <is>
          <t>✏️ กรอก</t>
        </is>
      </c>
      <c r="M81" s="385" t="n"/>
      <c r="N81" s="385" t="n"/>
      <c r="O81" s="385" t="n"/>
      <c r="P81" s="385" t="n"/>
      <c r="Q81" s="385" t="n"/>
      <c r="R81" s="385" t="n"/>
    </row>
    <row r="82" ht="18" customHeight="1">
      <c r="B82" s="157" t="inlineStr">
        <is>
          <t>🟢 Traffic Light</t>
        </is>
      </c>
      <c r="C82" s="314">
        <f>IFERROR('🎯 บันทึกการสอน Dashboard'!F16,0)&amp;" คน"</f>
        <v/>
      </c>
      <c r="D82" s="369" t="n"/>
      <c r="E82" s="369" t="n"/>
      <c r="F82" s="369" t="n"/>
      <c r="G82" s="369" t="n"/>
      <c r="H82" s="369" t="n"/>
      <c r="I82" s="369" t="n"/>
      <c r="J82" s="369" t="n"/>
      <c r="L82" s="319" t="inlineStr">
        <is>
          <t>นักเรียนที่ต้องดูแลพิเศษ / กลุ่มที่มีส่วนร่วมต่ำ:</t>
        </is>
      </c>
      <c r="M82" s="402" t="n"/>
      <c r="N82" s="402" t="n"/>
      <c r="O82" s="402" t="n"/>
      <c r="P82" s="402" t="n"/>
      <c r="Q82" s="402" t="n"/>
      <c r="R82" s="402" t="n"/>
    </row>
    <row r="83" ht="18" customHeight="1">
      <c r="B83" s="158" t="inlineStr">
        <is>
          <t>🟡 Traffic Light</t>
        </is>
      </c>
      <c r="C83" s="320">
        <f>IFERROR('🎯 บันทึกการสอน Dashboard'!G16,0)&amp;" คน"</f>
        <v/>
      </c>
      <c r="D83" s="369" t="n"/>
      <c r="E83" s="369" t="n"/>
      <c r="F83" s="369" t="n"/>
      <c r="G83" s="369" t="n"/>
      <c r="H83" s="369" t="n"/>
      <c r="I83" s="369" t="n"/>
      <c r="J83" s="369" t="n"/>
      <c r="L83" s="403" t="n"/>
    </row>
    <row r="84" ht="18" customHeight="1">
      <c r="B84" s="159" t="inlineStr">
        <is>
          <t>🔴 Traffic Light</t>
        </is>
      </c>
      <c r="C84" s="321">
        <f>IFERROR('🎯 บันทึกการสอน Dashboard'!H16,0)&amp;" คน"</f>
        <v/>
      </c>
      <c r="D84" s="369" t="n"/>
      <c r="E84" s="369" t="n"/>
      <c r="F84" s="369" t="n"/>
      <c r="G84" s="369" t="n"/>
      <c r="H84" s="369" t="n"/>
      <c r="I84" s="369" t="n"/>
      <c r="J84" s="369" t="n"/>
      <c r="L84" s="403" t="n"/>
    </row>
    <row r="85" ht="18" customHeight="1">
      <c r="B85" s="160" t="inlineStr">
        <is>
          <t>สถานะโดยรวม</t>
        </is>
      </c>
      <c r="C85" s="309">
        <f>IFERROR('🎯 บันทึกการสอน Dashboard'!M16,"ยังไม่กรอก")</f>
        <v/>
      </c>
      <c r="D85" s="369" t="n"/>
      <c r="E85" s="369" t="n"/>
      <c r="F85" s="369" t="n"/>
      <c r="G85" s="369" t="n"/>
      <c r="H85" s="369" t="n"/>
      <c r="I85" s="369" t="n"/>
      <c r="J85" s="369" t="n"/>
      <c r="L85" s="403" t="n"/>
    </row>
    <row r="86" ht="19.5" customHeight="1">
      <c r="B86" s="322" t="inlineStr">
        <is>
          <t>ส่วนที่ 5 — ปัญหา อุปสรรค และข้อค้นพบ</t>
        </is>
      </c>
      <c r="C86" s="404" t="n"/>
      <c r="D86" s="404" t="n"/>
      <c r="E86" s="404" t="n"/>
      <c r="F86" s="404" t="n"/>
      <c r="G86" s="404" t="n"/>
      <c r="H86" s="404" t="n"/>
      <c r="I86" s="404" t="n"/>
      <c r="J86" s="404" t="n"/>
      <c r="L86" s="322" t="inlineStr">
        <is>
          <t>✏️ กรอก</t>
        </is>
      </c>
      <c r="M86" s="404" t="n"/>
      <c r="N86" s="404" t="n"/>
      <c r="O86" s="404" t="n"/>
      <c r="P86" s="404" t="n"/>
      <c r="Q86" s="404" t="n"/>
      <c r="R86" s="404" t="n"/>
    </row>
    <row r="87" ht="18" customHeight="1">
      <c r="B87" s="161" t="inlineStr">
        <is>
          <t>Misconception M1 (Pre)</t>
        </is>
      </c>
      <c r="C87" s="323">
        <f>IFERROR('📊 สรุป Misconception'!D3,"—")</f>
        <v/>
      </c>
      <c r="D87" s="369" t="n"/>
      <c r="E87" s="369" t="n"/>
      <c r="F87" s="369" t="n"/>
      <c r="G87" s="369" t="n"/>
      <c r="H87" s="369" t="n"/>
      <c r="I87" s="369" t="n"/>
      <c r="J87" s="369" t="n"/>
      <c r="L87" s="319" t="inlineStr">
        <is>
          <t>รายละเอียดปัญหา / สิ่งที่ค้นพบระหว่างสอน:</t>
        </is>
      </c>
      <c r="M87" s="402" t="n"/>
      <c r="N87" s="402" t="n"/>
      <c r="O87" s="402" t="n"/>
      <c r="P87" s="402" t="n"/>
      <c r="Q87" s="402" t="n"/>
      <c r="R87" s="402" t="n"/>
    </row>
    <row r="88" ht="18" customHeight="1">
      <c r="B88" s="162" t="inlineStr">
        <is>
          <t>Misconception M1 (Post)</t>
        </is>
      </c>
      <c r="C88" s="324">
        <f>IFERROR('📊 สรุป Misconception'!F3,"—")</f>
        <v/>
      </c>
      <c r="D88" s="369" t="n"/>
      <c r="E88" s="369" t="n"/>
      <c r="F88" s="369" t="n"/>
      <c r="G88" s="369" t="n"/>
      <c r="H88" s="369" t="n"/>
      <c r="I88" s="369" t="n"/>
      <c r="J88" s="369" t="n"/>
      <c r="L88" s="403" t="n"/>
    </row>
    <row r="89" ht="18" customHeight="1">
      <c r="B89" s="163" t="inlineStr">
        <is>
          <t>ระดับ M1</t>
        </is>
      </c>
      <c r="C89" s="325">
        <f>IFERROR('📊 สรุป Misconception'!H3,"—")</f>
        <v/>
      </c>
      <c r="D89" s="369" t="n"/>
      <c r="E89" s="369" t="n"/>
      <c r="F89" s="369" t="n"/>
      <c r="G89" s="369" t="n"/>
      <c r="H89" s="369" t="n"/>
      <c r="I89" s="369" t="n"/>
      <c r="J89" s="369" t="n"/>
      <c r="L89" s="403" t="n"/>
    </row>
    <row r="90" ht="18" customHeight="1">
      <c r="B90" s="161" t="inlineStr">
        <is>
          <t>Misc. ใหม่ที่ไม่คาดคิด</t>
        </is>
      </c>
      <c r="C90" s="323" t="inlineStr">
        <is>
          <t>— ดูจากใบงาน POE —</t>
        </is>
      </c>
      <c r="D90" s="369" t="n"/>
      <c r="E90" s="369" t="n"/>
      <c r="F90" s="369" t="n"/>
      <c r="G90" s="369" t="n"/>
      <c r="H90" s="369" t="n"/>
      <c r="I90" s="369" t="n"/>
      <c r="J90" s="369" t="n"/>
      <c r="L90" s="403" t="n"/>
    </row>
    <row r="91" ht="19.5" customHeight="1">
      <c r="B91" s="326" t="inlineStr">
        <is>
          <t>ส่วนที่ 6 — ข้อมูลเชิงวิจัย (Auto ทั้งหมด)</t>
        </is>
      </c>
      <c r="C91" s="405" t="n"/>
      <c r="D91" s="405" t="n"/>
      <c r="E91" s="405" t="n"/>
      <c r="F91" s="405" t="n"/>
      <c r="G91" s="405" t="n"/>
      <c r="H91" s="405" t="n"/>
      <c r="I91" s="405" t="n"/>
      <c r="J91" s="405" t="n"/>
      <c r="L91" s="326" t="inlineStr">
        <is>
          <t>✏️ กรอก</t>
        </is>
      </c>
      <c r="M91" s="405" t="n"/>
      <c r="N91" s="405" t="n"/>
      <c r="O91" s="405" t="n"/>
      <c r="P91" s="405" t="n"/>
      <c r="Q91" s="405" t="n"/>
      <c r="R91" s="405" t="n"/>
    </row>
    <row r="92" ht="18" customHeight="1">
      <c r="B92" s="164" t="inlineStr">
        <is>
          <t>POE เฉลี่ยแผนนี้</t>
        </is>
      </c>
      <c r="C92" s="327">
        <f>IFERROR('🎯 บันทึกการสอน Dashboard'!J16,"—")</f>
        <v/>
      </c>
      <c r="D92" s="369" t="n"/>
      <c r="E92" s="369" t="n"/>
      <c r="F92" s="369" t="n"/>
      <c r="G92" s="369" t="n"/>
      <c r="H92" s="369" t="n"/>
      <c r="I92" s="369" t="n"/>
      <c r="J92" s="369" t="n"/>
      <c r="L92" s="319" t="inlineStr">
        <is>
          <t>การวิเคราะห์เพิ่มเติม / บันทึกสำหรับบทที่ 4:</t>
        </is>
      </c>
      <c r="M92" s="402" t="n"/>
      <c r="N92" s="402" t="n"/>
      <c r="O92" s="402" t="n"/>
      <c r="P92" s="402" t="n"/>
      <c r="Q92" s="402" t="n"/>
      <c r="R92" s="402" t="n"/>
    </row>
    <row r="93" ht="18" customHeight="1">
      <c r="B93" s="165" t="inlineStr">
        <is>
          <t>% Sound (Post-test)</t>
        </is>
      </c>
      <c r="C93" s="328">
        <f>IFERROR('🎯 บันทึกการสอน Dashboard'!K16,"—")</f>
        <v/>
      </c>
      <c r="D93" s="369" t="n"/>
      <c r="E93" s="369" t="n"/>
      <c r="F93" s="369" t="n"/>
      <c r="G93" s="369" t="n"/>
      <c r="H93" s="369" t="n"/>
      <c r="I93" s="369" t="n"/>
      <c r="J93" s="369" t="n"/>
      <c r="L93" s="403" t="n"/>
    </row>
    <row r="94" ht="18" customHeight="1">
      <c r="B94" s="166" t="inlineStr">
        <is>
          <t>% Misconception (Post)</t>
        </is>
      </c>
      <c r="C94" s="329">
        <f>IFERROR('🎯 บันทึกการสอน Dashboard'!L16,"—")</f>
        <v/>
      </c>
      <c r="D94" s="369" t="n"/>
      <c r="E94" s="369" t="n"/>
      <c r="F94" s="369" t="n"/>
      <c r="G94" s="369" t="n"/>
      <c r="H94" s="369" t="n"/>
      <c r="I94" s="369" t="n"/>
      <c r="J94" s="369" t="n"/>
      <c r="L94" s="403" t="n"/>
    </row>
    <row r="95" ht="18" customHeight="1">
      <c r="B95" s="164" t="inlineStr">
        <is>
          <t>GAP: POE ดีแต่ Misc.</t>
        </is>
      </c>
      <c r="C95" s="330">
        <f>IFERROR(COUNTIF('🔗 POE-Fourtier เทียบ'!H5,"🔴*"),0)&amp;" คน"</f>
        <v/>
      </c>
      <c r="D95" s="369" t="n"/>
      <c r="E95" s="369" t="n"/>
      <c r="F95" s="369" t="n"/>
      <c r="G95" s="369" t="n"/>
      <c r="H95" s="369" t="n"/>
      <c r="I95" s="369" t="n"/>
      <c r="J95" s="369" t="n"/>
      <c r="L95" s="403" t="n"/>
    </row>
    <row r="96" ht="19.5" customHeight="1">
      <c r="B96" s="307" t="inlineStr">
        <is>
          <t>ส่วนที่ 7 — ประเมิน 8 องค์ประกอบ วPA</t>
        </is>
      </c>
      <c r="C96" s="401" t="n"/>
      <c r="D96" s="401" t="n"/>
      <c r="E96" s="401" t="n"/>
      <c r="F96" s="401" t="n"/>
      <c r="G96" s="401" t="n"/>
      <c r="H96" s="401" t="n"/>
      <c r="I96" s="401" t="n"/>
      <c r="J96" s="401" t="n"/>
      <c r="K96" s="401" t="n"/>
      <c r="L96" s="401" t="n"/>
      <c r="M96" s="401" t="n"/>
      <c r="N96" s="401" t="n"/>
      <c r="O96" s="401" t="n"/>
      <c r="P96" s="401" t="n"/>
      <c r="Q96" s="401" t="n"/>
      <c r="R96" s="401" t="n"/>
    </row>
    <row r="97" ht="18" customHeight="1">
      <c r="B97" s="313" t="inlineStr">
        <is>
          <t>องค์ประกอบ วPA</t>
        </is>
      </c>
      <c r="C97" s="401" t="n"/>
      <c r="D97" s="401" t="n"/>
      <c r="E97" s="313" t="inlineStr">
        <is>
          <t>กิจกรรมที่รองรับ</t>
        </is>
      </c>
      <c r="F97" s="401" t="n"/>
      <c r="G97" s="401" t="n"/>
      <c r="H97" s="313" t="inlineStr">
        <is>
          <t>ระดับ (Auto)</t>
        </is>
      </c>
      <c r="I97" s="401" t="n"/>
      <c r="J97" s="401" t="n"/>
      <c r="K97" s="313" t="inlineStr">
        <is>
          <t>ผ่าน?</t>
        </is>
      </c>
      <c r="L97" s="401" t="n"/>
      <c r="M97" s="401" t="n"/>
      <c r="N97" s="313" t="inlineStr">
        <is>
          <t>หลักฐาน/สิ่งที่สังเกต</t>
        </is>
      </c>
      <c r="O97" s="401" t="n"/>
      <c r="P97" s="401" t="n"/>
    </row>
    <row r="98" ht="19.5" customHeight="1">
      <c r="B98" s="331" t="inlineStr">
        <is>
          <t>1. เข้าถึงและเข้าใจบทเรียน</t>
        </is>
      </c>
      <c r="C98" s="369" t="n"/>
      <c r="D98" s="369" t="n"/>
      <c r="E98" s="332" t="inlineStr">
        <is>
          <t>Concept Cartoon + วิดีโอ</t>
        </is>
      </c>
      <c r="F98" s="369" t="n"/>
      <c r="G98" s="369" t="n"/>
      <c r="H98" s="333">
        <f>IFERROR(IF('🎯 บันทึกการสอน Dashboard'!K16&gt;=0.6,"✅","⚠️"),"—")</f>
        <v/>
      </c>
      <c r="I98" s="369" t="n"/>
      <c r="J98" s="310" t="n"/>
      <c r="K98" s="400" t="n"/>
      <c r="L98" s="400" t="n"/>
      <c r="M98" s="400" t="n"/>
      <c r="N98" s="400" t="n"/>
      <c r="O98" s="400" t="n"/>
      <c r="P98" s="400" t="n"/>
      <c r="Q98" s="400" t="n"/>
      <c r="R98" s="400" t="n"/>
    </row>
    <row r="99" ht="19.5" customHeight="1">
      <c r="B99" s="331" t="inlineStr">
        <is>
          <t>2. เชื่อมโยงความรู้เดิม</t>
        </is>
      </c>
      <c r="C99" s="369" t="n"/>
      <c r="D99" s="369" t="n"/>
      <c r="E99" s="332" t="inlineStr">
        <is>
          <t>POE-Predict + KWL</t>
        </is>
      </c>
      <c r="F99" s="369" t="n"/>
      <c r="G99" s="369" t="n"/>
      <c r="H99" s="333">
        <f>IFERROR(IF('🎯 บันทึกการสอน Dashboard'!J16&gt;=1.5,"✅","⚠️"),"—")</f>
        <v/>
      </c>
      <c r="I99" s="369" t="n"/>
      <c r="J99" s="310" t="n"/>
      <c r="K99" s="400" t="n"/>
      <c r="L99" s="400" t="n"/>
      <c r="M99" s="400" t="n"/>
      <c r="N99" s="400" t="n"/>
      <c r="O99" s="400" t="n"/>
      <c r="P99" s="400" t="n"/>
      <c r="Q99" s="400" t="n"/>
      <c r="R99" s="400" t="n"/>
    </row>
    <row r="100" ht="19.5" customHeight="1">
      <c r="B100" s="331" t="inlineStr">
        <is>
          <t>3. สร้างความรู้เอง</t>
        </is>
      </c>
      <c r="C100" s="369" t="n"/>
      <c r="D100" s="369" t="n"/>
      <c r="E100" s="332" t="inlineStr">
        <is>
          <t>ทดลองสปริง + PhET</t>
        </is>
      </c>
      <c r="F100" s="369" t="n"/>
      <c r="G100" s="369" t="n"/>
      <c r="H100" s="333">
        <f>IFERROR(IF('🎯 บันทึกการสอน Dashboard'!J16&gt;=2,"✅","⚠️"),"—")</f>
        <v/>
      </c>
      <c r="I100" s="369" t="n"/>
      <c r="J100" s="310" t="n"/>
      <c r="K100" s="400" t="n"/>
      <c r="L100" s="400" t="n"/>
      <c r="M100" s="400" t="n"/>
      <c r="N100" s="400" t="n"/>
      <c r="O100" s="400" t="n"/>
      <c r="P100" s="400" t="n"/>
      <c r="Q100" s="400" t="n"/>
      <c r="R100" s="400" t="n"/>
    </row>
    <row r="101" ht="19.5" customHeight="1">
      <c r="B101" s="331" t="inlineStr">
        <is>
          <t>4. แรงจูงใจ</t>
        </is>
      </c>
      <c r="C101" s="369" t="n"/>
      <c r="D101" s="369" t="n"/>
      <c r="E101" s="332" t="inlineStr">
        <is>
          <t>Traffic Lights + Brain Break</t>
        </is>
      </c>
      <c r="F101" s="369" t="n"/>
      <c r="G101" s="369" t="n"/>
      <c r="H101" s="333">
        <f>IFERROR(IF('🎯 บันทึกการสอน Dashboard'!F16&gt;='🎯 บันทึกการสอน Dashboard'!H16,"✅","⚠️"),"—")</f>
        <v/>
      </c>
      <c r="I101" s="369" t="n"/>
      <c r="J101" s="310" t="n"/>
      <c r="K101" s="400" t="n"/>
      <c r="L101" s="400" t="n"/>
      <c r="M101" s="400" t="n"/>
      <c r="N101" s="400" t="n"/>
      <c r="O101" s="400" t="n"/>
      <c r="P101" s="400" t="n"/>
      <c r="Q101" s="400" t="n"/>
      <c r="R101" s="400" t="n"/>
    </row>
    <row r="102" ht="19.5" customHeight="1">
      <c r="B102" s="331" t="inlineStr">
        <is>
          <t>5. พัฒนาทักษะเชี่ยวชาญ</t>
        </is>
      </c>
      <c r="C102" s="369" t="n"/>
      <c r="D102" s="369" t="n"/>
      <c r="E102" s="332" t="inlineStr">
        <is>
          <t>Spot the Error + Matrix</t>
        </is>
      </c>
      <c r="F102" s="369" t="n"/>
      <c r="G102" s="369" t="n"/>
      <c r="H102" s="333">
        <f>IFERROR(IF('🎯 บันทึกการสอน Dashboard'!I16&gt;=0.7,"✅","⚠️"),"—")</f>
        <v/>
      </c>
      <c r="I102" s="369" t="n"/>
      <c r="J102" s="310" t="n"/>
      <c r="K102" s="400" t="n"/>
      <c r="L102" s="400" t="n"/>
      <c r="M102" s="400" t="n"/>
      <c r="N102" s="400" t="n"/>
      <c r="O102" s="400" t="n"/>
      <c r="P102" s="400" t="n"/>
      <c r="Q102" s="400" t="n"/>
      <c r="R102" s="400" t="n"/>
    </row>
    <row r="103" ht="19.5" customHeight="1">
      <c r="B103" s="331" t="inlineStr">
        <is>
          <t>6. Feedback ปรับปรุง</t>
        </is>
      </c>
      <c r="C103" s="369" t="n"/>
      <c r="D103" s="369" t="n"/>
      <c r="E103" s="332" t="inlineStr">
        <is>
          <t>Concept Cartoon เฉลย + 3-2-1</t>
        </is>
      </c>
      <c r="F103" s="369" t="n"/>
      <c r="G103" s="369" t="n"/>
      <c r="H103" s="333">
        <f>IFERROR(IF('🎯 บันทึกการสอน Dashboard'!H16&lt;=5,"✅","⚠️"),"—")</f>
        <v/>
      </c>
      <c r="I103" s="369" t="n"/>
      <c r="J103" s="310" t="n"/>
      <c r="K103" s="400" t="n"/>
      <c r="L103" s="400" t="n"/>
      <c r="M103" s="400" t="n"/>
      <c r="N103" s="400" t="n"/>
      <c r="O103" s="400" t="n"/>
      <c r="P103" s="400" t="n"/>
      <c r="Q103" s="400" t="n"/>
      <c r="R103" s="400" t="n"/>
    </row>
    <row r="104" ht="19.5" customHeight="1">
      <c r="B104" s="331" t="inlineStr">
        <is>
          <t>7. บรรยากาศชั้นเรียน</t>
        </is>
      </c>
      <c r="C104" s="369" t="n"/>
      <c r="D104" s="369" t="n"/>
      <c r="E104" s="332" t="inlineStr">
        <is>
          <t>Talking Chips + Visual Timer</t>
        </is>
      </c>
      <c r="F104" s="369" t="n"/>
      <c r="G104" s="369" t="n"/>
      <c r="H104" s="333">
        <f>IFERROR(IF('🎯 บันทึกการสอน Dashboard'!M16="✅ ดีมาก","✅","⚠️"),"—")</f>
        <v/>
      </c>
      <c r="I104" s="369" t="n"/>
      <c r="J104" s="310" t="n"/>
      <c r="K104" s="400" t="n"/>
      <c r="L104" s="400" t="n"/>
      <c r="M104" s="400" t="n"/>
      <c r="N104" s="400" t="n"/>
      <c r="O104" s="400" t="n"/>
      <c r="P104" s="400" t="n"/>
      <c r="Q104" s="400" t="n"/>
      <c r="R104" s="400" t="n"/>
    </row>
    <row r="105" ht="19.5" customHeight="1">
      <c r="B105" s="331" t="inlineStr">
        <is>
          <t>8. กำกับตนเอง</t>
        </is>
      </c>
      <c r="C105" s="369" t="n"/>
      <c r="D105" s="369" t="n"/>
      <c r="E105" s="332" t="inlineStr">
        <is>
          <t>3-2-1 Journal + Goal Setting</t>
        </is>
      </c>
      <c r="F105" s="369" t="n"/>
      <c r="G105" s="369" t="n"/>
      <c r="H105" s="333">
        <f>IFERROR(IF('🎯 บันทึกการสอน Dashboard'!I16&gt;=0.6,"✅","⚠️"),"—")</f>
        <v/>
      </c>
      <c r="I105" s="369" t="n"/>
      <c r="J105" s="310" t="n"/>
      <c r="K105" s="400" t="n"/>
      <c r="L105" s="400" t="n"/>
      <c r="M105" s="400" t="n"/>
      <c r="N105" s="400" t="n"/>
      <c r="O105" s="400" t="n"/>
      <c r="P105" s="400" t="n"/>
      <c r="Q105" s="400" t="n"/>
      <c r="R105" s="400" t="n"/>
    </row>
    <row r="106" ht="19.5" customHeight="1">
      <c r="B106" s="307" t="inlineStr">
        <is>
          <t>ส่วนที่ 8 — แนวทางปรับปรุง + Mini-trend เทียบแผนก่อน</t>
        </is>
      </c>
      <c r="C106" s="401" t="n"/>
      <c r="D106" s="401" t="n"/>
      <c r="E106" s="401" t="n"/>
      <c r="F106" s="401" t="n"/>
      <c r="G106" s="401" t="n"/>
      <c r="H106" s="401" t="n"/>
      <c r="I106" s="401" t="n"/>
      <c r="J106" s="401" t="n"/>
      <c r="K106" s="401" t="n"/>
      <c r="L106" s="401" t="n"/>
      <c r="M106" s="401" t="n"/>
      <c r="N106" s="401" t="n"/>
      <c r="O106" s="401" t="n"/>
      <c r="P106" s="401" t="n"/>
      <c r="Q106" s="401" t="n"/>
      <c r="R106" s="401" t="n"/>
    </row>
    <row r="107" ht="18" customHeight="1">
      <c r="B107" s="167" t="inlineStr">
        <is>
          <t>📌 Try ที่ตั้งใจทำจากแผนที่ 1 (Auto)</t>
        </is>
      </c>
      <c r="C107" s="337" t="inlineStr">
        <is>
          <t>← ดูจากแผนที่ 1 ส่วนที่ 8 ช่อง Try</t>
        </is>
      </c>
      <c r="D107" s="369" t="n"/>
      <c r="E107" s="369" t="n"/>
      <c r="F107" s="369" t="n"/>
      <c r="G107" s="369" t="n"/>
      <c r="H107" s="369" t="n"/>
      <c r="I107" s="369" t="n"/>
      <c r="J107" s="369" t="n"/>
    </row>
    <row r="108" ht="19.5" customHeight="1">
      <c r="B108" s="167" t="inlineStr">
        <is>
          <t>📈 Mini-trend (เทียบแผนก่อน)</t>
        </is>
      </c>
      <c r="C108" s="334">
        <f>IFERROR("Sound: "&amp;TEXT('🎯 บันทึกการสอน Dashboard'!K16,"0%")&amp;" vs "&amp;TEXT('🎯 บันทึกการสอน Dashboard'!K15,"0%")&amp;IF('🎯 บันทึกการสอน Dashboard'!K16&gt;'🎯 บันทึกการสอน Dashboard'!K15," ▲ ดีขึ้น",IF('🎯 บันทึกการสอน Dashboard'!K16&lt;'🎯 บันทึกการสอน Dashboard'!K15," ▼ ลดลง"," = คงที่")),"กรอกข้อมูลก่อน")</f>
        <v/>
      </c>
      <c r="D108" s="369" t="n"/>
      <c r="E108" s="369" t="n"/>
      <c r="F108" s="369" t="n"/>
      <c r="G108" s="369" t="n"/>
      <c r="H108" s="369" t="n"/>
      <c r="I108" s="369" t="n"/>
      <c r="J108" s="369" t="n"/>
    </row>
    <row r="109" ht="18" customHeight="1">
      <c r="B109" s="260" t="inlineStr">
        <is>
          <t>✅ Keep — สิ่งที่ได้ผล ควรคงไว้</t>
        </is>
      </c>
      <c r="C109" s="385" t="n"/>
      <c r="D109" s="385" t="n"/>
      <c r="E109" s="385" t="n"/>
      <c r="F109" s="385" t="n"/>
      <c r="G109" s="335" t="inlineStr">
        <is>
          <t>🔄 Change — สิ่งที่ต้องปรับปรุง</t>
        </is>
      </c>
      <c r="H109" s="404" t="n"/>
      <c r="I109" s="404" t="n"/>
      <c r="J109" s="404" t="n"/>
      <c r="K109" s="404" t="n"/>
      <c r="L109" s="336" t="inlineStr">
        <is>
          <t>🆕 Try — สิ่งที่จะลองทำในแผนถัดไป</t>
        </is>
      </c>
      <c r="M109" s="406" t="n"/>
      <c r="N109" s="406" t="n"/>
      <c r="O109" s="406" t="n"/>
      <c r="P109" s="406" t="n"/>
    </row>
    <row r="110" ht="19.5" customHeight="1">
      <c r="B110" s="312" t="n"/>
      <c r="C110" s="402" t="n"/>
      <c r="D110" s="402" t="n"/>
      <c r="E110" s="402" t="n"/>
      <c r="F110" s="402" t="n"/>
      <c r="G110" s="312" t="n"/>
      <c r="H110" s="402" t="n"/>
      <c r="I110" s="402" t="n"/>
      <c r="J110" s="402" t="n"/>
      <c r="K110" s="402" t="n"/>
      <c r="L110" s="312" t="n"/>
      <c r="M110" s="402" t="n"/>
      <c r="N110" s="402" t="n"/>
      <c r="O110" s="402" t="n"/>
      <c r="P110" s="402" t="n"/>
    </row>
    <row r="111" ht="19.5" customHeight="1">
      <c r="B111" s="403" t="n"/>
      <c r="G111" s="403" t="n"/>
      <c r="L111" s="403" t="n"/>
    </row>
    <row r="112" ht="19.5" customHeight="1">
      <c r="B112" s="403" t="n"/>
      <c r="G112" s="403" t="n"/>
      <c r="L112" s="403" t="n"/>
    </row>
    <row r="113" ht="19.5" customHeight="1">
      <c r="B113" s="167" t="inlineStr">
        <is>
          <t>📌 เนื้อหา/ทักษะที่จะทบทวนต้นคาบแผนที่ 3:</t>
        </is>
      </c>
      <c r="C113" s="312" t="n"/>
      <c r="D113" s="402" t="n"/>
      <c r="E113" s="402" t="n"/>
      <c r="F113" s="402" t="n"/>
      <c r="G113" s="402" t="n"/>
      <c r="H113" s="402" t="n"/>
      <c r="I113" s="402" t="n"/>
      <c r="J113" s="402" t="n"/>
      <c r="K113" s="402" t="n"/>
      <c r="L113" s="402" t="n"/>
      <c r="M113" s="402" t="n"/>
      <c r="N113" s="402" t="n"/>
      <c r="O113" s="402" t="n"/>
      <c r="P113" s="402" t="n"/>
      <c r="Q113" s="402" t="n"/>
      <c r="R113" s="402" t="n"/>
    </row>
    <row r="114" ht="19.5" customHeight="1">
      <c r="C114" s="403" t="n"/>
    </row>
    <row r="115" ht="12" customHeight="1"/>
    <row r="116" ht="24" customHeight="1">
      <c r="B116" s="338" t="inlineStr">
        <is>
          <t>▌ แผนการสอนที่ 3  |  อัตราเร็วของคลื่น (1): v = fλ  |  คาบที่ 5–6  |  อ้างอิง 9.2.1</t>
        </is>
      </c>
      <c r="C116" s="379" t="n"/>
      <c r="D116" s="379" t="n"/>
      <c r="E116" s="379" t="n"/>
      <c r="F116" s="379" t="n"/>
      <c r="G116" s="379" t="n"/>
      <c r="H116" s="379" t="n"/>
      <c r="I116" s="379" t="n"/>
      <c r="J116" s="379" t="n"/>
      <c r="K116" s="379" t="n"/>
      <c r="L116" s="379" t="n"/>
      <c r="M116" s="379" t="n"/>
      <c r="N116" s="379" t="n"/>
      <c r="O116" s="379" t="n"/>
      <c r="P116" s="379" t="n"/>
      <c r="Q116" s="379" t="n"/>
      <c r="R116" s="379" t="n"/>
    </row>
    <row r="117" ht="18" customHeight="1">
      <c r="B117" s="339" t="inlineStr">
        <is>
          <t>จำนวนนักเรียน (Auto):</t>
        </is>
      </c>
      <c r="D117" s="305">
        <f>COUNTA('📥 ข้อมูลนักเรียน'!C4:C43)&amp;" คน"</f>
        <v/>
      </c>
      <c r="E117" s="398" t="n"/>
      <c r="L117" s="339" t="inlineStr">
        <is>
          <t>วันที่สอน:</t>
        </is>
      </c>
      <c r="M117" s="306" t="n"/>
      <c r="N117" s="399" t="n"/>
      <c r="O117" s="339" t="inlineStr">
        <is>
          <t>เวลาที่ใช้ (นาที):</t>
        </is>
      </c>
      <c r="P117" s="306" t="n"/>
      <c r="Q117" s="400" t="n"/>
      <c r="R117" s="399" t="n"/>
    </row>
    <row r="118" ht="19.5" customHeight="1">
      <c r="B118" s="311" t="inlineStr">
        <is>
          <t>ส่วนที่ 1 — ผลการจัดกิจกรรม 5E</t>
        </is>
      </c>
      <c r="C118" s="385" t="n"/>
      <c r="D118" s="385" t="n"/>
      <c r="E118" s="385" t="n"/>
      <c r="F118" s="385" t="n"/>
      <c r="G118" s="385" t="n"/>
      <c r="H118" s="385" t="n"/>
      <c r="I118" s="385" t="n"/>
      <c r="J118" s="385" t="n"/>
      <c r="L118" s="311" t="inlineStr">
        <is>
          <t>✏️ สิ่งที่สังเกต / หมายเหตุ</t>
        </is>
      </c>
      <c r="M118" s="385" t="n"/>
      <c r="N118" s="385" t="n"/>
      <c r="O118" s="385" t="n"/>
      <c r="P118" s="385" t="n"/>
      <c r="Q118" s="385" t="n"/>
      <c r="R118" s="385" t="n"/>
    </row>
    <row r="119" ht="15.75" customHeight="1">
      <c r="B119" s="150" t="inlineStr">
        <is>
          <t>ขั้น 5E</t>
        </is>
      </c>
      <c r="C119" s="308" t="inlineStr">
        <is>
          <t>ตัวชี้วัด / ผล (Auto)</t>
        </is>
      </c>
      <c r="D119" s="369" t="n"/>
      <c r="E119" s="369" t="n"/>
      <c r="F119" s="369" t="n"/>
      <c r="G119" s="308" t="inlineStr">
        <is>
          <t>ระดับ (Auto)</t>
        </is>
      </c>
      <c r="H119" s="369" t="n"/>
      <c r="I119" s="369" t="n"/>
      <c r="J119" s="369" t="n"/>
      <c r="L119" s="308" t="inlineStr">
        <is>
          <t>บันทึกสั้น (2–3 บรรทัด)</t>
        </is>
      </c>
      <c r="M119" s="369" t="n"/>
      <c r="N119" s="369" t="n"/>
      <c r="O119" s="369" t="n"/>
      <c r="P119" s="369" t="n"/>
      <c r="Q119" s="369" t="n"/>
      <c r="R119" s="369" t="n"/>
    </row>
    <row r="120" ht="21.75" customHeight="1">
      <c r="B120" s="152" t="inlineStr">
        <is>
          <t>🔵 Engage</t>
        </is>
      </c>
      <c r="C120" s="285">
        <f>IF('🎯 บันทึกการสอน Dashboard'!F17&gt;0,'🎯 บันทึกการสอน Dashboard'!F17&amp;" คน 🟢","—")</f>
        <v/>
      </c>
      <c r="D120" s="369" t="n"/>
      <c r="E120" s="369" t="n"/>
      <c r="F120" s="369" t="n"/>
      <c r="G120" s="309">
        <f>IFERROR(IF('🎯 บันทึกการสอน Dashboard'!F17+IFERROR('🎯 บันทึกการสอน Dashboard'!G17,0)+IFERROR('🎯 บันทึกการสอน Dashboard'!H17,0)&gt;0,IF('🎯 บันทึกการสอน Dashboard'!F17/('🎯 บันทึกการสอน Dashboard'!F17+IFERROR('🎯 บันทึกการสอน Dashboard'!G17,0)+IFERROR('🎯 บันทึกการสอน Dashboard'!H17,0))&gt;=0.5,"✅ ดี","⚠️ ต่ำ"),"ยังไม่กรอก"),"—")</f>
        <v/>
      </c>
      <c r="H120" s="369" t="n"/>
      <c r="I120" s="369" t="n"/>
      <c r="J120" s="369" t="n"/>
      <c r="L120" s="310" t="n"/>
      <c r="M120" s="400" t="n"/>
      <c r="N120" s="400" t="n"/>
      <c r="O120" s="400" t="n"/>
      <c r="P120" s="400" t="n"/>
      <c r="Q120" s="400" t="n"/>
      <c r="R120" s="400" t="n"/>
    </row>
    <row r="121" ht="21.75" customHeight="1">
      <c r="B121" s="152" t="inlineStr">
        <is>
          <t>🟠 Explore</t>
        </is>
      </c>
      <c r="C121" s="285">
        <f>IF('🎯 บันทึกการสอน Dashboard'!J17&gt;0,"POE avg: "&amp;TEXT('🎯 บันทึกการสอน Dashboard'!J17,"0.00"),"—")</f>
        <v/>
      </c>
      <c r="D121" s="369" t="n"/>
      <c r="E121" s="369" t="n"/>
      <c r="F121" s="369" t="n"/>
      <c r="G121" s="309">
        <f>IF(ISNUMBER('🎯 บันทึกการสอน Dashboard'!J17),IF('🎯 บันทึกการสอน Dashboard'!J17&gt;=2,"✅ ดี","⚠️ ต่ำ"),"—")</f>
        <v/>
      </c>
      <c r="H121" s="369" t="n"/>
      <c r="I121" s="369" t="n"/>
      <c r="J121" s="369" t="n"/>
      <c r="L121" s="310" t="n"/>
      <c r="M121" s="400" t="n"/>
      <c r="N121" s="400" t="n"/>
      <c r="O121" s="400" t="n"/>
      <c r="P121" s="400" t="n"/>
      <c r="Q121" s="400" t="n"/>
      <c r="R121" s="400" t="n"/>
    </row>
    <row r="122" ht="21.75" customHeight="1">
      <c r="B122" s="152" t="inlineStr">
        <is>
          <t>🟢 Explain</t>
        </is>
      </c>
      <c r="C122" s="285">
        <f>IF('🎯 บันทึกการสอน Dashboard'!K17&gt;0,"Sound: "&amp;TEXT('🎯 บันทึกการสอน Dashboard'!K17,"0%"),"—")</f>
        <v/>
      </c>
      <c r="D122" s="369" t="n"/>
      <c r="E122" s="369" t="n"/>
      <c r="F122" s="369" t="n"/>
      <c r="G122" s="309">
        <f>IF(ISNUMBER('🎯 บันทึกการสอน Dashboard'!K17),IF('🎯 บันทึกการสอน Dashboard'!K17&gt;=0.7,"✅ ดี","⚠️ ต่ำ"),"—")</f>
        <v/>
      </c>
      <c r="H122" s="369" t="n"/>
      <c r="I122" s="369" t="n"/>
      <c r="J122" s="369" t="n"/>
      <c r="L122" s="310" t="n"/>
      <c r="M122" s="400" t="n"/>
      <c r="N122" s="400" t="n"/>
      <c r="O122" s="400" t="n"/>
      <c r="P122" s="400" t="n"/>
      <c r="Q122" s="400" t="n"/>
      <c r="R122" s="400" t="n"/>
    </row>
    <row r="123" ht="21.75" customHeight="1">
      <c r="B123" s="152" t="inlineStr">
        <is>
          <t>🟡 Elaborate</t>
        </is>
      </c>
      <c r="C123" s="285" t="inlineStr">
        <is>
          <t>ดูผลใบงาน/Spot the Error</t>
        </is>
      </c>
      <c r="D123" s="369" t="n"/>
      <c r="E123" s="369" t="n"/>
      <c r="F123" s="369" t="n"/>
      <c r="G123" s="309" t="inlineStr">
        <is>
          <t>กรอกเอง</t>
        </is>
      </c>
      <c r="H123" s="369" t="n"/>
      <c r="I123" s="369" t="n"/>
      <c r="J123" s="369" t="n"/>
      <c r="L123" s="310" t="n"/>
      <c r="M123" s="400" t="n"/>
      <c r="N123" s="400" t="n"/>
      <c r="O123" s="400" t="n"/>
      <c r="P123" s="400" t="n"/>
      <c r="Q123" s="400" t="n"/>
      <c r="R123" s="400" t="n"/>
    </row>
    <row r="124" ht="21.75" customHeight="1">
      <c r="B124" s="152" t="inlineStr">
        <is>
          <t>🔴 Evaluate</t>
        </is>
      </c>
      <c r="C124" s="285">
        <f>IF('🎯 บันทึกการสอน Dashboard'!H17&gt;0,"🔴 "&amp;'🎯 บันทึกการสอน Dashboard'!H17&amp;" คน","ยังไม่กรอก")</f>
        <v/>
      </c>
      <c r="D124" s="369" t="n"/>
      <c r="E124" s="369" t="n"/>
      <c r="F124" s="369" t="n"/>
      <c r="G124" s="309">
        <f>IF(ISNUMBER('🎯 บันทึกการสอน Dashboard'!H17),IF('🎯 บันทึกการสอน Dashboard'!H17&lt;=5,"✅ น้อย","⚠️ มาก"),"—")</f>
        <v/>
      </c>
      <c r="H124" s="369" t="n"/>
      <c r="I124" s="369" t="n"/>
      <c r="J124" s="369" t="n"/>
      <c r="L124" s="310" t="n"/>
      <c r="M124" s="400" t="n"/>
      <c r="N124" s="400" t="n"/>
      <c r="O124" s="400" t="n"/>
      <c r="P124" s="400" t="n"/>
      <c r="Q124" s="400" t="n"/>
      <c r="R124" s="400" t="n"/>
    </row>
    <row r="125" ht="19.5" customHeight="1">
      <c r="B125" s="311" t="inlineStr">
        <is>
          <t>ส่วนที่ 2 — ผลการทำ POE (2 ครั้ง)</t>
        </is>
      </c>
      <c r="C125" s="385" t="n"/>
      <c r="D125" s="385" t="n"/>
      <c r="E125" s="385" t="n"/>
      <c r="F125" s="385" t="n"/>
      <c r="G125" s="385" t="n"/>
      <c r="H125" s="385" t="n"/>
      <c r="I125" s="385" t="n"/>
      <c r="J125" s="385" t="n"/>
      <c r="L125" s="311" t="inlineStr">
        <is>
          <t>✏️ ตัวอย่างคำพูดนักเรียน / ข้อค้นพบ</t>
        </is>
      </c>
      <c r="M125" s="385" t="n"/>
      <c r="N125" s="385" t="n"/>
      <c r="O125" s="385" t="n"/>
      <c r="P125" s="385" t="n"/>
      <c r="Q125" s="385" t="n"/>
      <c r="R125" s="385" t="n"/>
    </row>
    <row r="126" ht="27.75" customHeight="1">
      <c r="B126" s="152" t="inlineStr">
        <is>
          <t>POE#1: แรงดึงเชือก vs ความเร็ว</t>
        </is>
      </c>
      <c r="C126" s="285">
        <f>IFERROR("P avg: "&amp;TEXT(AVERAGE('🔬 POE บันทึก'!L4:L43),"0.0")&amp;"  |  E avg: "&amp;TEXT(AVERAGE('🔬 POE บันทึก'!M4:M43),"0.0"),"—")</f>
        <v/>
      </c>
      <c r="D126" s="369" t="n"/>
      <c r="E126" s="369" t="n"/>
      <c r="F126" s="369" t="n"/>
      <c r="G126" s="309">
        <f>IFERROR(IF(AVERAGE('🔬 POE บันทึก'!M4:M43)&gt;=2,"✅ Conceptual Change","⚠️ ยังไม่เปลี่ยน"),"—")</f>
        <v/>
      </c>
      <c r="H126" s="369" t="n"/>
      <c r="I126" s="369" t="n"/>
      <c r="J126" s="369" t="n"/>
      <c r="L126" s="312" t="n"/>
      <c r="M126" s="402" t="n"/>
      <c r="N126" s="402" t="n"/>
      <c r="O126" s="402" t="n"/>
      <c r="P126" s="402" t="n"/>
      <c r="Q126" s="402" t="n"/>
      <c r="R126" s="402" t="n"/>
    </row>
    <row r="127" ht="15" customHeight="1">
      <c r="L127" s="403" t="n"/>
    </row>
    <row r="128" ht="27.75" customHeight="1">
      <c r="B128" s="152" t="inlineStr">
        <is>
          <t>POE#2: v คงที่เมื่อ f เปลี่ยน</t>
        </is>
      </c>
      <c r="C128" s="285">
        <f>IFERROR("P avg: "&amp;TEXT(AVERAGE('🔬 POE บันทึก'!N4:N43),"0.0")&amp;"  |  E avg: "&amp;TEXT(AVERAGE('🔬 POE บันทึก'!O4:O43),"0.0"),"—")</f>
        <v/>
      </c>
      <c r="D128" s="369" t="n"/>
      <c r="E128" s="369" t="n"/>
      <c r="F128" s="369" t="n"/>
      <c r="G128" s="309">
        <f>IFERROR(IF(AVERAGE('🔬 POE บันทึก'!O4:O43)&gt;=2,"✅ Conceptual Change","⚠️ ยังไม่เปลี่ยน"),"—")</f>
        <v/>
      </c>
      <c r="H128" s="369" t="n"/>
      <c r="I128" s="369" t="n"/>
      <c r="J128" s="369" t="n"/>
      <c r="L128" s="312" t="n"/>
      <c r="M128" s="402" t="n"/>
      <c r="N128" s="402" t="n"/>
      <c r="O128" s="402" t="n"/>
      <c r="P128" s="402" t="n"/>
      <c r="Q128" s="402" t="n"/>
      <c r="R128" s="402" t="n"/>
    </row>
    <row r="129" ht="15" customHeight="1">
      <c r="L129" s="403" t="n"/>
    </row>
    <row r="130" ht="19.5" customHeight="1">
      <c r="B130" s="311" t="inlineStr">
        <is>
          <t>ส่วนที่ 3 — การบรรลุวัตถุประสงค์การเรียนรู้ (Auto จาก Four-tier + ตัวชี้วัด)</t>
        </is>
      </c>
      <c r="C130" s="385" t="n"/>
      <c r="D130" s="385" t="n"/>
      <c r="E130" s="385" t="n"/>
      <c r="F130" s="385" t="n"/>
      <c r="G130" s="385" t="n"/>
      <c r="H130" s="385" t="n"/>
      <c r="I130" s="385" t="n"/>
      <c r="J130" s="385" t="n"/>
      <c r="K130" s="385" t="n"/>
      <c r="L130" s="385" t="n"/>
      <c r="M130" s="385" t="n"/>
      <c r="N130" s="385" t="n"/>
      <c r="O130" s="385" t="n"/>
      <c r="P130" s="385" t="n"/>
      <c r="Q130" s="385" t="n"/>
      <c r="R130" s="385" t="n"/>
    </row>
    <row r="131" ht="18" customHeight="1">
      <c r="B131" s="100" t="inlineStr">
        <is>
          <t>วัตถุประสงค์</t>
        </is>
      </c>
      <c r="C131" s="100" t="inlineStr">
        <is>
          <t>ตัวชี้วัด</t>
        </is>
      </c>
      <c r="D131" s="260" t="inlineStr">
        <is>
          <t>n ผ่านเกณฑ์ (Auto)</t>
        </is>
      </c>
      <c r="E131" s="385" t="n"/>
      <c r="F131" s="100" t="inlineStr">
        <is>
          <t>% (Auto)</t>
        </is>
      </c>
      <c r="G131" s="260" t="inlineStr">
        <is>
          <t>ผ่าน? (Auto)</t>
        </is>
      </c>
      <c r="H131" s="385" t="n"/>
      <c r="I131" s="260" t="inlineStr">
        <is>
          <t>หลักฐาน/วิธีวัด</t>
        </is>
      </c>
      <c r="J131" s="385" t="n"/>
      <c r="K131" s="385" t="n"/>
    </row>
    <row r="132" ht="21.75" customHeight="1">
      <c r="B132" s="169" t="inlineStr">
        <is>
          <t>1. อธิบายและใช้สมการ v = fλ ได้</t>
        </is>
      </c>
      <c r="C132" s="155" t="inlineStr">
        <is>
          <t>ว 2.2 ม.5/3</t>
        </is>
      </c>
      <c r="D132" s="314">
        <f>IFERROR(ROUND('🤖 Four-tier วิเคราะห์'!H90*COUNTA('📥 ข้อมูลนักเรียน'!C4:C43),0),"—")</f>
        <v/>
      </c>
      <c r="E132" s="369" t="n"/>
      <c r="F132" s="79">
        <f>IFERROR('🤖 Four-tier วิเคราะห์'!H90,"—")</f>
        <v/>
      </c>
      <c r="G132" s="315">
        <f>IFERROR(IF('🤖 Four-tier วิเคราะห์'!H90&gt;=0.8,"✅ ผ่าน (≥80%)","❌ ไม่ผ่าน (&lt;80%)"),"—")</f>
        <v/>
      </c>
      <c r="H132" s="369" t="n"/>
      <c r="I132" s="310" t="n"/>
      <c r="J132" s="400" t="n"/>
      <c r="K132" s="400" t="n"/>
      <c r="L132" s="400" t="n"/>
      <c r="M132" s="400" t="n"/>
      <c r="N132" s="400" t="n"/>
      <c r="O132" s="400" t="n"/>
      <c r="P132" s="400" t="n"/>
      <c r="Q132" s="400" t="n"/>
      <c r="R132" s="400" t="n"/>
    </row>
    <row r="133" ht="21.75" customHeight="1">
      <c r="B133" s="169" t="inlineStr">
        <is>
          <t>2. คำนวณ v, f, λ จากข้อมูลได้</t>
        </is>
      </c>
      <c r="C133" s="155" t="inlineStr">
        <is>
          <t>ว 2.2 ม.5/4</t>
        </is>
      </c>
      <c r="D133" s="314">
        <f>IFERROR(ROUND('🤖 Four-tier วิเคราะห์'!I90*COUNTA('📥 ข้อมูลนักเรียน'!C4:C43),0),"—")</f>
        <v/>
      </c>
      <c r="E133" s="369" t="n"/>
      <c r="F133" s="79">
        <f>IFERROR('🤖 Four-tier วิเคราะห์'!I90,"—")</f>
        <v/>
      </c>
      <c r="G133" s="315">
        <f>IFERROR(IF('🤖 Four-tier วิเคราะห์'!I90&gt;=0.8,"✅ ผ่าน (≥80%)","❌ ไม่ผ่าน (&lt;80%)"),"—")</f>
        <v/>
      </c>
      <c r="H133" s="369" t="n"/>
      <c r="I133" s="310" t="n"/>
      <c r="J133" s="400" t="n"/>
      <c r="K133" s="400" t="n"/>
      <c r="L133" s="400" t="n"/>
      <c r="M133" s="400" t="n"/>
      <c r="N133" s="400" t="n"/>
      <c r="O133" s="400" t="n"/>
      <c r="P133" s="400" t="n"/>
      <c r="Q133" s="400" t="n"/>
      <c r="R133" s="400" t="n"/>
    </row>
    <row r="134" ht="21.75" customHeight="1">
      <c r="B134" s="169" t="inlineStr">
        <is>
          <t>3. ระบุปัจจัยที่มีผลต่อ v ได้</t>
        </is>
      </c>
      <c r="C134" s="155" t="inlineStr">
        <is>
          <t>ว 2.2 ม.5/3</t>
        </is>
      </c>
      <c r="D134" s="314">
        <f>IFERROR(ROUND('🤖 Four-tier วิเคราะห์'!J90*COUNTA('📥 ข้อมูลนักเรียน'!C4:C43),0),"—")</f>
        <v/>
      </c>
      <c r="E134" s="369" t="n"/>
      <c r="F134" s="79">
        <f>IFERROR('🤖 Four-tier วิเคราะห์'!J90,"—")</f>
        <v/>
      </c>
      <c r="G134" s="315">
        <f>IFERROR(IF('🤖 Four-tier วิเคราะห์'!J90&gt;=0.8,"✅ ผ่าน (≥80%)","❌ ไม่ผ่าน (&lt;80%)"),"—")</f>
        <v/>
      </c>
      <c r="H134" s="369" t="n"/>
      <c r="I134" s="310" t="n"/>
      <c r="J134" s="400" t="n"/>
      <c r="K134" s="400" t="n"/>
      <c r="L134" s="400" t="n"/>
      <c r="M134" s="400" t="n"/>
      <c r="N134" s="400" t="n"/>
      <c r="O134" s="400" t="n"/>
      <c r="P134" s="400" t="n"/>
      <c r="Q134" s="400" t="n"/>
      <c r="R134" s="400" t="n"/>
    </row>
    <row r="135" ht="21.75" customHeight="1">
      <c r="B135" s="170" t="inlineStr">
        <is>
          <t>ภาพรวมแผนนี้</t>
        </is>
      </c>
      <c r="C135" s="316">
        <f>IFERROR(AVERAGE('🤖 Four-tier วิเคราะห์'!H90,'🤖 Four-tier วิเคราะห์'!I90,'🤖 Four-tier วิเคราะห์'!J90),0)</f>
        <v/>
      </c>
      <c r="D135" s="369" t="n"/>
      <c r="E135" s="369" t="n"/>
      <c r="F135" s="314">
        <f>IFERROR((IF(ISNUMBER('🤖 Four-tier วิเคราะห์'!G90),IF('🤖 Four-tier วิเคราะห์'!G90&gt;=0.8,1,0),0)+IF(ISNUMBER('🤖 Four-tier วิเคราะห์'!H90),IF('🤖 Four-tier วิเคราะห์'!H90&gt;=0.8,1,0),0)+IF(ISNUMBER('🤖 Four-tier วิเคราะห์'!I90),IF('🤖 Four-tier วิเคราะห์'!I90&gt;=0.8,1,0),0))&amp;"/3 วัตถุประสงค์ผ่าน","—")</f>
        <v/>
      </c>
      <c r="G135" s="369" t="n"/>
      <c r="H135" s="369" t="n"/>
      <c r="I135" s="318">
        <f>IFERROR(IF(AVERAGE('🤖 Four-tier วิเคราะห์'!H90,'🤖 Four-tier วิเคราะห์'!I90,'🤖 Four-tier วิเคราะห์'!J90)&gt;=0.8,"✅ บรรลุเกณฑ์ภาพรวม","⚠️ ยังต่ำกว่าเกณฑ์"),"—")</f>
        <v/>
      </c>
      <c r="J135" s="369" t="n"/>
      <c r="K135" s="369" t="n"/>
      <c r="L135" s="369" t="n"/>
      <c r="M135" s="369" t="n"/>
      <c r="N135" s="369" t="n"/>
      <c r="O135" s="369" t="n"/>
      <c r="P135" s="369" t="n"/>
      <c r="Q135" s="369" t="n"/>
      <c r="R135" s="369" t="n"/>
    </row>
    <row r="136" ht="19.5" customHeight="1">
      <c r="B136" s="311" t="inlineStr">
        <is>
          <t>ส่วนที่ 4 — พฤติกรรมนักเรียนและการมีส่วนร่วม</t>
        </is>
      </c>
      <c r="C136" s="385" t="n"/>
      <c r="D136" s="385" t="n"/>
      <c r="E136" s="385" t="n"/>
      <c r="F136" s="385" t="n"/>
      <c r="G136" s="385" t="n"/>
      <c r="H136" s="385" t="n"/>
      <c r="I136" s="385" t="n"/>
      <c r="J136" s="385" t="n"/>
      <c r="L136" s="311" t="inlineStr">
        <is>
          <t>✏️ กรอก</t>
        </is>
      </c>
      <c r="M136" s="385" t="n"/>
      <c r="N136" s="385" t="n"/>
      <c r="O136" s="385" t="n"/>
      <c r="P136" s="385" t="n"/>
      <c r="Q136" s="385" t="n"/>
      <c r="R136" s="385" t="n"/>
    </row>
    <row r="137" ht="18" customHeight="1">
      <c r="B137" s="157" t="inlineStr">
        <is>
          <t>🟢 Traffic Light</t>
        </is>
      </c>
      <c r="C137" s="314">
        <f>IFERROR('🎯 บันทึกการสอน Dashboard'!F17,0)&amp;" คน"</f>
        <v/>
      </c>
      <c r="D137" s="369" t="n"/>
      <c r="E137" s="369" t="n"/>
      <c r="F137" s="369" t="n"/>
      <c r="G137" s="369" t="n"/>
      <c r="H137" s="369" t="n"/>
      <c r="I137" s="369" t="n"/>
      <c r="J137" s="369" t="n"/>
      <c r="L137" s="319" t="inlineStr">
        <is>
          <t>นักเรียนที่ต้องดูแลพิเศษ / กลุ่มที่มีส่วนร่วมต่ำ:</t>
        </is>
      </c>
      <c r="M137" s="402" t="n"/>
      <c r="N137" s="402" t="n"/>
      <c r="O137" s="402" t="n"/>
      <c r="P137" s="402" t="n"/>
      <c r="Q137" s="402" t="n"/>
      <c r="R137" s="402" t="n"/>
    </row>
    <row r="138" ht="18" customHeight="1">
      <c r="B138" s="158" t="inlineStr">
        <is>
          <t>🟡 Traffic Light</t>
        </is>
      </c>
      <c r="C138" s="320">
        <f>IFERROR('🎯 บันทึกการสอน Dashboard'!G17,0)&amp;" คน"</f>
        <v/>
      </c>
      <c r="D138" s="369" t="n"/>
      <c r="E138" s="369" t="n"/>
      <c r="F138" s="369" t="n"/>
      <c r="G138" s="369" t="n"/>
      <c r="H138" s="369" t="n"/>
      <c r="I138" s="369" t="n"/>
      <c r="J138" s="369" t="n"/>
      <c r="L138" s="403" t="n"/>
    </row>
    <row r="139" ht="18" customHeight="1">
      <c r="B139" s="159" t="inlineStr">
        <is>
          <t>🔴 Traffic Light</t>
        </is>
      </c>
      <c r="C139" s="321">
        <f>IFERROR('🎯 บันทึกการสอน Dashboard'!H17,0)&amp;" คน"</f>
        <v/>
      </c>
      <c r="D139" s="369" t="n"/>
      <c r="E139" s="369" t="n"/>
      <c r="F139" s="369" t="n"/>
      <c r="G139" s="369" t="n"/>
      <c r="H139" s="369" t="n"/>
      <c r="I139" s="369" t="n"/>
      <c r="J139" s="369" t="n"/>
      <c r="L139" s="403" t="n"/>
    </row>
    <row r="140" ht="18" customHeight="1">
      <c r="B140" s="160" t="inlineStr">
        <is>
          <t>สถานะโดยรวม</t>
        </is>
      </c>
      <c r="C140" s="309">
        <f>IFERROR('🎯 บันทึกการสอน Dashboard'!M17,"ยังไม่กรอก")</f>
        <v/>
      </c>
      <c r="D140" s="369" t="n"/>
      <c r="E140" s="369" t="n"/>
      <c r="F140" s="369" t="n"/>
      <c r="G140" s="369" t="n"/>
      <c r="H140" s="369" t="n"/>
      <c r="I140" s="369" t="n"/>
      <c r="J140" s="369" t="n"/>
      <c r="L140" s="403" t="n"/>
    </row>
    <row r="141" ht="19.5" customHeight="1">
      <c r="B141" s="322" t="inlineStr">
        <is>
          <t>ส่วนที่ 5 — ปัญหา อุปสรรค และข้อค้นพบ</t>
        </is>
      </c>
      <c r="C141" s="404" t="n"/>
      <c r="D141" s="404" t="n"/>
      <c r="E141" s="404" t="n"/>
      <c r="F141" s="404" t="n"/>
      <c r="G141" s="404" t="n"/>
      <c r="H141" s="404" t="n"/>
      <c r="I141" s="404" t="n"/>
      <c r="J141" s="404" t="n"/>
      <c r="L141" s="322" t="inlineStr">
        <is>
          <t>✏️ กรอก</t>
        </is>
      </c>
      <c r="M141" s="404" t="n"/>
      <c r="N141" s="404" t="n"/>
      <c r="O141" s="404" t="n"/>
      <c r="P141" s="404" t="n"/>
      <c r="Q141" s="404" t="n"/>
      <c r="R141" s="404" t="n"/>
    </row>
    <row r="142" ht="18" customHeight="1">
      <c r="B142" s="161" t="inlineStr">
        <is>
          <t>Misconception M1 (Pre)</t>
        </is>
      </c>
      <c r="C142" s="323">
        <f>IFERROR('📊 สรุป Misconception'!D3,"—")</f>
        <v/>
      </c>
      <c r="D142" s="369" t="n"/>
      <c r="E142" s="369" t="n"/>
      <c r="F142" s="369" t="n"/>
      <c r="G142" s="369" t="n"/>
      <c r="H142" s="369" t="n"/>
      <c r="I142" s="369" t="n"/>
      <c r="J142" s="369" t="n"/>
      <c r="L142" s="319" t="inlineStr">
        <is>
          <t>รายละเอียดปัญหา / สิ่งที่ค้นพบระหว่างสอน:</t>
        </is>
      </c>
      <c r="M142" s="402" t="n"/>
      <c r="N142" s="402" t="n"/>
      <c r="O142" s="402" t="n"/>
      <c r="P142" s="402" t="n"/>
      <c r="Q142" s="402" t="n"/>
      <c r="R142" s="402" t="n"/>
    </row>
    <row r="143" ht="18" customHeight="1">
      <c r="B143" s="162" t="inlineStr">
        <is>
          <t>Misconception M1 (Post)</t>
        </is>
      </c>
      <c r="C143" s="324">
        <f>IFERROR('📊 สรุป Misconception'!F3,"—")</f>
        <v/>
      </c>
      <c r="D143" s="369" t="n"/>
      <c r="E143" s="369" t="n"/>
      <c r="F143" s="369" t="n"/>
      <c r="G143" s="369" t="n"/>
      <c r="H143" s="369" t="n"/>
      <c r="I143" s="369" t="n"/>
      <c r="J143" s="369" t="n"/>
      <c r="L143" s="403" t="n"/>
    </row>
    <row r="144" ht="18" customHeight="1">
      <c r="B144" s="163" t="inlineStr">
        <is>
          <t>ระดับ M1</t>
        </is>
      </c>
      <c r="C144" s="325">
        <f>IFERROR('📊 สรุป Misconception'!H3,"—")</f>
        <v/>
      </c>
      <c r="D144" s="369" t="n"/>
      <c r="E144" s="369" t="n"/>
      <c r="F144" s="369" t="n"/>
      <c r="G144" s="369" t="n"/>
      <c r="H144" s="369" t="n"/>
      <c r="I144" s="369" t="n"/>
      <c r="J144" s="369" t="n"/>
      <c r="L144" s="403" t="n"/>
    </row>
    <row r="145" ht="18" customHeight="1">
      <c r="B145" s="161" t="inlineStr">
        <is>
          <t>Misc. ใหม่ที่ไม่คาดคิด</t>
        </is>
      </c>
      <c r="C145" s="323" t="inlineStr">
        <is>
          <t>— ดูจากใบงาน POE —</t>
        </is>
      </c>
      <c r="D145" s="369" t="n"/>
      <c r="E145" s="369" t="n"/>
      <c r="F145" s="369" t="n"/>
      <c r="G145" s="369" t="n"/>
      <c r="H145" s="369" t="n"/>
      <c r="I145" s="369" t="n"/>
      <c r="J145" s="369" t="n"/>
      <c r="L145" s="403" t="n"/>
    </row>
    <row r="146" ht="19.5" customHeight="1">
      <c r="B146" s="326" t="inlineStr">
        <is>
          <t>ส่วนที่ 6 — ข้อมูลเชิงวิจัย (Auto ทั้งหมด)</t>
        </is>
      </c>
      <c r="C146" s="405" t="n"/>
      <c r="D146" s="405" t="n"/>
      <c r="E146" s="405" t="n"/>
      <c r="F146" s="405" t="n"/>
      <c r="G146" s="405" t="n"/>
      <c r="H146" s="405" t="n"/>
      <c r="I146" s="405" t="n"/>
      <c r="J146" s="405" t="n"/>
      <c r="L146" s="326" t="inlineStr">
        <is>
          <t>✏️ กรอก</t>
        </is>
      </c>
      <c r="M146" s="405" t="n"/>
      <c r="N146" s="405" t="n"/>
      <c r="O146" s="405" t="n"/>
      <c r="P146" s="405" t="n"/>
      <c r="Q146" s="405" t="n"/>
      <c r="R146" s="405" t="n"/>
    </row>
    <row r="147" ht="18" customHeight="1">
      <c r="B147" s="164" t="inlineStr">
        <is>
          <t>POE เฉลี่ยแผนนี้</t>
        </is>
      </c>
      <c r="C147" s="327">
        <f>IFERROR('🎯 บันทึกการสอน Dashboard'!J17,"—")</f>
        <v/>
      </c>
      <c r="D147" s="369" t="n"/>
      <c r="E147" s="369" t="n"/>
      <c r="F147" s="369" t="n"/>
      <c r="G147" s="369" t="n"/>
      <c r="H147" s="369" t="n"/>
      <c r="I147" s="369" t="n"/>
      <c r="J147" s="369" t="n"/>
      <c r="L147" s="319" t="inlineStr">
        <is>
          <t>การวิเคราะห์เพิ่มเติม / บันทึกสำหรับบทที่ 4:</t>
        </is>
      </c>
      <c r="M147" s="402" t="n"/>
      <c r="N147" s="402" t="n"/>
      <c r="O147" s="402" t="n"/>
      <c r="P147" s="402" t="n"/>
      <c r="Q147" s="402" t="n"/>
      <c r="R147" s="402" t="n"/>
    </row>
    <row r="148" ht="18" customHeight="1">
      <c r="B148" s="165" t="inlineStr">
        <is>
          <t>% Sound (Post-test)</t>
        </is>
      </c>
      <c r="C148" s="328">
        <f>IFERROR('🎯 บันทึกการสอน Dashboard'!K17,"—")</f>
        <v/>
      </c>
      <c r="D148" s="369" t="n"/>
      <c r="E148" s="369" t="n"/>
      <c r="F148" s="369" t="n"/>
      <c r="G148" s="369" t="n"/>
      <c r="H148" s="369" t="n"/>
      <c r="I148" s="369" t="n"/>
      <c r="J148" s="369" t="n"/>
      <c r="L148" s="403" t="n"/>
    </row>
    <row r="149" ht="18" customHeight="1">
      <c r="B149" s="166" t="inlineStr">
        <is>
          <t>% Misconception (Post)</t>
        </is>
      </c>
      <c r="C149" s="329">
        <f>IFERROR('🎯 บันทึกการสอน Dashboard'!L17,"—")</f>
        <v/>
      </c>
      <c r="D149" s="369" t="n"/>
      <c r="E149" s="369" t="n"/>
      <c r="F149" s="369" t="n"/>
      <c r="G149" s="369" t="n"/>
      <c r="H149" s="369" t="n"/>
      <c r="I149" s="369" t="n"/>
      <c r="J149" s="369" t="n"/>
      <c r="L149" s="403" t="n"/>
    </row>
    <row r="150" ht="18" customHeight="1">
      <c r="B150" s="164" t="inlineStr">
        <is>
          <t>GAP: POE ดีแต่ Misc.</t>
        </is>
      </c>
      <c r="C150" s="330">
        <f>IFERROR(COUNTIF('🔗 POE-Fourtier เทียบ'!H6,"🔴*"),0)&amp;" คน"</f>
        <v/>
      </c>
      <c r="D150" s="369" t="n"/>
      <c r="E150" s="369" t="n"/>
      <c r="F150" s="369" t="n"/>
      <c r="G150" s="369" t="n"/>
      <c r="H150" s="369" t="n"/>
      <c r="I150" s="369" t="n"/>
      <c r="J150" s="369" t="n"/>
      <c r="L150" s="403" t="n"/>
    </row>
    <row r="151" ht="19.5" customHeight="1">
      <c r="B151" s="311" t="inlineStr">
        <is>
          <t>ส่วนที่ 7 — ประเมิน 8 องค์ประกอบ วPA</t>
        </is>
      </c>
      <c r="C151" s="385" t="n"/>
      <c r="D151" s="385" t="n"/>
      <c r="E151" s="385" t="n"/>
      <c r="F151" s="385" t="n"/>
      <c r="G151" s="385" t="n"/>
      <c r="H151" s="385" t="n"/>
      <c r="I151" s="385" t="n"/>
      <c r="J151" s="385" t="n"/>
      <c r="K151" s="385" t="n"/>
      <c r="L151" s="385" t="n"/>
      <c r="M151" s="385" t="n"/>
      <c r="N151" s="385" t="n"/>
      <c r="O151" s="385" t="n"/>
      <c r="P151" s="385" t="n"/>
      <c r="Q151" s="385" t="n"/>
      <c r="R151" s="385" t="n"/>
    </row>
    <row r="152" ht="18" customHeight="1">
      <c r="B152" s="260" t="inlineStr">
        <is>
          <t>องค์ประกอบ วPA</t>
        </is>
      </c>
      <c r="C152" s="385" t="n"/>
      <c r="D152" s="385" t="n"/>
      <c r="E152" s="260" t="inlineStr">
        <is>
          <t>กิจกรรมที่รองรับ</t>
        </is>
      </c>
      <c r="F152" s="385" t="n"/>
      <c r="G152" s="385" t="n"/>
      <c r="H152" s="260" t="inlineStr">
        <is>
          <t>ระดับ (Auto)</t>
        </is>
      </c>
      <c r="I152" s="385" t="n"/>
      <c r="J152" s="385" t="n"/>
      <c r="K152" s="260" t="inlineStr">
        <is>
          <t>ผ่าน?</t>
        </is>
      </c>
      <c r="L152" s="385" t="n"/>
      <c r="M152" s="385" t="n"/>
      <c r="N152" s="260" t="inlineStr">
        <is>
          <t>หลักฐาน/สิ่งที่สังเกต</t>
        </is>
      </c>
      <c r="O152" s="385" t="n"/>
      <c r="P152" s="385" t="n"/>
    </row>
    <row r="153" ht="19.5" customHeight="1">
      <c r="B153" s="340" t="inlineStr">
        <is>
          <t>1. เข้าถึงและเข้าใจบทเรียน</t>
        </is>
      </c>
      <c r="C153" s="369" t="n"/>
      <c r="D153" s="369" t="n"/>
      <c r="E153" s="332" t="inlineStr">
        <is>
          <t>Concept Cartoon + วิดีโอ</t>
        </is>
      </c>
      <c r="F153" s="369" t="n"/>
      <c r="G153" s="369" t="n"/>
      <c r="H153" s="333">
        <f>IFERROR(IF('🎯 บันทึกการสอน Dashboard'!K17&gt;=0.6,"✅","⚠️"),"—")</f>
        <v/>
      </c>
      <c r="I153" s="369" t="n"/>
      <c r="J153" s="310" t="n"/>
      <c r="K153" s="400" t="n"/>
      <c r="L153" s="400" t="n"/>
      <c r="M153" s="400" t="n"/>
      <c r="N153" s="400" t="n"/>
      <c r="O153" s="400" t="n"/>
      <c r="P153" s="400" t="n"/>
      <c r="Q153" s="400" t="n"/>
      <c r="R153" s="400" t="n"/>
    </row>
    <row r="154" ht="19.5" customHeight="1">
      <c r="B154" s="340" t="inlineStr">
        <is>
          <t>2. เชื่อมโยงความรู้เดิม</t>
        </is>
      </c>
      <c r="C154" s="369" t="n"/>
      <c r="D154" s="369" t="n"/>
      <c r="E154" s="332" t="inlineStr">
        <is>
          <t>POE-Predict + KWL</t>
        </is>
      </c>
      <c r="F154" s="369" t="n"/>
      <c r="G154" s="369" t="n"/>
      <c r="H154" s="333">
        <f>IFERROR(IF('🎯 บันทึกการสอน Dashboard'!J17&gt;=1.5,"✅","⚠️"),"—")</f>
        <v/>
      </c>
      <c r="I154" s="369" t="n"/>
      <c r="J154" s="310" t="n"/>
      <c r="K154" s="400" t="n"/>
      <c r="L154" s="400" t="n"/>
      <c r="M154" s="400" t="n"/>
      <c r="N154" s="400" t="n"/>
      <c r="O154" s="400" t="n"/>
      <c r="P154" s="400" t="n"/>
      <c r="Q154" s="400" t="n"/>
      <c r="R154" s="400" t="n"/>
    </row>
    <row r="155" ht="19.5" customHeight="1">
      <c r="B155" s="340" t="inlineStr">
        <is>
          <t>3. สร้างความรู้เอง</t>
        </is>
      </c>
      <c r="C155" s="369" t="n"/>
      <c r="D155" s="369" t="n"/>
      <c r="E155" s="332" t="inlineStr">
        <is>
          <t>ทดลองสปริง + PhET</t>
        </is>
      </c>
      <c r="F155" s="369" t="n"/>
      <c r="G155" s="369" t="n"/>
      <c r="H155" s="333">
        <f>IFERROR(IF('🎯 บันทึกการสอน Dashboard'!J17&gt;=2,"✅","⚠️"),"—")</f>
        <v/>
      </c>
      <c r="I155" s="369" t="n"/>
      <c r="J155" s="310" t="n"/>
      <c r="K155" s="400" t="n"/>
      <c r="L155" s="400" t="n"/>
      <c r="M155" s="400" t="n"/>
      <c r="N155" s="400" t="n"/>
      <c r="O155" s="400" t="n"/>
      <c r="P155" s="400" t="n"/>
      <c r="Q155" s="400" t="n"/>
      <c r="R155" s="400" t="n"/>
    </row>
    <row r="156" ht="19.5" customHeight="1">
      <c r="B156" s="340" t="inlineStr">
        <is>
          <t>4. แรงจูงใจ</t>
        </is>
      </c>
      <c r="C156" s="369" t="n"/>
      <c r="D156" s="369" t="n"/>
      <c r="E156" s="332" t="inlineStr">
        <is>
          <t>Traffic Lights + Brain Break</t>
        </is>
      </c>
      <c r="F156" s="369" t="n"/>
      <c r="G156" s="369" t="n"/>
      <c r="H156" s="333">
        <f>IFERROR(IF('🎯 บันทึกการสอน Dashboard'!F17&gt;='🎯 บันทึกการสอน Dashboard'!H17,"✅","⚠️"),"—")</f>
        <v/>
      </c>
      <c r="I156" s="369" t="n"/>
      <c r="J156" s="310" t="n"/>
      <c r="K156" s="400" t="n"/>
      <c r="L156" s="400" t="n"/>
      <c r="M156" s="400" t="n"/>
      <c r="N156" s="400" t="n"/>
      <c r="O156" s="400" t="n"/>
      <c r="P156" s="400" t="n"/>
      <c r="Q156" s="400" t="n"/>
      <c r="R156" s="400" t="n"/>
    </row>
    <row r="157" ht="19.5" customHeight="1">
      <c r="B157" s="340" t="inlineStr">
        <is>
          <t>5. พัฒนาทักษะเชี่ยวชาญ</t>
        </is>
      </c>
      <c r="C157" s="369" t="n"/>
      <c r="D157" s="369" t="n"/>
      <c r="E157" s="332" t="inlineStr">
        <is>
          <t>Spot the Error + Matrix</t>
        </is>
      </c>
      <c r="F157" s="369" t="n"/>
      <c r="G157" s="369" t="n"/>
      <c r="H157" s="333">
        <f>IFERROR(IF('🎯 บันทึกการสอน Dashboard'!I17&gt;=0.7,"✅","⚠️"),"—")</f>
        <v/>
      </c>
      <c r="I157" s="369" t="n"/>
      <c r="J157" s="310" t="n"/>
      <c r="K157" s="400" t="n"/>
      <c r="L157" s="400" t="n"/>
      <c r="M157" s="400" t="n"/>
      <c r="N157" s="400" t="n"/>
      <c r="O157" s="400" t="n"/>
      <c r="P157" s="400" t="n"/>
      <c r="Q157" s="400" t="n"/>
      <c r="R157" s="400" t="n"/>
    </row>
    <row r="158" ht="19.5" customHeight="1">
      <c r="B158" s="340" t="inlineStr">
        <is>
          <t>6. Feedback ปรับปรุง</t>
        </is>
      </c>
      <c r="C158" s="369" t="n"/>
      <c r="D158" s="369" t="n"/>
      <c r="E158" s="332" t="inlineStr">
        <is>
          <t>Concept Cartoon เฉลย + 3-2-1</t>
        </is>
      </c>
      <c r="F158" s="369" t="n"/>
      <c r="G158" s="369" t="n"/>
      <c r="H158" s="333">
        <f>IFERROR(IF('🎯 บันทึกการสอน Dashboard'!H17&lt;=5,"✅","⚠️"),"—")</f>
        <v/>
      </c>
      <c r="I158" s="369" t="n"/>
      <c r="J158" s="310" t="n"/>
      <c r="K158" s="400" t="n"/>
      <c r="L158" s="400" t="n"/>
      <c r="M158" s="400" t="n"/>
      <c r="N158" s="400" t="n"/>
      <c r="O158" s="400" t="n"/>
      <c r="P158" s="400" t="n"/>
      <c r="Q158" s="400" t="n"/>
      <c r="R158" s="400" t="n"/>
    </row>
    <row r="159" ht="19.5" customHeight="1">
      <c r="B159" s="340" t="inlineStr">
        <is>
          <t>7. บรรยากาศชั้นเรียน</t>
        </is>
      </c>
      <c r="C159" s="369" t="n"/>
      <c r="D159" s="369" t="n"/>
      <c r="E159" s="332" t="inlineStr">
        <is>
          <t>Talking Chips + Visual Timer</t>
        </is>
      </c>
      <c r="F159" s="369" t="n"/>
      <c r="G159" s="369" t="n"/>
      <c r="H159" s="333">
        <f>IFERROR(IF('🎯 บันทึกการสอน Dashboard'!M17="✅ ดีมาก","✅","⚠️"),"—")</f>
        <v/>
      </c>
      <c r="I159" s="369" t="n"/>
      <c r="J159" s="310" t="n"/>
      <c r="K159" s="400" t="n"/>
      <c r="L159" s="400" t="n"/>
      <c r="M159" s="400" t="n"/>
      <c r="N159" s="400" t="n"/>
      <c r="O159" s="400" t="n"/>
      <c r="P159" s="400" t="n"/>
      <c r="Q159" s="400" t="n"/>
      <c r="R159" s="400" t="n"/>
    </row>
    <row r="160" ht="19.5" customHeight="1">
      <c r="B160" s="340" t="inlineStr">
        <is>
          <t>8. กำกับตนเอง</t>
        </is>
      </c>
      <c r="C160" s="369" t="n"/>
      <c r="D160" s="369" t="n"/>
      <c r="E160" s="332" t="inlineStr">
        <is>
          <t>3-2-1 Journal + Goal Setting</t>
        </is>
      </c>
      <c r="F160" s="369" t="n"/>
      <c r="G160" s="369" t="n"/>
      <c r="H160" s="333">
        <f>IFERROR(IF('🎯 บันทึกการสอน Dashboard'!I17&gt;=0.6,"✅","⚠️"),"—")</f>
        <v/>
      </c>
      <c r="I160" s="369" t="n"/>
      <c r="J160" s="310" t="n"/>
      <c r="K160" s="400" t="n"/>
      <c r="L160" s="400" t="n"/>
      <c r="M160" s="400" t="n"/>
      <c r="N160" s="400" t="n"/>
      <c r="O160" s="400" t="n"/>
      <c r="P160" s="400" t="n"/>
      <c r="Q160" s="400" t="n"/>
      <c r="R160" s="400" t="n"/>
    </row>
    <row r="161" ht="19.5" customHeight="1">
      <c r="B161" s="311" t="inlineStr">
        <is>
          <t>ส่วนที่ 8 — แนวทางปรับปรุง + Mini-trend เทียบแผนก่อน</t>
        </is>
      </c>
      <c r="C161" s="385" t="n"/>
      <c r="D161" s="385" t="n"/>
      <c r="E161" s="385" t="n"/>
      <c r="F161" s="385" t="n"/>
      <c r="G161" s="385" t="n"/>
      <c r="H161" s="385" t="n"/>
      <c r="I161" s="385" t="n"/>
      <c r="J161" s="385" t="n"/>
      <c r="K161" s="385" t="n"/>
      <c r="L161" s="385" t="n"/>
      <c r="M161" s="385" t="n"/>
      <c r="N161" s="385" t="n"/>
      <c r="O161" s="385" t="n"/>
      <c r="P161" s="385" t="n"/>
      <c r="Q161" s="385" t="n"/>
      <c r="R161" s="385" t="n"/>
    </row>
    <row r="162" ht="18" customHeight="1">
      <c r="B162" s="157" t="inlineStr">
        <is>
          <t>📌 Try ที่ตั้งใจทำจากแผนที่ 2 (Auto)</t>
        </is>
      </c>
      <c r="C162" s="337" t="inlineStr">
        <is>
          <t>← ดูจากแผนที่ 2 ส่วนที่ 8 ช่อง Try</t>
        </is>
      </c>
      <c r="D162" s="369" t="n"/>
      <c r="E162" s="369" t="n"/>
      <c r="F162" s="369" t="n"/>
      <c r="G162" s="369" t="n"/>
      <c r="H162" s="369" t="n"/>
      <c r="I162" s="369" t="n"/>
      <c r="J162" s="369" t="n"/>
    </row>
    <row r="163" ht="19.5" customHeight="1">
      <c r="B163" s="157" t="inlineStr">
        <is>
          <t>📈 Mini-trend (เทียบแผนก่อน)</t>
        </is>
      </c>
      <c r="C163" s="334">
        <f>IFERROR("Sound: "&amp;TEXT('🎯 บันทึกการสอน Dashboard'!K17,"0%")&amp;" vs "&amp;TEXT('🎯 บันทึกการสอน Dashboard'!K16,"0%")&amp;IF('🎯 บันทึกการสอน Dashboard'!K17&gt;'🎯 บันทึกการสอน Dashboard'!K16," ▲ ดีขึ้น",IF('🎯 บันทึกการสอน Dashboard'!K17&lt;'🎯 บันทึกการสอน Dashboard'!K16," ▼ ลดลง"," = คงที่")),"กรอกข้อมูลก่อน")</f>
        <v/>
      </c>
      <c r="D163" s="369" t="n"/>
      <c r="E163" s="369" t="n"/>
      <c r="F163" s="369" t="n"/>
      <c r="G163" s="369" t="n"/>
      <c r="H163" s="369" t="n"/>
      <c r="I163" s="369" t="n"/>
      <c r="J163" s="369" t="n"/>
    </row>
    <row r="164" ht="18" customHeight="1">
      <c r="B164" s="260" t="inlineStr">
        <is>
          <t>✅ Keep — สิ่งที่ได้ผล ควรคงไว้</t>
        </is>
      </c>
      <c r="C164" s="385" t="n"/>
      <c r="D164" s="385" t="n"/>
      <c r="E164" s="385" t="n"/>
      <c r="F164" s="385" t="n"/>
      <c r="G164" s="335" t="inlineStr">
        <is>
          <t>🔄 Change — สิ่งที่ต้องปรับปรุง</t>
        </is>
      </c>
      <c r="H164" s="404" t="n"/>
      <c r="I164" s="404" t="n"/>
      <c r="J164" s="404" t="n"/>
      <c r="K164" s="404" t="n"/>
      <c r="L164" s="336" t="inlineStr">
        <is>
          <t>🆕 Try — สิ่งที่จะลองทำในแผนถัดไป</t>
        </is>
      </c>
      <c r="M164" s="406" t="n"/>
      <c r="N164" s="406" t="n"/>
      <c r="O164" s="406" t="n"/>
      <c r="P164" s="406" t="n"/>
    </row>
    <row r="165" ht="19.5" customHeight="1">
      <c r="B165" s="312" t="n"/>
      <c r="C165" s="402" t="n"/>
      <c r="D165" s="402" t="n"/>
      <c r="E165" s="402" t="n"/>
      <c r="F165" s="402" t="n"/>
      <c r="G165" s="312" t="n"/>
      <c r="H165" s="402" t="n"/>
      <c r="I165" s="402" t="n"/>
      <c r="J165" s="402" t="n"/>
      <c r="K165" s="402" t="n"/>
      <c r="L165" s="312" t="n"/>
      <c r="M165" s="402" t="n"/>
      <c r="N165" s="402" t="n"/>
      <c r="O165" s="402" t="n"/>
      <c r="P165" s="402" t="n"/>
    </row>
    <row r="166" ht="19.5" customHeight="1">
      <c r="B166" s="403" t="n"/>
      <c r="G166" s="403" t="n"/>
      <c r="L166" s="403" t="n"/>
    </row>
    <row r="167" ht="19.5" customHeight="1">
      <c r="B167" s="403" t="n"/>
      <c r="G167" s="403" t="n"/>
      <c r="L167" s="403" t="n"/>
    </row>
    <row r="168" ht="19.5" customHeight="1">
      <c r="B168" s="157" t="inlineStr">
        <is>
          <t>📌 เนื้อหา/ทักษะที่จะทบทวนต้นคาบแผนที่ 4:</t>
        </is>
      </c>
      <c r="C168" s="312" t="n"/>
      <c r="D168" s="402" t="n"/>
      <c r="E168" s="402" t="n"/>
      <c r="F168" s="402" t="n"/>
      <c r="G168" s="402" t="n"/>
      <c r="H168" s="402" t="n"/>
      <c r="I168" s="402" t="n"/>
      <c r="J168" s="402" t="n"/>
      <c r="K168" s="402" t="n"/>
      <c r="L168" s="402" t="n"/>
      <c r="M168" s="402" t="n"/>
      <c r="N168" s="402" t="n"/>
      <c r="O168" s="402" t="n"/>
      <c r="P168" s="402" t="n"/>
      <c r="Q168" s="402" t="n"/>
      <c r="R168" s="402" t="n"/>
    </row>
    <row r="169" ht="19.5" customHeight="1">
      <c r="C169" s="403" t="n"/>
    </row>
    <row r="170" ht="12" customHeight="1"/>
    <row r="171" ht="24" customHeight="1">
      <c r="B171" s="338" t="inlineStr">
        <is>
          <t>▌ แผนการสอนที่ 4  |  อัตราเร็วของคลื่น (2): สรุปและฝึกปัญหา  |  คาบที่ 7  |  อ้างอิง 9.2</t>
        </is>
      </c>
      <c r="C171" s="379" t="n"/>
      <c r="D171" s="379" t="n"/>
      <c r="E171" s="379" t="n"/>
      <c r="F171" s="379" t="n"/>
      <c r="G171" s="379" t="n"/>
      <c r="H171" s="379" t="n"/>
      <c r="I171" s="379" t="n"/>
      <c r="J171" s="379" t="n"/>
      <c r="K171" s="379" t="n"/>
      <c r="L171" s="379" t="n"/>
      <c r="M171" s="379" t="n"/>
      <c r="N171" s="379" t="n"/>
      <c r="O171" s="379" t="n"/>
      <c r="P171" s="379" t="n"/>
      <c r="Q171" s="379" t="n"/>
      <c r="R171" s="379" t="n"/>
    </row>
    <row r="172" ht="18" customHeight="1">
      <c r="B172" s="339" t="inlineStr">
        <is>
          <t>จำนวนนักเรียน (Auto):</t>
        </is>
      </c>
      <c r="D172" s="305">
        <f>COUNTA('📥 ข้อมูลนักเรียน'!C4:C43)&amp;" คน"</f>
        <v/>
      </c>
      <c r="E172" s="398" t="n"/>
      <c r="L172" s="339" t="inlineStr">
        <is>
          <t>วันที่สอน:</t>
        </is>
      </c>
      <c r="M172" s="306" t="n"/>
      <c r="N172" s="399" t="n"/>
      <c r="O172" s="339" t="inlineStr">
        <is>
          <t>เวลาที่ใช้ (นาที):</t>
        </is>
      </c>
      <c r="P172" s="306" t="n"/>
      <c r="Q172" s="400" t="n"/>
      <c r="R172" s="399" t="n"/>
    </row>
    <row r="173" ht="19.5" customHeight="1">
      <c r="B173" s="311" t="inlineStr">
        <is>
          <t>ส่วนที่ 1 — ผลการจัดกิจกรรม 5E</t>
        </is>
      </c>
      <c r="C173" s="385" t="n"/>
      <c r="D173" s="385" t="n"/>
      <c r="E173" s="385" t="n"/>
      <c r="F173" s="385" t="n"/>
      <c r="G173" s="385" t="n"/>
      <c r="H173" s="385" t="n"/>
      <c r="I173" s="385" t="n"/>
      <c r="J173" s="385" t="n"/>
      <c r="L173" s="311" t="inlineStr">
        <is>
          <t>✏️ สิ่งที่สังเกต / หมายเหตุ</t>
        </is>
      </c>
      <c r="M173" s="385" t="n"/>
      <c r="N173" s="385" t="n"/>
      <c r="O173" s="385" t="n"/>
      <c r="P173" s="385" t="n"/>
      <c r="Q173" s="385" t="n"/>
      <c r="R173" s="385" t="n"/>
    </row>
    <row r="174" ht="15.75" customHeight="1">
      <c r="B174" s="150" t="inlineStr">
        <is>
          <t>ขั้น 5E</t>
        </is>
      </c>
      <c r="C174" s="308" t="inlineStr">
        <is>
          <t>ตัวชี้วัด / ผล (Auto)</t>
        </is>
      </c>
      <c r="D174" s="369" t="n"/>
      <c r="E174" s="369" t="n"/>
      <c r="F174" s="369" t="n"/>
      <c r="G174" s="308" t="inlineStr">
        <is>
          <t>ระดับ (Auto)</t>
        </is>
      </c>
      <c r="H174" s="369" t="n"/>
      <c r="I174" s="369" t="n"/>
      <c r="J174" s="369" t="n"/>
      <c r="L174" s="308" t="inlineStr">
        <is>
          <t>บันทึกสั้น (2–3 บรรทัด)</t>
        </is>
      </c>
      <c r="M174" s="369" t="n"/>
      <c r="N174" s="369" t="n"/>
      <c r="O174" s="369" t="n"/>
      <c r="P174" s="369" t="n"/>
      <c r="Q174" s="369" t="n"/>
      <c r="R174" s="369" t="n"/>
    </row>
    <row r="175" ht="21.75" customHeight="1">
      <c r="B175" s="152" t="inlineStr">
        <is>
          <t>🔵 Engage</t>
        </is>
      </c>
      <c r="C175" s="285">
        <f>IF('🎯 บันทึกการสอน Dashboard'!F18&gt;0,'🎯 บันทึกการสอน Dashboard'!F18&amp;" คน 🟢","—")</f>
        <v/>
      </c>
      <c r="D175" s="369" t="n"/>
      <c r="E175" s="369" t="n"/>
      <c r="F175" s="369" t="n"/>
      <c r="G175" s="309">
        <f>IFERROR(IF('🎯 บันทึกการสอน Dashboard'!F18+IFERROR('🎯 บันทึกการสอน Dashboard'!G18,0)+IFERROR('🎯 บันทึกการสอน Dashboard'!H18,0)&gt;0,IF('🎯 บันทึกการสอน Dashboard'!F18/('🎯 บันทึกการสอน Dashboard'!F18+IFERROR('🎯 บันทึกการสอน Dashboard'!G18,0)+IFERROR('🎯 บันทึกการสอน Dashboard'!H18,0))&gt;=0.5,"✅ ดี","⚠️ ต่ำ"),"ยังไม่กรอก"),"—")</f>
        <v/>
      </c>
      <c r="H175" s="369" t="n"/>
      <c r="I175" s="369" t="n"/>
      <c r="J175" s="369" t="n"/>
      <c r="L175" s="310" t="n"/>
      <c r="M175" s="400" t="n"/>
      <c r="N175" s="400" t="n"/>
      <c r="O175" s="400" t="n"/>
      <c r="P175" s="400" t="n"/>
      <c r="Q175" s="400" t="n"/>
      <c r="R175" s="400" t="n"/>
    </row>
    <row r="176" ht="21.75" customHeight="1">
      <c r="B176" s="152" t="inlineStr">
        <is>
          <t>🟠 Explore</t>
        </is>
      </c>
      <c r="C176" s="285">
        <f>IF('🎯 บันทึกการสอน Dashboard'!J18&gt;0,"POE avg: "&amp;TEXT('🎯 บันทึกการสอน Dashboard'!J18,"0.00"),"—")</f>
        <v/>
      </c>
      <c r="D176" s="369" t="n"/>
      <c r="E176" s="369" t="n"/>
      <c r="F176" s="369" t="n"/>
      <c r="G176" s="309">
        <f>IF(ISNUMBER('🎯 บันทึกการสอน Dashboard'!J18),IF('🎯 บันทึกการสอน Dashboard'!J18&gt;=2,"✅ ดี","⚠️ ต่ำ"),"—")</f>
        <v/>
      </c>
      <c r="H176" s="369" t="n"/>
      <c r="I176" s="369" t="n"/>
      <c r="J176" s="369" t="n"/>
      <c r="L176" s="310" t="n"/>
      <c r="M176" s="400" t="n"/>
      <c r="N176" s="400" t="n"/>
      <c r="O176" s="400" t="n"/>
      <c r="P176" s="400" t="n"/>
      <c r="Q176" s="400" t="n"/>
      <c r="R176" s="400" t="n"/>
    </row>
    <row r="177" ht="21.75" customHeight="1">
      <c r="B177" s="152" t="inlineStr">
        <is>
          <t>🟢 Explain</t>
        </is>
      </c>
      <c r="C177" s="285">
        <f>IF('🎯 บันทึกการสอน Dashboard'!K18&gt;0,"Sound: "&amp;TEXT('🎯 บันทึกการสอน Dashboard'!K18,"0%"),"—")</f>
        <v/>
      </c>
      <c r="D177" s="369" t="n"/>
      <c r="E177" s="369" t="n"/>
      <c r="F177" s="369" t="n"/>
      <c r="G177" s="309">
        <f>IF(ISNUMBER('🎯 บันทึกการสอน Dashboard'!K18),IF('🎯 บันทึกการสอน Dashboard'!K18&gt;=0.7,"✅ ดี","⚠️ ต่ำ"),"—")</f>
        <v/>
      </c>
      <c r="H177" s="369" t="n"/>
      <c r="I177" s="369" t="n"/>
      <c r="J177" s="369" t="n"/>
      <c r="L177" s="310" t="n"/>
      <c r="M177" s="400" t="n"/>
      <c r="N177" s="400" t="n"/>
      <c r="O177" s="400" t="n"/>
      <c r="P177" s="400" t="n"/>
      <c r="Q177" s="400" t="n"/>
      <c r="R177" s="400" t="n"/>
    </row>
    <row r="178" ht="21.75" customHeight="1">
      <c r="B178" s="152" t="inlineStr">
        <is>
          <t>🟡 Elaborate</t>
        </is>
      </c>
      <c r="C178" s="285" t="inlineStr">
        <is>
          <t>ดูผลใบงาน/Spot the Error</t>
        </is>
      </c>
      <c r="D178" s="369" t="n"/>
      <c r="E178" s="369" t="n"/>
      <c r="F178" s="369" t="n"/>
      <c r="G178" s="309" t="inlineStr">
        <is>
          <t>กรอกเอง</t>
        </is>
      </c>
      <c r="H178" s="369" t="n"/>
      <c r="I178" s="369" t="n"/>
      <c r="J178" s="369" t="n"/>
      <c r="L178" s="310" t="n"/>
      <c r="M178" s="400" t="n"/>
      <c r="N178" s="400" t="n"/>
      <c r="O178" s="400" t="n"/>
      <c r="P178" s="400" t="n"/>
      <c r="Q178" s="400" t="n"/>
      <c r="R178" s="400" t="n"/>
    </row>
    <row r="179" ht="21.75" customHeight="1">
      <c r="B179" s="152" t="inlineStr">
        <is>
          <t>🔴 Evaluate</t>
        </is>
      </c>
      <c r="C179" s="285">
        <f>IF('🎯 บันทึกการสอน Dashboard'!H18&gt;0,"🔴 "&amp;'🎯 บันทึกการสอน Dashboard'!H18&amp;" คน","ยังไม่กรอก")</f>
        <v/>
      </c>
      <c r="D179" s="369" t="n"/>
      <c r="E179" s="369" t="n"/>
      <c r="F179" s="369" t="n"/>
      <c r="G179" s="309">
        <f>IF(ISNUMBER('🎯 บันทึกการสอน Dashboard'!H18),IF('🎯 บันทึกการสอน Dashboard'!H18&lt;=5,"✅ น้อย","⚠️ มาก"),"—")</f>
        <v/>
      </c>
      <c r="H179" s="369" t="n"/>
      <c r="I179" s="369" t="n"/>
      <c r="J179" s="369" t="n"/>
      <c r="L179" s="310" t="n"/>
      <c r="M179" s="400" t="n"/>
      <c r="N179" s="400" t="n"/>
      <c r="O179" s="400" t="n"/>
      <c r="P179" s="400" t="n"/>
      <c r="Q179" s="400" t="n"/>
      <c r="R179" s="400" t="n"/>
    </row>
    <row r="180" ht="19.5" customHeight="1">
      <c r="B180" s="311" t="inlineStr">
        <is>
          <t>ส่วนที่ 2 — ผลการทำ POE (1 ครั้ง)</t>
        </is>
      </c>
      <c r="C180" s="385" t="n"/>
      <c r="D180" s="385" t="n"/>
      <c r="E180" s="385" t="n"/>
      <c r="F180" s="385" t="n"/>
      <c r="G180" s="385" t="n"/>
      <c r="H180" s="385" t="n"/>
      <c r="I180" s="385" t="n"/>
      <c r="J180" s="385" t="n"/>
      <c r="L180" s="311" t="inlineStr">
        <is>
          <t>✏️ ตัวอย่างคำพูดนักเรียน / ข้อค้นพบ</t>
        </is>
      </c>
      <c r="M180" s="385" t="n"/>
      <c r="N180" s="385" t="n"/>
      <c r="O180" s="385" t="n"/>
      <c r="P180" s="385" t="n"/>
      <c r="Q180" s="385" t="n"/>
      <c r="R180" s="385" t="n"/>
    </row>
    <row r="181" ht="27.75" customHeight="1">
      <c r="B181" s="152" t="inlineStr">
        <is>
          <t>POE#1: λ เปลี่ยนอย่างไรเมื่อ f เพิ่ม 2 เท่า</t>
        </is>
      </c>
      <c r="C181" s="285">
        <f>IFERROR("P avg: "&amp;TEXT(AVERAGE('🔬 POE บันทึก'!J4:J43),"0.0")&amp;"  |  E avg: "&amp;TEXT(AVERAGE('🔬 POE บันทึก'!K4:K43),"0.0"),"—")</f>
        <v/>
      </c>
      <c r="D181" s="369" t="n"/>
      <c r="E181" s="369" t="n"/>
      <c r="F181" s="369" t="n"/>
      <c r="G181" s="309">
        <f>IFERROR(IF(AVERAGE('🔬 POE บันทึก'!K4:K43)&gt;=2,"✅ Conceptual Change","⚠️ ยังไม่เปลี่ยน"),"—")</f>
        <v/>
      </c>
      <c r="H181" s="369" t="n"/>
      <c r="I181" s="369" t="n"/>
      <c r="J181" s="369" t="n"/>
      <c r="L181" s="312" t="n"/>
      <c r="M181" s="402" t="n"/>
      <c r="N181" s="402" t="n"/>
      <c r="O181" s="402" t="n"/>
      <c r="P181" s="402" t="n"/>
      <c r="Q181" s="402" t="n"/>
      <c r="R181" s="402" t="n"/>
    </row>
    <row r="182" ht="15" customHeight="1">
      <c r="L182" s="403" t="n"/>
    </row>
    <row r="183" ht="19.5" customHeight="1">
      <c r="B183" s="311" t="inlineStr">
        <is>
          <t>ส่วนที่ 3 — การบรรลุวัตถุประสงค์การเรียนรู้ (Auto จาก Four-tier + ตัวชี้วัด)</t>
        </is>
      </c>
      <c r="C183" s="385" t="n"/>
      <c r="D183" s="385" t="n"/>
      <c r="E183" s="385" t="n"/>
      <c r="F183" s="385" t="n"/>
      <c r="G183" s="385" t="n"/>
      <c r="H183" s="385" t="n"/>
      <c r="I183" s="385" t="n"/>
      <c r="J183" s="385" t="n"/>
      <c r="K183" s="385" t="n"/>
      <c r="L183" s="385" t="n"/>
      <c r="M183" s="385" t="n"/>
      <c r="N183" s="385" t="n"/>
      <c r="O183" s="385" t="n"/>
      <c r="P183" s="385" t="n"/>
      <c r="Q183" s="385" t="n"/>
      <c r="R183" s="385" t="n"/>
    </row>
    <row r="184" ht="18" customHeight="1">
      <c r="B184" s="100" t="inlineStr">
        <is>
          <t>วัตถุประสงค์</t>
        </is>
      </c>
      <c r="C184" s="100" t="inlineStr">
        <is>
          <t>ตัวชี้วัด</t>
        </is>
      </c>
      <c r="D184" s="260" t="inlineStr">
        <is>
          <t>n ผ่านเกณฑ์ (Auto)</t>
        </is>
      </c>
      <c r="E184" s="385" t="n"/>
      <c r="F184" s="100" t="inlineStr">
        <is>
          <t>% (Auto)</t>
        </is>
      </c>
      <c r="G184" s="260" t="inlineStr">
        <is>
          <t>ผ่าน? (Auto)</t>
        </is>
      </c>
      <c r="H184" s="385" t="n"/>
      <c r="I184" s="260" t="inlineStr">
        <is>
          <t>หลักฐาน/วิธีวัด</t>
        </is>
      </c>
      <c r="J184" s="385" t="n"/>
      <c r="K184" s="385" t="n"/>
    </row>
    <row r="185" ht="21.75" customHeight="1">
      <c r="B185" s="169" t="inlineStr">
        <is>
          <t>1. แก้ปัญหาคำนวณ v = fλ ในสถานการณ์หลากหลายได้</t>
        </is>
      </c>
      <c r="C185" s="155" t="inlineStr">
        <is>
          <t>ว 2.2 ม.5/4</t>
        </is>
      </c>
      <c r="D185" s="314">
        <f>IFERROR(ROUND('🤖 Four-tier วิเคราะห์'!J90*COUNTA('📥 ข้อมูลนักเรียน'!C4:C43),0),"—")</f>
        <v/>
      </c>
      <c r="E185" s="369" t="n"/>
      <c r="F185" s="79">
        <f>IFERROR('🤖 Four-tier วิเคราะห์'!J90,"—")</f>
        <v/>
      </c>
      <c r="G185" s="315">
        <f>IFERROR(IF('🤖 Four-tier วิเคราะห์'!J90&gt;=0.8,"✅ ผ่าน (≥80%)","❌ ไม่ผ่าน (&lt;80%)"),"—")</f>
        <v/>
      </c>
      <c r="H185" s="369" t="n"/>
      <c r="I185" s="310" t="n"/>
      <c r="J185" s="400" t="n"/>
      <c r="K185" s="400" t="n"/>
      <c r="L185" s="400" t="n"/>
      <c r="M185" s="400" t="n"/>
      <c r="N185" s="400" t="n"/>
      <c r="O185" s="400" t="n"/>
      <c r="P185" s="400" t="n"/>
      <c r="Q185" s="400" t="n"/>
      <c r="R185" s="400" t="n"/>
    </row>
    <row r="186" ht="21.75" customHeight="1">
      <c r="B186" s="169" t="inlineStr">
        <is>
          <t>2. วิเคราะห์โจทย์เชิงคุณภาพเกี่ยวกับ v ได้</t>
        </is>
      </c>
      <c r="C186" s="155" t="inlineStr">
        <is>
          <t>ว 2.2 ม.5/4</t>
        </is>
      </c>
      <c r="D186" s="314">
        <f>IFERROR(ROUND('🤖 Four-tier วิเคราะห์'!K90*COUNTA('📥 ข้อมูลนักเรียน'!C4:C43),0),"—")</f>
        <v/>
      </c>
      <c r="E186" s="369" t="n"/>
      <c r="F186" s="79">
        <f>IFERROR('🤖 Four-tier วิเคราะห์'!K90,"—")</f>
        <v/>
      </c>
      <c r="G186" s="315">
        <f>IFERROR(IF('🤖 Four-tier วิเคราะห์'!K90&gt;=0.8,"✅ ผ่าน (≥80%)","❌ ไม่ผ่าน (&lt;80%)"),"—")</f>
        <v/>
      </c>
      <c r="H186" s="369" t="n"/>
      <c r="I186" s="310" t="n"/>
      <c r="J186" s="400" t="n"/>
      <c r="K186" s="400" t="n"/>
      <c r="L186" s="400" t="n"/>
      <c r="M186" s="400" t="n"/>
      <c r="N186" s="400" t="n"/>
      <c r="O186" s="400" t="n"/>
      <c r="P186" s="400" t="n"/>
      <c r="Q186" s="400" t="n"/>
      <c r="R186" s="400" t="n"/>
    </row>
    <row r="187" ht="21.75" customHeight="1">
      <c r="B187" s="170" t="inlineStr">
        <is>
          <t>ภาพรวมแผนนี้</t>
        </is>
      </c>
      <c r="C187" s="316">
        <f>IFERROR(AVERAGE('🤖 Four-tier วิเคราะห์'!J90,'🤖 Four-tier วิเคราะห์'!K90),0)</f>
        <v/>
      </c>
      <c r="D187" s="369" t="n"/>
      <c r="E187" s="369" t="n"/>
      <c r="F187" s="314">
        <f>IFERROR((IF(ISNUMBER('🤖 Four-tier วิเคราะห์'!I90),IF('🤖 Four-tier วิเคราะห์'!I90&gt;=0.8,1,0),0)+IF(ISNUMBER('🤖 Four-tier วิเคราะห์'!J90),IF('🤖 Four-tier วิเคราะห์'!J90&gt;=0.8,1,0),0))&amp;"/2 วัตถุประสงค์ผ่าน","—")</f>
        <v/>
      </c>
      <c r="G187" s="369" t="n"/>
      <c r="H187" s="369" t="n"/>
      <c r="I187" s="318">
        <f>IFERROR(IF(AVERAGE('🤖 Four-tier วิเคราะห์'!J90,'🤖 Four-tier วิเคราะห์'!K90)&gt;=0.8,"✅ บรรลุเกณฑ์ภาพรวม","⚠️ ยังต่ำกว่าเกณฑ์"),"—")</f>
        <v/>
      </c>
      <c r="J187" s="369" t="n"/>
      <c r="K187" s="369" t="n"/>
      <c r="L187" s="369" t="n"/>
      <c r="M187" s="369" t="n"/>
      <c r="N187" s="369" t="n"/>
      <c r="O187" s="369" t="n"/>
      <c r="P187" s="369" t="n"/>
      <c r="Q187" s="369" t="n"/>
      <c r="R187" s="369" t="n"/>
    </row>
    <row r="188" ht="19.5" customHeight="1">
      <c r="B188" s="311" t="inlineStr">
        <is>
          <t>ส่วนที่ 4 — พฤติกรรมนักเรียนและการมีส่วนร่วม</t>
        </is>
      </c>
      <c r="C188" s="385" t="n"/>
      <c r="D188" s="385" t="n"/>
      <c r="E188" s="385" t="n"/>
      <c r="F188" s="385" t="n"/>
      <c r="G188" s="385" t="n"/>
      <c r="H188" s="385" t="n"/>
      <c r="I188" s="385" t="n"/>
      <c r="J188" s="385" t="n"/>
      <c r="L188" s="311" t="inlineStr">
        <is>
          <t>✏️ กรอก</t>
        </is>
      </c>
      <c r="M188" s="385" t="n"/>
      <c r="N188" s="385" t="n"/>
      <c r="O188" s="385" t="n"/>
      <c r="P188" s="385" t="n"/>
      <c r="Q188" s="385" t="n"/>
      <c r="R188" s="385" t="n"/>
    </row>
    <row r="189" ht="18" customHeight="1">
      <c r="B189" s="157" t="inlineStr">
        <is>
          <t>🟢 Traffic Light</t>
        </is>
      </c>
      <c r="C189" s="314">
        <f>IFERROR('🎯 บันทึกการสอน Dashboard'!F18,0)&amp;" คน"</f>
        <v/>
      </c>
      <c r="D189" s="369" t="n"/>
      <c r="E189" s="369" t="n"/>
      <c r="F189" s="369" t="n"/>
      <c r="G189" s="369" t="n"/>
      <c r="H189" s="369" t="n"/>
      <c r="I189" s="369" t="n"/>
      <c r="J189" s="369" t="n"/>
      <c r="L189" s="319" t="inlineStr">
        <is>
          <t>นักเรียนที่ต้องดูแลพิเศษ / กลุ่มที่มีส่วนร่วมต่ำ:</t>
        </is>
      </c>
      <c r="M189" s="402" t="n"/>
      <c r="N189" s="402" t="n"/>
      <c r="O189" s="402" t="n"/>
      <c r="P189" s="402" t="n"/>
      <c r="Q189" s="402" t="n"/>
      <c r="R189" s="402" t="n"/>
    </row>
    <row r="190" ht="18" customHeight="1">
      <c r="B190" s="158" t="inlineStr">
        <is>
          <t>🟡 Traffic Light</t>
        </is>
      </c>
      <c r="C190" s="320">
        <f>IFERROR('🎯 บันทึกการสอน Dashboard'!G18,0)&amp;" คน"</f>
        <v/>
      </c>
      <c r="D190" s="369" t="n"/>
      <c r="E190" s="369" t="n"/>
      <c r="F190" s="369" t="n"/>
      <c r="G190" s="369" t="n"/>
      <c r="H190" s="369" t="n"/>
      <c r="I190" s="369" t="n"/>
      <c r="J190" s="369" t="n"/>
      <c r="L190" s="403" t="n"/>
    </row>
    <row r="191" ht="18" customHeight="1">
      <c r="B191" s="159" t="inlineStr">
        <is>
          <t>🔴 Traffic Light</t>
        </is>
      </c>
      <c r="C191" s="321">
        <f>IFERROR('🎯 บันทึกการสอน Dashboard'!H18,0)&amp;" คน"</f>
        <v/>
      </c>
      <c r="D191" s="369" t="n"/>
      <c r="E191" s="369" t="n"/>
      <c r="F191" s="369" t="n"/>
      <c r="G191" s="369" t="n"/>
      <c r="H191" s="369" t="n"/>
      <c r="I191" s="369" t="n"/>
      <c r="J191" s="369" t="n"/>
      <c r="L191" s="403" t="n"/>
    </row>
    <row r="192" ht="18" customHeight="1">
      <c r="B192" s="160" t="inlineStr">
        <is>
          <t>สถานะโดยรวม</t>
        </is>
      </c>
      <c r="C192" s="309">
        <f>IFERROR('🎯 บันทึกการสอน Dashboard'!M18,"ยังไม่กรอก")</f>
        <v/>
      </c>
      <c r="D192" s="369" t="n"/>
      <c r="E192" s="369" t="n"/>
      <c r="F192" s="369" t="n"/>
      <c r="G192" s="369" t="n"/>
      <c r="H192" s="369" t="n"/>
      <c r="I192" s="369" t="n"/>
      <c r="J192" s="369" t="n"/>
      <c r="L192" s="403" t="n"/>
    </row>
    <row r="193" ht="19.5" customHeight="1">
      <c r="B193" s="322" t="inlineStr">
        <is>
          <t>ส่วนที่ 5 — ปัญหา อุปสรรค และข้อค้นพบ</t>
        </is>
      </c>
      <c r="C193" s="404" t="n"/>
      <c r="D193" s="404" t="n"/>
      <c r="E193" s="404" t="n"/>
      <c r="F193" s="404" t="n"/>
      <c r="G193" s="404" t="n"/>
      <c r="H193" s="404" t="n"/>
      <c r="I193" s="404" t="n"/>
      <c r="J193" s="404" t="n"/>
      <c r="L193" s="322" t="inlineStr">
        <is>
          <t>✏️ กรอก</t>
        </is>
      </c>
      <c r="M193" s="404" t="n"/>
      <c r="N193" s="404" t="n"/>
      <c r="O193" s="404" t="n"/>
      <c r="P193" s="404" t="n"/>
      <c r="Q193" s="404" t="n"/>
      <c r="R193" s="404" t="n"/>
    </row>
    <row r="194" ht="18" customHeight="1">
      <c r="B194" s="161" t="inlineStr">
        <is>
          <t>Misconception M1 (Pre)</t>
        </is>
      </c>
      <c r="C194" s="323">
        <f>IFERROR('📊 สรุป Misconception'!D3,"—")</f>
        <v/>
      </c>
      <c r="D194" s="369" t="n"/>
      <c r="E194" s="369" t="n"/>
      <c r="F194" s="369" t="n"/>
      <c r="G194" s="369" t="n"/>
      <c r="H194" s="369" t="n"/>
      <c r="I194" s="369" t="n"/>
      <c r="J194" s="369" t="n"/>
      <c r="L194" s="319" t="inlineStr">
        <is>
          <t>รายละเอียดปัญหา / สิ่งที่ค้นพบระหว่างสอน:</t>
        </is>
      </c>
      <c r="M194" s="402" t="n"/>
      <c r="N194" s="402" t="n"/>
      <c r="O194" s="402" t="n"/>
      <c r="P194" s="402" t="n"/>
      <c r="Q194" s="402" t="n"/>
      <c r="R194" s="402" t="n"/>
    </row>
    <row r="195" ht="18" customHeight="1">
      <c r="B195" s="162" t="inlineStr">
        <is>
          <t>Misconception M1 (Post)</t>
        </is>
      </c>
      <c r="C195" s="324">
        <f>IFERROR('📊 สรุป Misconception'!F3,"—")</f>
        <v/>
      </c>
      <c r="D195" s="369" t="n"/>
      <c r="E195" s="369" t="n"/>
      <c r="F195" s="369" t="n"/>
      <c r="G195" s="369" t="n"/>
      <c r="H195" s="369" t="n"/>
      <c r="I195" s="369" t="n"/>
      <c r="J195" s="369" t="n"/>
      <c r="L195" s="403" t="n"/>
    </row>
    <row r="196" ht="18" customHeight="1">
      <c r="B196" s="163" t="inlineStr">
        <is>
          <t>ระดับ M1</t>
        </is>
      </c>
      <c r="C196" s="325">
        <f>IFERROR('📊 สรุป Misconception'!H3,"—")</f>
        <v/>
      </c>
      <c r="D196" s="369" t="n"/>
      <c r="E196" s="369" t="n"/>
      <c r="F196" s="369" t="n"/>
      <c r="G196" s="369" t="n"/>
      <c r="H196" s="369" t="n"/>
      <c r="I196" s="369" t="n"/>
      <c r="J196" s="369" t="n"/>
      <c r="L196" s="403" t="n"/>
    </row>
    <row r="197" ht="18" customHeight="1">
      <c r="B197" s="161" t="inlineStr">
        <is>
          <t>Misc. ใหม่ที่ไม่คาดคิด</t>
        </is>
      </c>
      <c r="C197" s="323" t="inlineStr">
        <is>
          <t>— ดูจากใบงาน POE —</t>
        </is>
      </c>
      <c r="D197" s="369" t="n"/>
      <c r="E197" s="369" t="n"/>
      <c r="F197" s="369" t="n"/>
      <c r="G197" s="369" t="n"/>
      <c r="H197" s="369" t="n"/>
      <c r="I197" s="369" t="n"/>
      <c r="J197" s="369" t="n"/>
      <c r="L197" s="403" t="n"/>
    </row>
    <row r="198" ht="19.5" customHeight="1">
      <c r="B198" s="326" t="inlineStr">
        <is>
          <t>ส่วนที่ 6 — ข้อมูลเชิงวิจัย (Auto ทั้งหมด)</t>
        </is>
      </c>
      <c r="C198" s="405" t="n"/>
      <c r="D198" s="405" t="n"/>
      <c r="E198" s="405" t="n"/>
      <c r="F198" s="405" t="n"/>
      <c r="G198" s="405" t="n"/>
      <c r="H198" s="405" t="n"/>
      <c r="I198" s="405" t="n"/>
      <c r="J198" s="405" t="n"/>
      <c r="L198" s="326" t="inlineStr">
        <is>
          <t>✏️ กรอก</t>
        </is>
      </c>
      <c r="M198" s="405" t="n"/>
      <c r="N198" s="405" t="n"/>
      <c r="O198" s="405" t="n"/>
      <c r="P198" s="405" t="n"/>
      <c r="Q198" s="405" t="n"/>
      <c r="R198" s="405" t="n"/>
    </row>
    <row r="199" ht="18" customHeight="1">
      <c r="B199" s="164" t="inlineStr">
        <is>
          <t>POE เฉลี่ยแผนนี้</t>
        </is>
      </c>
      <c r="C199" s="327">
        <f>IFERROR('🎯 บันทึกการสอน Dashboard'!J18,"—")</f>
        <v/>
      </c>
      <c r="D199" s="369" t="n"/>
      <c r="E199" s="369" t="n"/>
      <c r="F199" s="369" t="n"/>
      <c r="G199" s="369" t="n"/>
      <c r="H199" s="369" t="n"/>
      <c r="I199" s="369" t="n"/>
      <c r="J199" s="369" t="n"/>
      <c r="L199" s="319" t="inlineStr">
        <is>
          <t>การวิเคราะห์เพิ่มเติม / บันทึกสำหรับบทที่ 4:</t>
        </is>
      </c>
      <c r="M199" s="402" t="n"/>
      <c r="N199" s="402" t="n"/>
      <c r="O199" s="402" t="n"/>
      <c r="P199" s="402" t="n"/>
      <c r="Q199" s="402" t="n"/>
      <c r="R199" s="402" t="n"/>
    </row>
    <row r="200" ht="18" customHeight="1">
      <c r="B200" s="165" t="inlineStr">
        <is>
          <t>% Sound (Post-test)</t>
        </is>
      </c>
      <c r="C200" s="328">
        <f>IFERROR('🎯 บันทึกการสอน Dashboard'!K18,"—")</f>
        <v/>
      </c>
      <c r="D200" s="369" t="n"/>
      <c r="E200" s="369" t="n"/>
      <c r="F200" s="369" t="n"/>
      <c r="G200" s="369" t="n"/>
      <c r="H200" s="369" t="n"/>
      <c r="I200" s="369" t="n"/>
      <c r="J200" s="369" t="n"/>
      <c r="L200" s="403" t="n"/>
    </row>
    <row r="201" ht="18" customHeight="1">
      <c r="B201" s="166" t="inlineStr">
        <is>
          <t>% Misconception (Post)</t>
        </is>
      </c>
      <c r="C201" s="329">
        <f>IFERROR('🎯 บันทึกการสอน Dashboard'!L18,"—")</f>
        <v/>
      </c>
      <c r="D201" s="369" t="n"/>
      <c r="E201" s="369" t="n"/>
      <c r="F201" s="369" t="n"/>
      <c r="G201" s="369" t="n"/>
      <c r="H201" s="369" t="n"/>
      <c r="I201" s="369" t="n"/>
      <c r="J201" s="369" t="n"/>
      <c r="L201" s="403" t="n"/>
    </row>
    <row r="202" ht="18" customHeight="1">
      <c r="B202" s="164" t="inlineStr">
        <is>
          <t>GAP: POE ดีแต่ Misc.</t>
        </is>
      </c>
      <c r="C202" s="330">
        <f>IFERROR(COUNTIF('🔗 POE-Fourtier เทียบ'!H7,"🔴*"),0)&amp;" คน"</f>
        <v/>
      </c>
      <c r="D202" s="369" t="n"/>
      <c r="E202" s="369" t="n"/>
      <c r="F202" s="369" t="n"/>
      <c r="G202" s="369" t="n"/>
      <c r="H202" s="369" t="n"/>
      <c r="I202" s="369" t="n"/>
      <c r="J202" s="369" t="n"/>
      <c r="L202" s="403" t="n"/>
    </row>
    <row r="203" ht="19.5" customHeight="1">
      <c r="B203" s="311" t="inlineStr">
        <is>
          <t>ส่วนที่ 7 — ประเมิน 8 องค์ประกอบ วPA</t>
        </is>
      </c>
      <c r="C203" s="385" t="n"/>
      <c r="D203" s="385" t="n"/>
      <c r="E203" s="385" t="n"/>
      <c r="F203" s="385" t="n"/>
      <c r="G203" s="385" t="n"/>
      <c r="H203" s="385" t="n"/>
      <c r="I203" s="385" t="n"/>
      <c r="J203" s="385" t="n"/>
      <c r="K203" s="385" t="n"/>
      <c r="L203" s="385" t="n"/>
      <c r="M203" s="385" t="n"/>
      <c r="N203" s="385" t="n"/>
      <c r="O203" s="385" t="n"/>
      <c r="P203" s="385" t="n"/>
      <c r="Q203" s="385" t="n"/>
      <c r="R203" s="385" t="n"/>
    </row>
    <row r="204" ht="18" customHeight="1">
      <c r="B204" s="260" t="inlineStr">
        <is>
          <t>องค์ประกอบ วPA</t>
        </is>
      </c>
      <c r="C204" s="385" t="n"/>
      <c r="D204" s="385" t="n"/>
      <c r="E204" s="260" t="inlineStr">
        <is>
          <t>กิจกรรมที่รองรับ</t>
        </is>
      </c>
      <c r="F204" s="385" t="n"/>
      <c r="G204" s="385" t="n"/>
      <c r="H204" s="260" t="inlineStr">
        <is>
          <t>ระดับ (Auto)</t>
        </is>
      </c>
      <c r="I204" s="385" t="n"/>
      <c r="J204" s="385" t="n"/>
      <c r="K204" s="260" t="inlineStr">
        <is>
          <t>ผ่าน?</t>
        </is>
      </c>
      <c r="L204" s="385" t="n"/>
      <c r="M204" s="385" t="n"/>
      <c r="N204" s="260" t="inlineStr">
        <is>
          <t>หลักฐาน/สิ่งที่สังเกต</t>
        </is>
      </c>
      <c r="O204" s="385" t="n"/>
      <c r="P204" s="385" t="n"/>
    </row>
    <row r="205" ht="19.5" customHeight="1">
      <c r="B205" s="340" t="inlineStr">
        <is>
          <t>1. เข้าถึงและเข้าใจบทเรียน</t>
        </is>
      </c>
      <c r="C205" s="369" t="n"/>
      <c r="D205" s="369" t="n"/>
      <c r="E205" s="332" t="inlineStr">
        <is>
          <t>Concept Cartoon + วิดีโอ</t>
        </is>
      </c>
      <c r="F205" s="369" t="n"/>
      <c r="G205" s="369" t="n"/>
      <c r="H205" s="333">
        <f>IFERROR(IF('🎯 บันทึกการสอน Dashboard'!K18&gt;=0.6,"✅","⚠️"),"—")</f>
        <v/>
      </c>
      <c r="I205" s="369" t="n"/>
      <c r="J205" s="310" t="n"/>
      <c r="K205" s="400" t="n"/>
      <c r="L205" s="400" t="n"/>
      <c r="M205" s="400" t="n"/>
      <c r="N205" s="400" t="n"/>
      <c r="O205" s="400" t="n"/>
      <c r="P205" s="400" t="n"/>
      <c r="Q205" s="400" t="n"/>
      <c r="R205" s="400" t="n"/>
    </row>
    <row r="206" ht="19.5" customHeight="1">
      <c r="B206" s="340" t="inlineStr">
        <is>
          <t>2. เชื่อมโยงความรู้เดิม</t>
        </is>
      </c>
      <c r="C206" s="369" t="n"/>
      <c r="D206" s="369" t="n"/>
      <c r="E206" s="332" t="inlineStr">
        <is>
          <t>POE-Predict + KWL</t>
        </is>
      </c>
      <c r="F206" s="369" t="n"/>
      <c r="G206" s="369" t="n"/>
      <c r="H206" s="333">
        <f>IFERROR(IF('🎯 บันทึกการสอน Dashboard'!J18&gt;=1.5,"✅","⚠️"),"—")</f>
        <v/>
      </c>
      <c r="I206" s="369" t="n"/>
      <c r="J206" s="310" t="n"/>
      <c r="K206" s="400" t="n"/>
      <c r="L206" s="400" t="n"/>
      <c r="M206" s="400" t="n"/>
      <c r="N206" s="400" t="n"/>
      <c r="O206" s="400" t="n"/>
      <c r="P206" s="400" t="n"/>
      <c r="Q206" s="400" t="n"/>
      <c r="R206" s="400" t="n"/>
    </row>
    <row r="207" ht="19.5" customHeight="1">
      <c r="B207" s="340" t="inlineStr">
        <is>
          <t>3. สร้างความรู้เอง</t>
        </is>
      </c>
      <c r="C207" s="369" t="n"/>
      <c r="D207" s="369" t="n"/>
      <c r="E207" s="332" t="inlineStr">
        <is>
          <t>ทดลองสปริง + PhET</t>
        </is>
      </c>
      <c r="F207" s="369" t="n"/>
      <c r="G207" s="369" t="n"/>
      <c r="H207" s="333">
        <f>IFERROR(IF('🎯 บันทึกการสอน Dashboard'!J18&gt;=2,"✅","⚠️"),"—")</f>
        <v/>
      </c>
      <c r="I207" s="369" t="n"/>
      <c r="J207" s="310" t="n"/>
      <c r="K207" s="400" t="n"/>
      <c r="L207" s="400" t="n"/>
      <c r="M207" s="400" t="n"/>
      <c r="N207" s="400" t="n"/>
      <c r="O207" s="400" t="n"/>
      <c r="P207" s="400" t="n"/>
      <c r="Q207" s="400" t="n"/>
      <c r="R207" s="400" t="n"/>
    </row>
    <row r="208" ht="19.5" customHeight="1">
      <c r="B208" s="340" t="inlineStr">
        <is>
          <t>4. แรงจูงใจ</t>
        </is>
      </c>
      <c r="C208" s="369" t="n"/>
      <c r="D208" s="369" t="n"/>
      <c r="E208" s="332" t="inlineStr">
        <is>
          <t>Traffic Lights + Brain Break</t>
        </is>
      </c>
      <c r="F208" s="369" t="n"/>
      <c r="G208" s="369" t="n"/>
      <c r="H208" s="333">
        <f>IFERROR(IF('🎯 บันทึกการสอน Dashboard'!F18&gt;='🎯 บันทึกการสอน Dashboard'!H18,"✅","⚠️"),"—")</f>
        <v/>
      </c>
      <c r="I208" s="369" t="n"/>
      <c r="J208" s="310" t="n"/>
      <c r="K208" s="400" t="n"/>
      <c r="L208" s="400" t="n"/>
      <c r="M208" s="400" t="n"/>
      <c r="N208" s="400" t="n"/>
      <c r="O208" s="400" t="n"/>
      <c r="P208" s="400" t="n"/>
      <c r="Q208" s="400" t="n"/>
      <c r="R208" s="400" t="n"/>
    </row>
    <row r="209" ht="19.5" customHeight="1">
      <c r="B209" s="340" t="inlineStr">
        <is>
          <t>5. พัฒนาทักษะเชี่ยวชาญ</t>
        </is>
      </c>
      <c r="C209" s="369" t="n"/>
      <c r="D209" s="369" t="n"/>
      <c r="E209" s="332" t="inlineStr">
        <is>
          <t>Spot the Error + Matrix</t>
        </is>
      </c>
      <c r="F209" s="369" t="n"/>
      <c r="G209" s="369" t="n"/>
      <c r="H209" s="333">
        <f>IFERROR(IF('🎯 บันทึกการสอน Dashboard'!I18&gt;=0.7,"✅","⚠️"),"—")</f>
        <v/>
      </c>
      <c r="I209" s="369" t="n"/>
      <c r="J209" s="310" t="n"/>
      <c r="K209" s="400" t="n"/>
      <c r="L209" s="400" t="n"/>
      <c r="M209" s="400" t="n"/>
      <c r="N209" s="400" t="n"/>
      <c r="O209" s="400" t="n"/>
      <c r="P209" s="400" t="n"/>
      <c r="Q209" s="400" t="n"/>
      <c r="R209" s="400" t="n"/>
    </row>
    <row r="210" ht="19.5" customHeight="1">
      <c r="B210" s="340" t="inlineStr">
        <is>
          <t>6. Feedback ปรับปรุง</t>
        </is>
      </c>
      <c r="C210" s="369" t="n"/>
      <c r="D210" s="369" t="n"/>
      <c r="E210" s="332" t="inlineStr">
        <is>
          <t>Concept Cartoon เฉลย + 3-2-1</t>
        </is>
      </c>
      <c r="F210" s="369" t="n"/>
      <c r="G210" s="369" t="n"/>
      <c r="H210" s="333">
        <f>IFERROR(IF('🎯 บันทึกการสอน Dashboard'!H18&lt;=5,"✅","⚠️"),"—")</f>
        <v/>
      </c>
      <c r="I210" s="369" t="n"/>
      <c r="J210" s="310" t="n"/>
      <c r="K210" s="400" t="n"/>
      <c r="L210" s="400" t="n"/>
      <c r="M210" s="400" t="n"/>
      <c r="N210" s="400" t="n"/>
      <c r="O210" s="400" t="n"/>
      <c r="P210" s="400" t="n"/>
      <c r="Q210" s="400" t="n"/>
      <c r="R210" s="400" t="n"/>
    </row>
    <row r="211" ht="19.5" customHeight="1">
      <c r="B211" s="340" t="inlineStr">
        <is>
          <t>7. บรรยากาศชั้นเรียน</t>
        </is>
      </c>
      <c r="C211" s="369" t="n"/>
      <c r="D211" s="369" t="n"/>
      <c r="E211" s="332" t="inlineStr">
        <is>
          <t>Talking Chips + Visual Timer</t>
        </is>
      </c>
      <c r="F211" s="369" t="n"/>
      <c r="G211" s="369" t="n"/>
      <c r="H211" s="333">
        <f>IFERROR(IF('🎯 บันทึกการสอน Dashboard'!M18="✅ ดีมาก","✅","⚠️"),"—")</f>
        <v/>
      </c>
      <c r="I211" s="369" t="n"/>
      <c r="J211" s="310" t="n"/>
      <c r="K211" s="400" t="n"/>
      <c r="L211" s="400" t="n"/>
      <c r="M211" s="400" t="n"/>
      <c r="N211" s="400" t="n"/>
      <c r="O211" s="400" t="n"/>
      <c r="P211" s="400" t="n"/>
      <c r="Q211" s="400" t="n"/>
      <c r="R211" s="400" t="n"/>
    </row>
    <row r="212" ht="19.5" customHeight="1">
      <c r="B212" s="340" t="inlineStr">
        <is>
          <t>8. กำกับตนเอง</t>
        </is>
      </c>
      <c r="C212" s="369" t="n"/>
      <c r="D212" s="369" t="n"/>
      <c r="E212" s="332" t="inlineStr">
        <is>
          <t>3-2-1 Journal + Goal Setting</t>
        </is>
      </c>
      <c r="F212" s="369" t="n"/>
      <c r="G212" s="369" t="n"/>
      <c r="H212" s="333">
        <f>IFERROR(IF('🎯 บันทึกการสอน Dashboard'!I18&gt;=0.6,"✅","⚠️"),"—")</f>
        <v/>
      </c>
      <c r="I212" s="369" t="n"/>
      <c r="J212" s="310" t="n"/>
      <c r="K212" s="400" t="n"/>
      <c r="L212" s="400" t="n"/>
      <c r="M212" s="400" t="n"/>
      <c r="N212" s="400" t="n"/>
      <c r="O212" s="400" t="n"/>
      <c r="P212" s="400" t="n"/>
      <c r="Q212" s="400" t="n"/>
      <c r="R212" s="400" t="n"/>
    </row>
    <row r="213" ht="19.5" customHeight="1">
      <c r="B213" s="311" t="inlineStr">
        <is>
          <t>ส่วนที่ 8 — แนวทางปรับปรุง + Mini-trend เทียบแผนก่อน</t>
        </is>
      </c>
      <c r="C213" s="385" t="n"/>
      <c r="D213" s="385" t="n"/>
      <c r="E213" s="385" t="n"/>
      <c r="F213" s="385" t="n"/>
      <c r="G213" s="385" t="n"/>
      <c r="H213" s="385" t="n"/>
      <c r="I213" s="385" t="n"/>
      <c r="J213" s="385" t="n"/>
      <c r="K213" s="385" t="n"/>
      <c r="L213" s="385" t="n"/>
      <c r="M213" s="385" t="n"/>
      <c r="N213" s="385" t="n"/>
      <c r="O213" s="385" t="n"/>
      <c r="P213" s="385" t="n"/>
      <c r="Q213" s="385" t="n"/>
      <c r="R213" s="385" t="n"/>
    </row>
    <row r="214" ht="18" customHeight="1">
      <c r="B214" s="157" t="inlineStr">
        <is>
          <t>📌 Try ที่ตั้งใจทำจากแผนที่ 3 (Auto)</t>
        </is>
      </c>
      <c r="C214" s="337" t="inlineStr">
        <is>
          <t>← ดูจากแผนที่ 3 ส่วนที่ 8 ช่อง Try</t>
        </is>
      </c>
      <c r="D214" s="369" t="n"/>
      <c r="E214" s="369" t="n"/>
      <c r="F214" s="369" t="n"/>
      <c r="G214" s="369" t="n"/>
      <c r="H214" s="369" t="n"/>
      <c r="I214" s="369" t="n"/>
      <c r="J214" s="369" t="n"/>
    </row>
    <row r="215" ht="19.5" customHeight="1">
      <c r="B215" s="157" t="inlineStr">
        <is>
          <t>📈 Mini-trend (เทียบแผนก่อน)</t>
        </is>
      </c>
      <c r="C215" s="334">
        <f>IFERROR("Sound: "&amp;TEXT('🎯 บันทึกการสอน Dashboard'!K18,"0%")&amp;" vs "&amp;TEXT('🎯 บันทึกการสอน Dashboard'!K17,"0%")&amp;IF('🎯 บันทึกการสอน Dashboard'!K18&gt;'🎯 บันทึกการสอน Dashboard'!K17," ▲ ดีขึ้น",IF('🎯 บันทึกการสอน Dashboard'!K18&lt;'🎯 บันทึกการสอน Dashboard'!K17," ▼ ลดลง"," = คงที่")),"กรอกข้อมูลก่อน")</f>
        <v/>
      </c>
      <c r="D215" s="369" t="n"/>
      <c r="E215" s="369" t="n"/>
      <c r="F215" s="369" t="n"/>
      <c r="G215" s="369" t="n"/>
      <c r="H215" s="369" t="n"/>
      <c r="I215" s="369" t="n"/>
      <c r="J215" s="369" t="n"/>
    </row>
    <row r="216" ht="18" customHeight="1">
      <c r="B216" s="260" t="inlineStr">
        <is>
          <t>✅ Keep — สิ่งที่ได้ผล ควรคงไว้</t>
        </is>
      </c>
      <c r="C216" s="385" t="n"/>
      <c r="D216" s="385" t="n"/>
      <c r="E216" s="385" t="n"/>
      <c r="F216" s="385" t="n"/>
      <c r="G216" s="335" t="inlineStr">
        <is>
          <t>🔄 Change — สิ่งที่ต้องปรับปรุง</t>
        </is>
      </c>
      <c r="H216" s="404" t="n"/>
      <c r="I216" s="404" t="n"/>
      <c r="J216" s="404" t="n"/>
      <c r="K216" s="404" t="n"/>
      <c r="L216" s="336" t="inlineStr">
        <is>
          <t>🆕 Try — สิ่งที่จะลองทำในแผนถัดไป</t>
        </is>
      </c>
      <c r="M216" s="406" t="n"/>
      <c r="N216" s="406" t="n"/>
      <c r="O216" s="406" t="n"/>
      <c r="P216" s="406" t="n"/>
    </row>
    <row r="217" ht="19.5" customHeight="1">
      <c r="B217" s="312" t="n"/>
      <c r="C217" s="402" t="n"/>
      <c r="D217" s="402" t="n"/>
      <c r="E217" s="402" t="n"/>
      <c r="F217" s="402" t="n"/>
      <c r="G217" s="312" t="n"/>
      <c r="H217" s="402" t="n"/>
      <c r="I217" s="402" t="n"/>
      <c r="J217" s="402" t="n"/>
      <c r="K217" s="402" t="n"/>
      <c r="L217" s="312" t="n"/>
      <c r="M217" s="402" t="n"/>
      <c r="N217" s="402" t="n"/>
      <c r="O217" s="402" t="n"/>
      <c r="P217" s="402" t="n"/>
    </row>
    <row r="218" ht="19.5" customHeight="1">
      <c r="B218" s="403" t="n"/>
      <c r="G218" s="403" t="n"/>
      <c r="L218" s="403" t="n"/>
    </row>
    <row r="219" ht="19.5" customHeight="1">
      <c r="B219" s="403" t="n"/>
      <c r="G219" s="403" t="n"/>
      <c r="L219" s="403" t="n"/>
    </row>
    <row r="220" ht="34" customHeight="1">
      <c r="B220" s="157" t="inlineStr">
        <is>
          <t>📌 เนื้อหา/ทักษะที่จะทบทวนต้นคาบแผนที่ 5:</t>
        </is>
      </c>
      <c r="C220" s="312" t="n"/>
      <c r="D220" s="402" t="n"/>
      <c r="E220" s="402" t="n"/>
      <c r="F220" s="402" t="n"/>
      <c r="G220" s="402" t="n"/>
      <c r="H220" s="402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2" t="n"/>
    </row>
    <row r="221" ht="19.5" customHeight="1">
      <c r="C221" s="403" t="n"/>
    </row>
    <row r="222" ht="12" customHeight="1"/>
    <row r="223" ht="24" customHeight="1">
      <c r="B223" s="341" t="inlineStr">
        <is>
          <t>▌ แผนการสอนที่ 5  |  หลักการที่เกี่ยวกับคลื่น: ฮอยเกนส์ + ซ้อนทับ  |  คาบที่ 8–10  |  อ้างอิง 9.3.1–9.3.2</t>
        </is>
      </c>
      <c r="C223" s="380" t="n"/>
      <c r="D223" s="380" t="n"/>
      <c r="E223" s="380" t="n"/>
      <c r="F223" s="380" t="n"/>
      <c r="G223" s="380" t="n"/>
      <c r="H223" s="380" t="n"/>
      <c r="I223" s="380" t="n"/>
      <c r="J223" s="380" t="n"/>
      <c r="K223" s="380" t="n"/>
      <c r="L223" s="380" t="n"/>
      <c r="M223" s="380" t="n"/>
      <c r="N223" s="380" t="n"/>
      <c r="O223" s="380" t="n"/>
      <c r="P223" s="380" t="n"/>
      <c r="Q223" s="380" t="n"/>
      <c r="R223" s="380" t="n"/>
    </row>
    <row r="224" ht="18" customHeight="1">
      <c r="B224" s="342" t="inlineStr">
        <is>
          <t>จำนวนนักเรียน (Auto):</t>
        </is>
      </c>
      <c r="D224" s="305">
        <f>COUNTA('📥 ข้อมูลนักเรียน'!C4:C43)&amp;" คน"</f>
        <v/>
      </c>
      <c r="E224" s="398" t="n"/>
      <c r="L224" s="342" t="inlineStr">
        <is>
          <t>วันที่สอน:</t>
        </is>
      </c>
      <c r="M224" s="306" t="n"/>
      <c r="N224" s="399" t="n"/>
      <c r="O224" s="342" t="inlineStr">
        <is>
          <t>เวลาที่ใช้ (นาที):</t>
        </is>
      </c>
      <c r="P224" s="306" t="n"/>
      <c r="Q224" s="400" t="n"/>
      <c r="R224" s="399" t="n"/>
    </row>
    <row r="225" ht="19.5" customHeight="1">
      <c r="B225" s="343" t="inlineStr">
        <is>
          <t>ส่วนที่ 1 — ผลการจัดกิจกรรม 5E</t>
        </is>
      </c>
      <c r="C225" s="387" t="n"/>
      <c r="D225" s="387" t="n"/>
      <c r="E225" s="387" t="n"/>
      <c r="F225" s="387" t="n"/>
      <c r="G225" s="387" t="n"/>
      <c r="H225" s="387" t="n"/>
      <c r="I225" s="387" t="n"/>
      <c r="J225" s="387" t="n"/>
      <c r="L225" s="343" t="inlineStr">
        <is>
          <t>✏️ สิ่งที่สังเกต / หมายเหตุ</t>
        </is>
      </c>
      <c r="M225" s="387" t="n"/>
      <c r="N225" s="387" t="n"/>
      <c r="O225" s="387" t="n"/>
      <c r="P225" s="387" t="n"/>
      <c r="Q225" s="387" t="n"/>
      <c r="R225" s="387" t="n"/>
    </row>
    <row r="226" ht="15.75" customHeight="1">
      <c r="B226" s="150" t="inlineStr">
        <is>
          <t>ขั้น 5E</t>
        </is>
      </c>
      <c r="C226" s="308" t="inlineStr">
        <is>
          <t>ตัวชี้วัด / ผล (Auto)</t>
        </is>
      </c>
      <c r="D226" s="369" t="n"/>
      <c r="E226" s="369" t="n"/>
      <c r="F226" s="369" t="n"/>
      <c r="G226" s="308" t="inlineStr">
        <is>
          <t>ระดับ (Auto)</t>
        </is>
      </c>
      <c r="H226" s="369" t="n"/>
      <c r="I226" s="369" t="n"/>
      <c r="J226" s="369" t="n"/>
      <c r="L226" s="308" t="inlineStr">
        <is>
          <t>บันทึกสั้น (2–3 บรรทัด)</t>
        </is>
      </c>
      <c r="M226" s="369" t="n"/>
      <c r="N226" s="369" t="n"/>
      <c r="O226" s="369" t="n"/>
      <c r="P226" s="369" t="n"/>
      <c r="Q226" s="369" t="n"/>
      <c r="R226" s="369" t="n"/>
    </row>
    <row r="227" ht="21.75" customHeight="1">
      <c r="B227" s="172" t="inlineStr">
        <is>
          <t>🔵 Engage</t>
        </is>
      </c>
      <c r="C227" s="285">
        <f>IF('🎯 บันทึกการสอน Dashboard'!F19&gt;0,'🎯 บันทึกการสอน Dashboard'!F19&amp;" คน 🟢","—")</f>
        <v/>
      </c>
      <c r="D227" s="369" t="n"/>
      <c r="E227" s="369" t="n"/>
      <c r="F227" s="369" t="n"/>
      <c r="G227" s="309">
        <f>IFERROR(IF('🎯 บันทึกการสอน Dashboard'!F19+IFERROR('🎯 บันทึกการสอน Dashboard'!G19,0)+IFERROR('🎯 บันทึกการสอน Dashboard'!H19,0)&gt;0,IF('🎯 บันทึกการสอน Dashboard'!F19/('🎯 บันทึกการสอน Dashboard'!F19+IFERROR('🎯 บันทึกการสอน Dashboard'!G19,0)+IFERROR('🎯 บันทึกการสอน Dashboard'!H19,0))&gt;=0.5,"✅ ดี","⚠️ ต่ำ"),"ยังไม่กรอก"),"—")</f>
        <v/>
      </c>
      <c r="H227" s="369" t="n"/>
      <c r="I227" s="369" t="n"/>
      <c r="J227" s="369" t="n"/>
      <c r="L227" s="310" t="n"/>
      <c r="M227" s="400" t="n"/>
      <c r="N227" s="400" t="n"/>
      <c r="O227" s="400" t="n"/>
      <c r="P227" s="400" t="n"/>
      <c r="Q227" s="400" t="n"/>
      <c r="R227" s="400" t="n"/>
    </row>
    <row r="228" ht="21.75" customHeight="1">
      <c r="B228" s="172" t="inlineStr">
        <is>
          <t>🟠 Explore</t>
        </is>
      </c>
      <c r="C228" s="285">
        <f>IF('🎯 บันทึกการสอน Dashboard'!J19&gt;0,"POE avg: "&amp;TEXT('🎯 บันทึกการสอน Dashboard'!J19,"0.00"),"—")</f>
        <v/>
      </c>
      <c r="D228" s="369" t="n"/>
      <c r="E228" s="369" t="n"/>
      <c r="F228" s="369" t="n"/>
      <c r="G228" s="309">
        <f>IF(ISNUMBER('🎯 บันทึกการสอน Dashboard'!J19),IF('🎯 บันทึกการสอน Dashboard'!J19&gt;=2,"✅ ดี","⚠️ ต่ำ"),"—")</f>
        <v/>
      </c>
      <c r="H228" s="369" t="n"/>
      <c r="I228" s="369" t="n"/>
      <c r="J228" s="369" t="n"/>
      <c r="L228" s="310" t="n"/>
      <c r="M228" s="400" t="n"/>
      <c r="N228" s="400" t="n"/>
      <c r="O228" s="400" t="n"/>
      <c r="P228" s="400" t="n"/>
      <c r="Q228" s="400" t="n"/>
      <c r="R228" s="400" t="n"/>
    </row>
    <row r="229" ht="21.75" customHeight="1">
      <c r="B229" s="172" t="inlineStr">
        <is>
          <t>🟢 Explain</t>
        </is>
      </c>
      <c r="C229" s="285">
        <f>IF('🎯 บันทึกการสอน Dashboard'!K19&gt;0,"Sound: "&amp;TEXT('🎯 บันทึกการสอน Dashboard'!K19,"0%"),"—")</f>
        <v/>
      </c>
      <c r="D229" s="369" t="n"/>
      <c r="E229" s="369" t="n"/>
      <c r="F229" s="369" t="n"/>
      <c r="G229" s="309">
        <f>IF(ISNUMBER('🎯 บันทึกการสอน Dashboard'!K19),IF('🎯 บันทึกการสอน Dashboard'!K19&gt;=0.7,"✅ ดี","⚠️ ต่ำ"),"—")</f>
        <v/>
      </c>
      <c r="H229" s="369" t="n"/>
      <c r="I229" s="369" t="n"/>
      <c r="J229" s="369" t="n"/>
      <c r="L229" s="310" t="n"/>
      <c r="M229" s="400" t="n"/>
      <c r="N229" s="400" t="n"/>
      <c r="O229" s="400" t="n"/>
      <c r="P229" s="400" t="n"/>
      <c r="Q229" s="400" t="n"/>
      <c r="R229" s="400" t="n"/>
    </row>
    <row r="230" ht="21.75" customHeight="1">
      <c r="B230" s="172" t="inlineStr">
        <is>
          <t>🟡 Elaborate</t>
        </is>
      </c>
      <c r="C230" s="285" t="inlineStr">
        <is>
          <t>ดูผลใบงาน/Spot the Error</t>
        </is>
      </c>
      <c r="D230" s="369" t="n"/>
      <c r="E230" s="369" t="n"/>
      <c r="F230" s="369" t="n"/>
      <c r="G230" s="309" t="inlineStr">
        <is>
          <t>กรอกเอง</t>
        </is>
      </c>
      <c r="H230" s="369" t="n"/>
      <c r="I230" s="369" t="n"/>
      <c r="J230" s="369" t="n"/>
      <c r="L230" s="310" t="n"/>
      <c r="M230" s="400" t="n"/>
      <c r="N230" s="400" t="n"/>
      <c r="O230" s="400" t="n"/>
      <c r="P230" s="400" t="n"/>
      <c r="Q230" s="400" t="n"/>
      <c r="R230" s="400" t="n"/>
    </row>
    <row r="231" ht="21.75" customHeight="1">
      <c r="B231" s="172" t="inlineStr">
        <is>
          <t>🔴 Evaluate</t>
        </is>
      </c>
      <c r="C231" s="285">
        <f>IF('🎯 บันทึกการสอน Dashboard'!H19&gt;0,"🔴 "&amp;'🎯 บันทึกการสอน Dashboard'!H19&amp;" คน","ยังไม่กรอก")</f>
        <v/>
      </c>
      <c r="D231" s="369" t="n"/>
      <c r="E231" s="369" t="n"/>
      <c r="F231" s="369" t="n"/>
      <c r="G231" s="309">
        <f>IF(ISNUMBER('🎯 บันทึกการสอน Dashboard'!H19),IF('🎯 บันทึกการสอน Dashboard'!H19&lt;=5,"✅ น้อย","⚠️ มาก"),"—")</f>
        <v/>
      </c>
      <c r="H231" s="369" t="n"/>
      <c r="I231" s="369" t="n"/>
      <c r="J231" s="369" t="n"/>
      <c r="L231" s="310" t="n"/>
      <c r="M231" s="400" t="n"/>
      <c r="N231" s="400" t="n"/>
      <c r="O231" s="400" t="n"/>
      <c r="P231" s="400" t="n"/>
      <c r="Q231" s="400" t="n"/>
      <c r="R231" s="400" t="n"/>
    </row>
    <row r="232" ht="19.5" customHeight="1">
      <c r="B232" s="311" t="inlineStr">
        <is>
          <t>ส่วนที่ 2 — ผลการทำ POE (2 ครั้ง)</t>
        </is>
      </c>
      <c r="C232" s="385" t="n"/>
      <c r="D232" s="385" t="n"/>
      <c r="E232" s="385" t="n"/>
      <c r="F232" s="385" t="n"/>
      <c r="G232" s="385" t="n"/>
      <c r="H232" s="385" t="n"/>
      <c r="I232" s="385" t="n"/>
      <c r="J232" s="385" t="n"/>
      <c r="L232" s="311" t="inlineStr">
        <is>
          <t>✏️ ตัวอย่างคำพูดนักเรียน / ข้อค้นพบ</t>
        </is>
      </c>
      <c r="M232" s="385" t="n"/>
      <c r="N232" s="385" t="n"/>
      <c r="O232" s="385" t="n"/>
      <c r="P232" s="385" t="n"/>
      <c r="Q232" s="385" t="n"/>
      <c r="R232" s="385" t="n"/>
    </row>
    <row r="233" ht="27.75" customHeight="1">
      <c r="B233" s="152" t="inlineStr">
        <is>
          <t>POE#1: คลื่นดล 2 ลูกชนกัน</t>
        </is>
      </c>
      <c r="C233" s="285">
        <f>IFERROR("P avg: "&amp;TEXT(AVERAGE('🔬 POE บันทึก'!T4:T43),"0.0")&amp;"  |  E avg: "&amp;TEXT(AVERAGE('🔬 POE บันทึก'!U4:U43),"0.0"),"—")</f>
        <v/>
      </c>
      <c r="D233" s="369" t="n"/>
      <c r="E233" s="369" t="n"/>
      <c r="F233" s="369" t="n"/>
      <c r="G233" s="309">
        <f>IFERROR(IF(AVERAGE('🔬 POE บันทึก'!U4:U43)&gt;=2,"✅ Conceptual Change","⚠️ ยังไม่เปลี่ยน"),"—")</f>
        <v/>
      </c>
      <c r="H233" s="369" t="n"/>
      <c r="I233" s="369" t="n"/>
      <c r="J233" s="369" t="n"/>
      <c r="L233" s="312" t="n"/>
      <c r="M233" s="402" t="n"/>
      <c r="N233" s="402" t="n"/>
      <c r="O233" s="402" t="n"/>
      <c r="P233" s="402" t="n"/>
      <c r="Q233" s="402" t="n"/>
      <c r="R233" s="402" t="n"/>
    </row>
    <row r="234" ht="15" customHeight="1">
      <c r="L234" s="403" t="n"/>
    </row>
    <row r="235" ht="27.75" customHeight="1">
      <c r="B235" s="152" t="inlineStr">
        <is>
          <t>POE#2: PhET Wave Interference</t>
        </is>
      </c>
      <c r="C235" s="285">
        <f>IFERROR("P avg: "&amp;TEXT(AVERAGE('🔬 POE บันทึก'!V4:V43),"0.0")&amp;"  |  E avg: "&amp;TEXT(AVERAGE('🔬 POE บันทึก'!W4:W43),"0.0"),"—")</f>
        <v/>
      </c>
      <c r="D235" s="369" t="n"/>
      <c r="E235" s="369" t="n"/>
      <c r="F235" s="369" t="n"/>
      <c r="G235" s="309">
        <f>IFERROR(IF(AVERAGE('🔬 POE บันทึก'!W4:W43)&gt;=2,"✅ Conceptual Change","⚠️ ยังไม่เปลี่ยน"),"—")</f>
        <v/>
      </c>
      <c r="H235" s="369" t="n"/>
      <c r="I235" s="369" t="n"/>
      <c r="J235" s="369" t="n"/>
      <c r="L235" s="312" t="n"/>
      <c r="M235" s="402" t="n"/>
      <c r="N235" s="402" t="n"/>
      <c r="O235" s="402" t="n"/>
      <c r="P235" s="402" t="n"/>
      <c r="Q235" s="402" t="n"/>
      <c r="R235" s="402" t="n"/>
    </row>
    <row r="236" ht="15" customHeight="1">
      <c r="L236" s="403" t="n"/>
    </row>
    <row r="237" ht="19.5" customHeight="1">
      <c r="B237" s="343" t="inlineStr">
        <is>
          <t>ส่วนที่ 3 — การบรรลุวัตถุประสงค์การเรียนรู้ (Auto จาก Four-tier + ตัวชี้วัด)</t>
        </is>
      </c>
      <c r="C237" s="387" t="n"/>
      <c r="D237" s="387" t="n"/>
      <c r="E237" s="387" t="n"/>
      <c r="F237" s="387" t="n"/>
      <c r="G237" s="387" t="n"/>
      <c r="H237" s="387" t="n"/>
      <c r="I237" s="387" t="n"/>
      <c r="J237" s="387" t="n"/>
      <c r="K237" s="387" t="n"/>
      <c r="L237" s="387" t="n"/>
      <c r="M237" s="387" t="n"/>
      <c r="N237" s="387" t="n"/>
      <c r="O237" s="387" t="n"/>
      <c r="P237" s="387" t="n"/>
      <c r="Q237" s="387" t="n"/>
      <c r="R237" s="387" t="n"/>
    </row>
    <row r="238" ht="18" customHeight="1">
      <c r="B238" s="101" t="inlineStr">
        <is>
          <t>วัตถุประสงค์</t>
        </is>
      </c>
      <c r="C238" s="101" t="inlineStr">
        <is>
          <t>ตัวชี้วัด</t>
        </is>
      </c>
      <c r="D238" s="273" t="inlineStr">
        <is>
          <t>n ผ่านเกณฑ์ (Auto)</t>
        </is>
      </c>
      <c r="E238" s="387" t="n"/>
      <c r="F238" s="101" t="inlineStr">
        <is>
          <t>% (Auto)</t>
        </is>
      </c>
      <c r="G238" s="273" t="inlineStr">
        <is>
          <t>ผ่าน? (Auto)</t>
        </is>
      </c>
      <c r="H238" s="387" t="n"/>
      <c r="I238" s="273" t="inlineStr">
        <is>
          <t>หลักฐาน/วิธีวัด</t>
        </is>
      </c>
      <c r="J238" s="387" t="n"/>
      <c r="K238" s="387" t="n"/>
    </row>
    <row r="239" ht="21.75" customHeight="1">
      <c r="B239" s="173" t="inlineStr">
        <is>
          <t>1. อธิบายหลักการฮอยเกนส์และการแผ่หน้าคลื่นได้</t>
        </is>
      </c>
      <c r="C239" s="155" t="inlineStr">
        <is>
          <t>ว 2.2 ม.5/5</t>
        </is>
      </c>
      <c r="D239" s="314">
        <f>IFERROR(ROUND('🤖 Four-tier วิเคราะห์'!L90*COUNTA('📥 ข้อมูลนักเรียน'!C4:C43),0),"—")</f>
        <v/>
      </c>
      <c r="E239" s="369" t="n"/>
      <c r="F239" s="79">
        <f>IFERROR('🤖 Four-tier วิเคราะห์'!L90,"—")</f>
        <v/>
      </c>
      <c r="G239" s="315">
        <f>IFERROR(IF('🤖 Four-tier วิเคราะห์'!L90&gt;=0.8,"✅ ผ่าน (≥80%)","❌ ไม่ผ่าน (&lt;80%)"),"—")</f>
        <v/>
      </c>
      <c r="H239" s="369" t="n"/>
      <c r="I239" s="310" t="n"/>
      <c r="J239" s="400" t="n"/>
      <c r="K239" s="400" t="n"/>
      <c r="L239" s="400" t="n"/>
      <c r="M239" s="400" t="n"/>
      <c r="N239" s="400" t="n"/>
      <c r="O239" s="400" t="n"/>
      <c r="P239" s="400" t="n"/>
      <c r="Q239" s="400" t="n"/>
      <c r="R239" s="400" t="n"/>
    </row>
    <row r="240" ht="21.75" customHeight="1">
      <c r="B240" s="173" t="inlineStr">
        <is>
          <t>2. อธิบายหลักการซ้อนทับและคำนวณการกระจัดรวมได้</t>
        </is>
      </c>
      <c r="C240" s="155" t="inlineStr">
        <is>
          <t>ว 2.2 ม.5/6</t>
        </is>
      </c>
      <c r="D240" s="314">
        <f>IFERROR(ROUND('🤖 Four-tier วิเคราะห์'!M90*COUNTA('📥 ข้อมูลนักเรียน'!C4:C43),0),"—")</f>
        <v/>
      </c>
      <c r="E240" s="369" t="n"/>
      <c r="F240" s="79">
        <f>IFERROR('🤖 Four-tier วิเคราะห์'!M90,"—")</f>
        <v/>
      </c>
      <c r="G240" s="315">
        <f>IFERROR(IF('🤖 Four-tier วิเคราะห์'!M90&gt;=0.8,"✅ ผ่าน (≥80%)","❌ ไม่ผ่าน (&lt;80%)"),"—")</f>
        <v/>
      </c>
      <c r="H240" s="369" t="n"/>
      <c r="I240" s="310" t="n"/>
      <c r="J240" s="400" t="n"/>
      <c r="K240" s="400" t="n"/>
      <c r="L240" s="400" t="n"/>
      <c r="M240" s="400" t="n"/>
      <c r="N240" s="400" t="n"/>
      <c r="O240" s="400" t="n"/>
      <c r="P240" s="400" t="n"/>
      <c r="Q240" s="400" t="n"/>
      <c r="R240" s="400" t="n"/>
    </row>
    <row r="241" ht="21.75" customHeight="1">
      <c r="B241" s="173" t="inlineStr">
        <is>
          <t>3. แยกการแทรกสอดแบบเสริม/หักล้างได้</t>
        </is>
      </c>
      <c r="C241" s="155" t="inlineStr">
        <is>
          <t>ว 2.2 ม.5/6</t>
        </is>
      </c>
      <c r="D241" s="314">
        <f>IFERROR(ROUND('🤖 Four-tier วิเคราะห์'!N90*COUNTA('📥 ข้อมูลนักเรียน'!C4:C43),0),"—")</f>
        <v/>
      </c>
      <c r="E241" s="369" t="n"/>
      <c r="F241" s="79">
        <f>IFERROR('🤖 Four-tier วิเคราะห์'!N90,"—")</f>
        <v/>
      </c>
      <c r="G241" s="315">
        <f>IFERROR(IF('🤖 Four-tier วิเคราะห์'!N90&gt;=0.8,"✅ ผ่าน (≥80%)","❌ ไม่ผ่าน (&lt;80%)"),"—")</f>
        <v/>
      </c>
      <c r="H241" s="369" t="n"/>
      <c r="I241" s="310" t="n"/>
      <c r="J241" s="400" t="n"/>
      <c r="K241" s="400" t="n"/>
      <c r="L241" s="400" t="n"/>
      <c r="M241" s="400" t="n"/>
      <c r="N241" s="400" t="n"/>
      <c r="O241" s="400" t="n"/>
      <c r="P241" s="400" t="n"/>
      <c r="Q241" s="400" t="n"/>
      <c r="R241" s="400" t="n"/>
    </row>
    <row r="242" ht="21.75" customHeight="1">
      <c r="B242" s="174" t="inlineStr">
        <is>
          <t>ภาพรวมแผนนี้</t>
        </is>
      </c>
      <c r="C242" s="316">
        <f>IFERROR(AVERAGE('🤖 Four-tier วิเคราะห์'!L90,'🤖 Four-tier วิเคราะห์'!M90,'🤖 Four-tier วิเคราะห์'!N90),0)</f>
        <v/>
      </c>
      <c r="D242" s="369" t="n"/>
      <c r="E242" s="369" t="n"/>
      <c r="F242" s="344">
        <f>IFERROR((IF(ISNUMBER('🤖 Four-tier วิเคราะห์'!K90),IF('🤖 Four-tier วิเคราะห์'!K90&gt;=0.8,1,0),0)+IF(ISNUMBER('🤖 Four-tier วิเคราะห์'!L90),IF('🤖 Four-tier วิเคราะห์'!L90&gt;=0.8,1,0),0)+IF(ISNUMBER('🤖 Four-tier วิเคราะห์'!M90),IF('🤖 Four-tier วิเคราะห์'!M90&gt;=0.8,1,0),0))&amp;"/3 วัตถุประสงค์ผ่าน","—")</f>
        <v/>
      </c>
      <c r="G242" s="369" t="n"/>
      <c r="H242" s="369" t="n"/>
      <c r="I242" s="318">
        <f>IFERROR(IF(AVERAGE('🤖 Four-tier วิเคราะห์'!L90,'🤖 Four-tier วิเคราะห์'!M90,'🤖 Four-tier วิเคราะห์'!N90)&gt;=0.8,"✅ บรรลุเกณฑ์ภาพรวม","⚠️ ยังต่ำกว่าเกณฑ์"),"—")</f>
        <v/>
      </c>
      <c r="J242" s="369" t="n"/>
      <c r="K242" s="369" t="n"/>
      <c r="L242" s="369" t="n"/>
      <c r="M242" s="369" t="n"/>
      <c r="N242" s="369" t="n"/>
      <c r="O242" s="369" t="n"/>
      <c r="P242" s="369" t="n"/>
      <c r="Q242" s="369" t="n"/>
      <c r="R242" s="369" t="n"/>
    </row>
    <row r="243" ht="19.5" customHeight="1">
      <c r="B243" s="311" t="inlineStr">
        <is>
          <t>ส่วนที่ 4 — พฤติกรรมนักเรียนและการมีส่วนร่วม</t>
        </is>
      </c>
      <c r="C243" s="385" t="n"/>
      <c r="D243" s="385" t="n"/>
      <c r="E243" s="385" t="n"/>
      <c r="F243" s="385" t="n"/>
      <c r="G243" s="385" t="n"/>
      <c r="H243" s="385" t="n"/>
      <c r="I243" s="385" t="n"/>
      <c r="J243" s="385" t="n"/>
      <c r="L243" s="311" t="inlineStr">
        <is>
          <t>✏️ กรอก</t>
        </is>
      </c>
      <c r="M243" s="385" t="n"/>
      <c r="N243" s="385" t="n"/>
      <c r="O243" s="385" t="n"/>
      <c r="P243" s="385" t="n"/>
      <c r="Q243" s="385" t="n"/>
      <c r="R243" s="385" t="n"/>
    </row>
    <row r="244" ht="18" customHeight="1">
      <c r="B244" s="157" t="inlineStr">
        <is>
          <t>🟢 Traffic Light</t>
        </is>
      </c>
      <c r="C244" s="314">
        <f>IFERROR('🎯 บันทึกการสอน Dashboard'!F19,0)&amp;" คน"</f>
        <v/>
      </c>
      <c r="D244" s="369" t="n"/>
      <c r="E244" s="369" t="n"/>
      <c r="F244" s="369" t="n"/>
      <c r="G244" s="369" t="n"/>
      <c r="H244" s="369" t="n"/>
      <c r="I244" s="369" t="n"/>
      <c r="J244" s="369" t="n"/>
      <c r="L244" s="319" t="inlineStr">
        <is>
          <t>นักเรียนที่ต้องดูแลพิเศษ / กลุ่มที่มีส่วนร่วมต่ำ:</t>
        </is>
      </c>
      <c r="M244" s="402" t="n"/>
      <c r="N244" s="402" t="n"/>
      <c r="O244" s="402" t="n"/>
      <c r="P244" s="402" t="n"/>
      <c r="Q244" s="402" t="n"/>
      <c r="R244" s="402" t="n"/>
    </row>
    <row r="245" ht="18" customHeight="1">
      <c r="B245" s="158" t="inlineStr">
        <is>
          <t>🟡 Traffic Light</t>
        </is>
      </c>
      <c r="C245" s="320">
        <f>IFERROR('🎯 บันทึกการสอน Dashboard'!G19,0)&amp;" คน"</f>
        <v/>
      </c>
      <c r="D245" s="369" t="n"/>
      <c r="E245" s="369" t="n"/>
      <c r="F245" s="369" t="n"/>
      <c r="G245" s="369" t="n"/>
      <c r="H245" s="369" t="n"/>
      <c r="I245" s="369" t="n"/>
      <c r="J245" s="369" t="n"/>
      <c r="L245" s="403" t="n"/>
    </row>
    <row r="246" ht="18" customHeight="1">
      <c r="B246" s="159" t="inlineStr">
        <is>
          <t>🔴 Traffic Light</t>
        </is>
      </c>
      <c r="C246" s="321">
        <f>IFERROR('🎯 บันทึกการสอน Dashboard'!H19,0)&amp;" คน"</f>
        <v/>
      </c>
      <c r="D246" s="369" t="n"/>
      <c r="E246" s="369" t="n"/>
      <c r="F246" s="369" t="n"/>
      <c r="G246" s="369" t="n"/>
      <c r="H246" s="369" t="n"/>
      <c r="I246" s="369" t="n"/>
      <c r="J246" s="369" t="n"/>
      <c r="L246" s="403" t="n"/>
    </row>
    <row r="247" ht="18" customHeight="1">
      <c r="B247" s="160" t="inlineStr">
        <is>
          <t>สถานะโดยรวม</t>
        </is>
      </c>
      <c r="C247" s="309">
        <f>IFERROR('🎯 บันทึกการสอน Dashboard'!M19,"ยังไม่กรอก")</f>
        <v/>
      </c>
      <c r="D247" s="369" t="n"/>
      <c r="E247" s="369" t="n"/>
      <c r="F247" s="369" t="n"/>
      <c r="G247" s="369" t="n"/>
      <c r="H247" s="369" t="n"/>
      <c r="I247" s="369" t="n"/>
      <c r="J247" s="369" t="n"/>
      <c r="L247" s="403" t="n"/>
    </row>
    <row r="248" ht="19.5" customHeight="1">
      <c r="B248" s="322" t="inlineStr">
        <is>
          <t>ส่วนที่ 5 — ปัญหา อุปสรรค และข้อค้นพบ</t>
        </is>
      </c>
      <c r="C248" s="404" t="n"/>
      <c r="D248" s="404" t="n"/>
      <c r="E248" s="404" t="n"/>
      <c r="F248" s="404" t="n"/>
      <c r="G248" s="404" t="n"/>
      <c r="H248" s="404" t="n"/>
      <c r="I248" s="404" t="n"/>
      <c r="J248" s="404" t="n"/>
      <c r="L248" s="322" t="inlineStr">
        <is>
          <t>✏️ กรอก</t>
        </is>
      </c>
      <c r="M248" s="404" t="n"/>
      <c r="N248" s="404" t="n"/>
      <c r="O248" s="404" t="n"/>
      <c r="P248" s="404" t="n"/>
      <c r="Q248" s="404" t="n"/>
      <c r="R248" s="404" t="n"/>
    </row>
    <row r="249" ht="18" customHeight="1">
      <c r="B249" s="161" t="inlineStr">
        <is>
          <t>Misconception M1 (Pre)</t>
        </is>
      </c>
      <c r="C249" s="323">
        <f>IFERROR('📊 สรุป Misconception'!D3,"—")</f>
        <v/>
      </c>
      <c r="D249" s="369" t="n"/>
      <c r="E249" s="369" t="n"/>
      <c r="F249" s="369" t="n"/>
      <c r="G249" s="369" t="n"/>
      <c r="H249" s="369" t="n"/>
      <c r="I249" s="369" t="n"/>
      <c r="J249" s="369" t="n"/>
      <c r="L249" s="319" t="inlineStr">
        <is>
          <t>รายละเอียดปัญหา / สิ่งที่ค้นพบระหว่างสอน:</t>
        </is>
      </c>
      <c r="M249" s="402" t="n"/>
      <c r="N249" s="402" t="n"/>
      <c r="O249" s="402" t="n"/>
      <c r="P249" s="402" t="n"/>
      <c r="Q249" s="402" t="n"/>
      <c r="R249" s="402" t="n"/>
    </row>
    <row r="250" ht="18" customHeight="1">
      <c r="B250" s="162" t="inlineStr">
        <is>
          <t>Misconception M1 (Post)</t>
        </is>
      </c>
      <c r="C250" s="324">
        <f>IFERROR('📊 สรุป Misconception'!F3,"—")</f>
        <v/>
      </c>
      <c r="D250" s="369" t="n"/>
      <c r="E250" s="369" t="n"/>
      <c r="F250" s="369" t="n"/>
      <c r="G250" s="369" t="n"/>
      <c r="H250" s="369" t="n"/>
      <c r="I250" s="369" t="n"/>
      <c r="J250" s="369" t="n"/>
      <c r="L250" s="403" t="n"/>
    </row>
    <row r="251" ht="18" customHeight="1">
      <c r="B251" s="163" t="inlineStr">
        <is>
          <t>ระดับ M1</t>
        </is>
      </c>
      <c r="C251" s="325">
        <f>IFERROR('📊 สรุป Misconception'!H3,"—")</f>
        <v/>
      </c>
      <c r="D251" s="369" t="n"/>
      <c r="E251" s="369" t="n"/>
      <c r="F251" s="369" t="n"/>
      <c r="G251" s="369" t="n"/>
      <c r="H251" s="369" t="n"/>
      <c r="I251" s="369" t="n"/>
      <c r="J251" s="369" t="n"/>
      <c r="L251" s="403" t="n"/>
    </row>
    <row r="252" ht="18" customHeight="1">
      <c r="B252" s="161" t="inlineStr">
        <is>
          <t>Misc. ใหม่ที่ไม่คาดคิด</t>
        </is>
      </c>
      <c r="C252" s="323" t="inlineStr">
        <is>
          <t>— ดูจากใบงาน POE —</t>
        </is>
      </c>
      <c r="D252" s="369" t="n"/>
      <c r="E252" s="369" t="n"/>
      <c r="F252" s="369" t="n"/>
      <c r="G252" s="369" t="n"/>
      <c r="H252" s="369" t="n"/>
      <c r="I252" s="369" t="n"/>
      <c r="J252" s="369" t="n"/>
      <c r="L252" s="403" t="n"/>
    </row>
    <row r="253" ht="19.5" customHeight="1">
      <c r="B253" s="326" t="inlineStr">
        <is>
          <t>ส่วนที่ 6 — ข้อมูลเชิงวิจัย (Auto ทั้งหมด)</t>
        </is>
      </c>
      <c r="C253" s="405" t="n"/>
      <c r="D253" s="405" t="n"/>
      <c r="E253" s="405" t="n"/>
      <c r="F253" s="405" t="n"/>
      <c r="G253" s="405" t="n"/>
      <c r="H253" s="405" t="n"/>
      <c r="I253" s="405" t="n"/>
      <c r="J253" s="405" t="n"/>
      <c r="L253" s="326" t="inlineStr">
        <is>
          <t>✏️ กรอก</t>
        </is>
      </c>
      <c r="M253" s="405" t="n"/>
      <c r="N253" s="405" t="n"/>
      <c r="O253" s="405" t="n"/>
      <c r="P253" s="405" t="n"/>
      <c r="Q253" s="405" t="n"/>
      <c r="R253" s="405" t="n"/>
    </row>
    <row r="254" ht="18" customHeight="1">
      <c r="B254" s="164" t="inlineStr">
        <is>
          <t>POE เฉลี่ยแผนนี้</t>
        </is>
      </c>
      <c r="C254" s="327">
        <f>IFERROR('🎯 บันทึกการสอน Dashboard'!J19,"—")</f>
        <v/>
      </c>
      <c r="D254" s="369" t="n"/>
      <c r="E254" s="369" t="n"/>
      <c r="F254" s="369" t="n"/>
      <c r="G254" s="369" t="n"/>
      <c r="H254" s="369" t="n"/>
      <c r="I254" s="369" t="n"/>
      <c r="J254" s="369" t="n"/>
      <c r="L254" s="319" t="inlineStr">
        <is>
          <t>การวิเคราะห์เพิ่มเติม / บันทึกสำหรับบทที่ 4:</t>
        </is>
      </c>
      <c r="M254" s="402" t="n"/>
      <c r="N254" s="402" t="n"/>
      <c r="O254" s="402" t="n"/>
      <c r="P254" s="402" t="n"/>
      <c r="Q254" s="402" t="n"/>
      <c r="R254" s="402" t="n"/>
    </row>
    <row r="255" ht="18" customHeight="1">
      <c r="B255" s="165" t="inlineStr">
        <is>
          <t>% Sound (Post-test)</t>
        </is>
      </c>
      <c r="C255" s="328">
        <f>IFERROR('🎯 บันทึกการสอน Dashboard'!K19,"—")</f>
        <v/>
      </c>
      <c r="D255" s="369" t="n"/>
      <c r="E255" s="369" t="n"/>
      <c r="F255" s="369" t="n"/>
      <c r="G255" s="369" t="n"/>
      <c r="H255" s="369" t="n"/>
      <c r="I255" s="369" t="n"/>
      <c r="J255" s="369" t="n"/>
      <c r="L255" s="403" t="n"/>
    </row>
    <row r="256" ht="18" customHeight="1">
      <c r="B256" s="166" t="inlineStr">
        <is>
          <t>% Misconception (Post)</t>
        </is>
      </c>
      <c r="C256" s="329">
        <f>IFERROR('🎯 บันทึกการสอน Dashboard'!L19,"—")</f>
        <v/>
      </c>
      <c r="D256" s="369" t="n"/>
      <c r="E256" s="369" t="n"/>
      <c r="F256" s="369" t="n"/>
      <c r="G256" s="369" t="n"/>
      <c r="H256" s="369" t="n"/>
      <c r="I256" s="369" t="n"/>
      <c r="J256" s="369" t="n"/>
      <c r="L256" s="403" t="n"/>
    </row>
    <row r="257" ht="18" customHeight="1">
      <c r="B257" s="164" t="inlineStr">
        <is>
          <t>GAP: POE ดีแต่ Misc.</t>
        </is>
      </c>
      <c r="C257" s="330">
        <f>IFERROR(COUNTIF('🔗 POE-Fourtier เทียบ'!H8,"🔴*"),0)&amp;" คน"</f>
        <v/>
      </c>
      <c r="D257" s="369" t="n"/>
      <c r="E257" s="369" t="n"/>
      <c r="F257" s="369" t="n"/>
      <c r="G257" s="369" t="n"/>
      <c r="H257" s="369" t="n"/>
      <c r="I257" s="369" t="n"/>
      <c r="J257" s="369" t="n"/>
      <c r="L257" s="403" t="n"/>
    </row>
    <row r="258" ht="19.5" customHeight="1">
      <c r="B258" s="343" t="inlineStr">
        <is>
          <t>ส่วนที่ 7 — ประเมิน 8 องค์ประกอบ วPA</t>
        </is>
      </c>
      <c r="C258" s="387" t="n"/>
      <c r="D258" s="387" t="n"/>
      <c r="E258" s="387" t="n"/>
      <c r="F258" s="387" t="n"/>
      <c r="G258" s="387" t="n"/>
      <c r="H258" s="387" t="n"/>
      <c r="I258" s="387" t="n"/>
      <c r="J258" s="387" t="n"/>
      <c r="K258" s="387" t="n"/>
      <c r="L258" s="387" t="n"/>
      <c r="M258" s="387" t="n"/>
      <c r="N258" s="387" t="n"/>
      <c r="O258" s="387" t="n"/>
      <c r="P258" s="387" t="n"/>
      <c r="Q258" s="387" t="n"/>
      <c r="R258" s="387" t="n"/>
    </row>
    <row r="259" ht="18" customHeight="1">
      <c r="B259" s="273" t="inlineStr">
        <is>
          <t>องค์ประกอบ วPA</t>
        </is>
      </c>
      <c r="C259" s="387" t="n"/>
      <c r="D259" s="387" t="n"/>
      <c r="E259" s="273" t="inlineStr">
        <is>
          <t>กิจกรรมที่รองรับ</t>
        </is>
      </c>
      <c r="F259" s="387" t="n"/>
      <c r="G259" s="387" t="n"/>
      <c r="H259" s="273" t="inlineStr">
        <is>
          <t>ระดับ (Auto)</t>
        </is>
      </c>
      <c r="I259" s="387" t="n"/>
      <c r="J259" s="387" t="n"/>
      <c r="K259" s="273" t="inlineStr">
        <is>
          <t>ผ่าน?</t>
        </is>
      </c>
      <c r="L259" s="387" t="n"/>
      <c r="M259" s="387" t="n"/>
      <c r="N259" s="273" t="inlineStr">
        <is>
          <t>หลักฐาน/สิ่งที่สังเกต</t>
        </is>
      </c>
      <c r="O259" s="387" t="n"/>
      <c r="P259" s="387" t="n"/>
    </row>
    <row r="260" ht="19.5" customHeight="1">
      <c r="B260" s="345" t="inlineStr">
        <is>
          <t>1. เข้าถึงและเข้าใจบทเรียน</t>
        </is>
      </c>
      <c r="C260" s="369" t="n"/>
      <c r="D260" s="369" t="n"/>
      <c r="E260" s="332" t="inlineStr">
        <is>
          <t>Concept Cartoon + วิดีโอ</t>
        </is>
      </c>
      <c r="F260" s="369" t="n"/>
      <c r="G260" s="369" t="n"/>
      <c r="H260" s="333">
        <f>IFERROR(IF('🎯 บันทึกการสอน Dashboard'!K19&gt;=0.6,"✅","⚠️"),"—")</f>
        <v/>
      </c>
      <c r="I260" s="369" t="n"/>
      <c r="J260" s="310" t="n"/>
      <c r="K260" s="400" t="n"/>
      <c r="L260" s="400" t="n"/>
      <c r="M260" s="400" t="n"/>
      <c r="N260" s="400" t="n"/>
      <c r="O260" s="400" t="n"/>
      <c r="P260" s="400" t="n"/>
      <c r="Q260" s="400" t="n"/>
      <c r="R260" s="400" t="n"/>
    </row>
    <row r="261" ht="19.5" customHeight="1">
      <c r="B261" s="345" t="inlineStr">
        <is>
          <t>2. เชื่อมโยงความรู้เดิม</t>
        </is>
      </c>
      <c r="C261" s="369" t="n"/>
      <c r="D261" s="369" t="n"/>
      <c r="E261" s="332" t="inlineStr">
        <is>
          <t>POE-Predict + KWL</t>
        </is>
      </c>
      <c r="F261" s="369" t="n"/>
      <c r="G261" s="369" t="n"/>
      <c r="H261" s="333">
        <f>IFERROR(IF('🎯 บันทึกการสอน Dashboard'!J19&gt;=1.5,"✅","⚠️"),"—")</f>
        <v/>
      </c>
      <c r="I261" s="369" t="n"/>
      <c r="J261" s="310" t="n"/>
      <c r="K261" s="400" t="n"/>
      <c r="L261" s="400" t="n"/>
      <c r="M261" s="400" t="n"/>
      <c r="N261" s="400" t="n"/>
      <c r="O261" s="400" t="n"/>
      <c r="P261" s="400" t="n"/>
      <c r="Q261" s="400" t="n"/>
      <c r="R261" s="400" t="n"/>
    </row>
    <row r="262" ht="19.5" customHeight="1">
      <c r="B262" s="345" t="inlineStr">
        <is>
          <t>3. สร้างความรู้เอง</t>
        </is>
      </c>
      <c r="C262" s="369" t="n"/>
      <c r="D262" s="369" t="n"/>
      <c r="E262" s="332" t="inlineStr">
        <is>
          <t>ทดลองสปริง + PhET</t>
        </is>
      </c>
      <c r="F262" s="369" t="n"/>
      <c r="G262" s="369" t="n"/>
      <c r="H262" s="333">
        <f>IFERROR(IF('🎯 บันทึกการสอน Dashboard'!J19&gt;=2,"✅","⚠️"),"—")</f>
        <v/>
      </c>
      <c r="I262" s="369" t="n"/>
      <c r="J262" s="310" t="n"/>
      <c r="K262" s="400" t="n"/>
      <c r="L262" s="400" t="n"/>
      <c r="M262" s="400" t="n"/>
      <c r="N262" s="400" t="n"/>
      <c r="O262" s="400" t="n"/>
      <c r="P262" s="400" t="n"/>
      <c r="Q262" s="400" t="n"/>
      <c r="R262" s="400" t="n"/>
    </row>
    <row r="263" ht="19.5" customHeight="1">
      <c r="B263" s="345" t="inlineStr">
        <is>
          <t>4. แรงจูงใจ</t>
        </is>
      </c>
      <c r="C263" s="369" t="n"/>
      <c r="D263" s="369" t="n"/>
      <c r="E263" s="332" t="inlineStr">
        <is>
          <t>Traffic Lights + Brain Break</t>
        </is>
      </c>
      <c r="F263" s="369" t="n"/>
      <c r="G263" s="369" t="n"/>
      <c r="H263" s="333">
        <f>IFERROR(IF('🎯 บันทึกการสอน Dashboard'!F19&gt;='🎯 บันทึกการสอน Dashboard'!H19,"✅","⚠️"),"—")</f>
        <v/>
      </c>
      <c r="I263" s="369" t="n"/>
      <c r="J263" s="310" t="n"/>
      <c r="K263" s="400" t="n"/>
      <c r="L263" s="400" t="n"/>
      <c r="M263" s="400" t="n"/>
      <c r="N263" s="400" t="n"/>
      <c r="O263" s="400" t="n"/>
      <c r="P263" s="400" t="n"/>
      <c r="Q263" s="400" t="n"/>
      <c r="R263" s="400" t="n"/>
    </row>
    <row r="264" ht="19.5" customHeight="1">
      <c r="B264" s="345" t="inlineStr">
        <is>
          <t>5. พัฒนาทักษะเชี่ยวชาญ</t>
        </is>
      </c>
      <c r="C264" s="369" t="n"/>
      <c r="D264" s="369" t="n"/>
      <c r="E264" s="332" t="inlineStr">
        <is>
          <t>Spot the Error + Matrix</t>
        </is>
      </c>
      <c r="F264" s="369" t="n"/>
      <c r="G264" s="369" t="n"/>
      <c r="H264" s="333">
        <f>IFERROR(IF('🎯 บันทึกการสอน Dashboard'!I19&gt;=0.7,"✅","⚠️"),"—")</f>
        <v/>
      </c>
      <c r="I264" s="369" t="n"/>
      <c r="J264" s="310" t="n"/>
      <c r="K264" s="400" t="n"/>
      <c r="L264" s="400" t="n"/>
      <c r="M264" s="400" t="n"/>
      <c r="N264" s="400" t="n"/>
      <c r="O264" s="400" t="n"/>
      <c r="P264" s="400" t="n"/>
      <c r="Q264" s="400" t="n"/>
      <c r="R264" s="400" t="n"/>
    </row>
    <row r="265" ht="19.5" customHeight="1">
      <c r="B265" s="345" t="inlineStr">
        <is>
          <t>6. Feedback ปรับปรุง</t>
        </is>
      </c>
      <c r="C265" s="369" t="n"/>
      <c r="D265" s="369" t="n"/>
      <c r="E265" s="332" t="inlineStr">
        <is>
          <t>Concept Cartoon เฉลย + 3-2-1</t>
        </is>
      </c>
      <c r="F265" s="369" t="n"/>
      <c r="G265" s="369" t="n"/>
      <c r="H265" s="333">
        <f>IFERROR(IF('🎯 บันทึกการสอน Dashboard'!H19&lt;=5,"✅","⚠️"),"—")</f>
        <v/>
      </c>
      <c r="I265" s="369" t="n"/>
      <c r="J265" s="310" t="n"/>
      <c r="K265" s="400" t="n"/>
      <c r="L265" s="400" t="n"/>
      <c r="M265" s="400" t="n"/>
      <c r="N265" s="400" t="n"/>
      <c r="O265" s="400" t="n"/>
      <c r="P265" s="400" t="n"/>
      <c r="Q265" s="400" t="n"/>
      <c r="R265" s="400" t="n"/>
    </row>
    <row r="266" ht="19.5" customHeight="1">
      <c r="B266" s="345" t="inlineStr">
        <is>
          <t>7. บรรยากาศชั้นเรียน</t>
        </is>
      </c>
      <c r="C266" s="369" t="n"/>
      <c r="D266" s="369" t="n"/>
      <c r="E266" s="332" t="inlineStr">
        <is>
          <t>Talking Chips + Visual Timer</t>
        </is>
      </c>
      <c r="F266" s="369" t="n"/>
      <c r="G266" s="369" t="n"/>
      <c r="H266" s="333">
        <f>IFERROR(IF('🎯 บันทึกการสอน Dashboard'!M19="✅ ดีมาก","✅","⚠️"),"—")</f>
        <v/>
      </c>
      <c r="I266" s="369" t="n"/>
      <c r="J266" s="310" t="n"/>
      <c r="K266" s="400" t="n"/>
      <c r="L266" s="400" t="n"/>
      <c r="M266" s="400" t="n"/>
      <c r="N266" s="400" t="n"/>
      <c r="O266" s="400" t="n"/>
      <c r="P266" s="400" t="n"/>
      <c r="Q266" s="400" t="n"/>
      <c r="R266" s="400" t="n"/>
    </row>
    <row r="267" ht="19.5" customHeight="1">
      <c r="B267" s="345" t="inlineStr">
        <is>
          <t>8. กำกับตนเอง</t>
        </is>
      </c>
      <c r="C267" s="369" t="n"/>
      <c r="D267" s="369" t="n"/>
      <c r="E267" s="332" t="inlineStr">
        <is>
          <t>3-2-1 Journal + Goal Setting</t>
        </is>
      </c>
      <c r="F267" s="369" t="n"/>
      <c r="G267" s="369" t="n"/>
      <c r="H267" s="333">
        <f>IFERROR(IF('🎯 บันทึกการสอน Dashboard'!I19&gt;=0.6,"✅","⚠️"),"—")</f>
        <v/>
      </c>
      <c r="I267" s="369" t="n"/>
      <c r="J267" s="310" t="n"/>
      <c r="K267" s="400" t="n"/>
      <c r="L267" s="400" t="n"/>
      <c r="M267" s="400" t="n"/>
      <c r="N267" s="400" t="n"/>
      <c r="O267" s="400" t="n"/>
      <c r="P267" s="400" t="n"/>
      <c r="Q267" s="400" t="n"/>
      <c r="R267" s="400" t="n"/>
    </row>
    <row r="268" ht="19.5" customHeight="1">
      <c r="B268" s="343" t="inlineStr">
        <is>
          <t>ส่วนที่ 8 — แนวทางปรับปรุง + Mini-trend เทียบแผนก่อน</t>
        </is>
      </c>
      <c r="C268" s="387" t="n"/>
      <c r="D268" s="387" t="n"/>
      <c r="E268" s="387" t="n"/>
      <c r="F268" s="387" t="n"/>
      <c r="G268" s="387" t="n"/>
      <c r="H268" s="387" t="n"/>
      <c r="I268" s="387" t="n"/>
      <c r="J268" s="387" t="n"/>
      <c r="K268" s="387" t="n"/>
      <c r="L268" s="387" t="n"/>
      <c r="M268" s="387" t="n"/>
      <c r="N268" s="387" t="n"/>
      <c r="O268" s="387" t="n"/>
      <c r="P268" s="387" t="n"/>
      <c r="Q268" s="387" t="n"/>
      <c r="R268" s="387" t="n"/>
    </row>
    <row r="269" ht="18" customHeight="1">
      <c r="B269" s="175" t="inlineStr">
        <is>
          <t>📌 Try ที่ตั้งใจทำจากแผนที่ 4 (Auto)</t>
        </is>
      </c>
      <c r="C269" s="337" t="inlineStr">
        <is>
          <t>← ดูจากแผนที่ 4 ส่วนที่ 8 ช่อง Try</t>
        </is>
      </c>
      <c r="D269" s="369" t="n"/>
      <c r="E269" s="369" t="n"/>
      <c r="F269" s="369" t="n"/>
      <c r="G269" s="369" t="n"/>
      <c r="H269" s="369" t="n"/>
      <c r="I269" s="369" t="n"/>
      <c r="J269" s="369" t="n"/>
    </row>
    <row r="270" ht="19.5" customHeight="1">
      <c r="B270" s="175" t="inlineStr">
        <is>
          <t>📈 Mini-trend (เทียบแผนก่อน)</t>
        </is>
      </c>
      <c r="C270" s="334">
        <f>IFERROR("Sound: "&amp;TEXT('🎯 บันทึกการสอน Dashboard'!K19,"0%")&amp;" vs "&amp;TEXT('🎯 บันทึกการสอน Dashboard'!K18,"0%")&amp;IF('🎯 บันทึกการสอน Dashboard'!K19&gt;'🎯 บันทึกการสอน Dashboard'!K18," ▲ ดีขึ้น",IF('🎯 บันทึกการสอน Dashboard'!K19&lt;'🎯 บันทึกการสอน Dashboard'!K18," ▼ ลดลง"," = คงที่")),"กรอกข้อมูลก่อน")</f>
        <v/>
      </c>
      <c r="D270" s="369" t="n"/>
      <c r="E270" s="369" t="n"/>
      <c r="F270" s="369" t="n"/>
      <c r="G270" s="369" t="n"/>
      <c r="H270" s="369" t="n"/>
      <c r="I270" s="369" t="n"/>
      <c r="J270" s="369" t="n"/>
    </row>
    <row r="271" ht="18" customHeight="1">
      <c r="B271" s="260" t="inlineStr">
        <is>
          <t>✅ Keep — สิ่งที่ได้ผล ควรคงไว้</t>
        </is>
      </c>
      <c r="C271" s="385" t="n"/>
      <c r="D271" s="385" t="n"/>
      <c r="E271" s="385" t="n"/>
      <c r="F271" s="385" t="n"/>
      <c r="G271" s="335" t="inlineStr">
        <is>
          <t>🔄 Change — สิ่งที่ต้องปรับปรุง</t>
        </is>
      </c>
      <c r="H271" s="404" t="n"/>
      <c r="I271" s="404" t="n"/>
      <c r="J271" s="404" t="n"/>
      <c r="K271" s="404" t="n"/>
      <c r="L271" s="336" t="inlineStr">
        <is>
          <t>🆕 Try — สิ่งที่จะลองทำในแผนถัดไป</t>
        </is>
      </c>
      <c r="M271" s="406" t="n"/>
      <c r="N271" s="406" t="n"/>
      <c r="O271" s="406" t="n"/>
      <c r="P271" s="406" t="n"/>
    </row>
    <row r="272" ht="19.5" customHeight="1">
      <c r="B272" s="312" t="n"/>
      <c r="C272" s="402" t="n"/>
      <c r="D272" s="402" t="n"/>
      <c r="E272" s="402" t="n"/>
      <c r="F272" s="402" t="n"/>
      <c r="G272" s="312" t="n"/>
      <c r="H272" s="402" t="n"/>
      <c r="I272" s="402" t="n"/>
      <c r="J272" s="402" t="n"/>
      <c r="K272" s="402" t="n"/>
      <c r="L272" s="312" t="n"/>
      <c r="M272" s="402" t="n"/>
      <c r="N272" s="402" t="n"/>
      <c r="O272" s="402" t="n"/>
      <c r="P272" s="402" t="n"/>
    </row>
    <row r="273" ht="19.5" customHeight="1">
      <c r="B273" s="403" t="n"/>
      <c r="G273" s="403" t="n"/>
      <c r="L273" s="403" t="n"/>
    </row>
    <row r="274" ht="19.5" customHeight="1">
      <c r="B274" s="403" t="n"/>
      <c r="G274" s="403" t="n"/>
      <c r="L274" s="403" t="n"/>
    </row>
    <row r="275" ht="19.5" customHeight="1">
      <c r="B275" s="175" t="inlineStr">
        <is>
          <t>📌 เนื้อหา/ทักษะที่จะทบทวนต้นคาบแผนที่ 6:</t>
        </is>
      </c>
      <c r="C275" s="312" t="n"/>
      <c r="D275" s="402" t="n"/>
      <c r="E275" s="402" t="n"/>
      <c r="F275" s="402" t="n"/>
      <c r="G275" s="402" t="n"/>
      <c r="H275" s="402" t="n"/>
      <c r="I275" s="402" t="n"/>
      <c r="J275" s="402" t="n"/>
      <c r="K275" s="402" t="n"/>
      <c r="L275" s="402" t="n"/>
      <c r="M275" s="402" t="n"/>
      <c r="N275" s="402" t="n"/>
      <c r="O275" s="402" t="n"/>
      <c r="P275" s="402" t="n"/>
      <c r="Q275" s="402" t="n"/>
      <c r="R275" s="402" t="n"/>
    </row>
    <row r="276" ht="19.5" customHeight="1">
      <c r="C276" s="403" t="n"/>
    </row>
    <row r="277" ht="12" customHeight="1"/>
    <row r="278" ht="24" customHeight="1">
      <c r="B278" s="346" t="inlineStr">
        <is>
          <t>▌ แผนการสอนที่ 6  |  พฤติกรรมคลื่น (1): การสะท้อนและการหักเห  |  คาบที่ 11–12  |  อ้างอิง 9.4.1–9.4.2</t>
        </is>
      </c>
      <c r="C278" s="381" t="n"/>
      <c r="D278" s="381" t="n"/>
      <c r="E278" s="381" t="n"/>
      <c r="F278" s="381" t="n"/>
      <c r="G278" s="381" t="n"/>
      <c r="H278" s="381" t="n"/>
      <c r="I278" s="381" t="n"/>
      <c r="J278" s="381" t="n"/>
      <c r="K278" s="381" t="n"/>
      <c r="L278" s="381" t="n"/>
      <c r="M278" s="381" t="n"/>
      <c r="N278" s="381" t="n"/>
      <c r="O278" s="381" t="n"/>
      <c r="P278" s="381" t="n"/>
      <c r="Q278" s="381" t="n"/>
      <c r="R278" s="381" t="n"/>
    </row>
    <row r="279" ht="18" customHeight="1">
      <c r="B279" s="347" t="inlineStr">
        <is>
          <t>จำนวนนักเรียน (Auto):</t>
        </is>
      </c>
      <c r="D279" s="305">
        <f>COUNTA('📥 ข้อมูลนักเรียน'!C4:C43)&amp;" คน"</f>
        <v/>
      </c>
      <c r="E279" s="398" t="n"/>
      <c r="L279" s="347" t="inlineStr">
        <is>
          <t>วันที่สอน:</t>
        </is>
      </c>
      <c r="M279" s="306" t="n"/>
      <c r="N279" s="399" t="n"/>
      <c r="O279" s="347" t="inlineStr">
        <is>
          <t>เวลาที่ใช้ (นาที):</t>
        </is>
      </c>
      <c r="P279" s="306" t="n"/>
      <c r="Q279" s="400" t="n"/>
      <c r="R279" s="399" t="n"/>
    </row>
    <row r="280" ht="19.5" customHeight="1">
      <c r="B280" s="348" t="inlineStr">
        <is>
          <t>ส่วนที่ 1 — ผลการจัดกิจกรรม 5E</t>
        </is>
      </c>
      <c r="C280" s="407" t="n"/>
      <c r="D280" s="407" t="n"/>
      <c r="E280" s="407" t="n"/>
      <c r="F280" s="407" t="n"/>
      <c r="G280" s="407" t="n"/>
      <c r="H280" s="407" t="n"/>
      <c r="I280" s="407" t="n"/>
      <c r="J280" s="407" t="n"/>
      <c r="L280" s="348" t="inlineStr">
        <is>
          <t>✏️ สิ่งที่สังเกต / หมายเหตุ</t>
        </is>
      </c>
      <c r="M280" s="407" t="n"/>
      <c r="N280" s="407" t="n"/>
      <c r="O280" s="407" t="n"/>
      <c r="P280" s="407" t="n"/>
      <c r="Q280" s="407" t="n"/>
      <c r="R280" s="407" t="n"/>
    </row>
    <row r="281" ht="15.75" customHeight="1">
      <c r="B281" s="150" t="inlineStr">
        <is>
          <t>ขั้น 5E</t>
        </is>
      </c>
      <c r="C281" s="308" t="inlineStr">
        <is>
          <t>ตัวชี้วัด / ผล (Auto)</t>
        </is>
      </c>
      <c r="D281" s="369" t="n"/>
      <c r="E281" s="369" t="n"/>
      <c r="F281" s="369" t="n"/>
      <c r="G281" s="308" t="inlineStr">
        <is>
          <t>ระดับ (Auto)</t>
        </is>
      </c>
      <c r="H281" s="369" t="n"/>
      <c r="I281" s="369" t="n"/>
      <c r="J281" s="369" t="n"/>
      <c r="L281" s="308" t="inlineStr">
        <is>
          <t>บันทึกสั้น (2–3 บรรทัด)</t>
        </is>
      </c>
      <c r="M281" s="369" t="n"/>
      <c r="N281" s="369" t="n"/>
      <c r="O281" s="369" t="n"/>
      <c r="P281" s="369" t="n"/>
      <c r="Q281" s="369" t="n"/>
      <c r="R281" s="369" t="n"/>
    </row>
    <row r="282" ht="21.75" customHeight="1">
      <c r="B282" s="177" t="inlineStr">
        <is>
          <t>🔵 Engage</t>
        </is>
      </c>
      <c r="C282" s="285">
        <f>IF('🎯 บันทึกการสอน Dashboard'!F20&gt;0,'🎯 บันทึกการสอน Dashboard'!F20&amp;" คน 🟢","—")</f>
        <v/>
      </c>
      <c r="D282" s="369" t="n"/>
      <c r="E282" s="369" t="n"/>
      <c r="F282" s="369" t="n"/>
      <c r="G282" s="309">
        <f>IFERROR(IF('🎯 บันทึกการสอน Dashboard'!F20+IFERROR('🎯 บันทึกการสอน Dashboard'!G20,0)+IFERROR('🎯 บันทึกการสอน Dashboard'!H20,0)&gt;0,IF('🎯 บันทึกการสอน Dashboard'!F20/('🎯 บันทึกการสอน Dashboard'!F20+IFERROR('🎯 บันทึกการสอน Dashboard'!G20,0)+IFERROR('🎯 บันทึกการสอน Dashboard'!H20,0))&gt;=0.5,"✅ ดี","⚠️ ต่ำ"),"ยังไม่กรอก"),"—")</f>
        <v/>
      </c>
      <c r="H282" s="369" t="n"/>
      <c r="I282" s="369" t="n"/>
      <c r="J282" s="369" t="n"/>
      <c r="L282" s="310" t="n"/>
      <c r="M282" s="400" t="n"/>
      <c r="N282" s="400" t="n"/>
      <c r="O282" s="400" t="n"/>
      <c r="P282" s="400" t="n"/>
      <c r="Q282" s="400" t="n"/>
      <c r="R282" s="400" t="n"/>
    </row>
    <row r="283" ht="21.75" customHeight="1">
      <c r="B283" s="177" t="inlineStr">
        <is>
          <t>🟠 Explore</t>
        </is>
      </c>
      <c r="C283" s="285">
        <f>IF('🎯 บันทึกการสอน Dashboard'!J20&gt;0,"POE avg: "&amp;TEXT('🎯 บันทึกการสอน Dashboard'!J20,"0.00"),"—")</f>
        <v/>
      </c>
      <c r="D283" s="369" t="n"/>
      <c r="E283" s="369" t="n"/>
      <c r="F283" s="369" t="n"/>
      <c r="G283" s="309">
        <f>IF(ISNUMBER('🎯 บันทึกการสอน Dashboard'!J20),IF('🎯 บันทึกการสอน Dashboard'!J20&gt;=2,"✅ ดี","⚠️ ต่ำ"),"—")</f>
        <v/>
      </c>
      <c r="H283" s="369" t="n"/>
      <c r="I283" s="369" t="n"/>
      <c r="J283" s="369" t="n"/>
      <c r="L283" s="310" t="n"/>
      <c r="M283" s="400" t="n"/>
      <c r="N283" s="400" t="n"/>
      <c r="O283" s="400" t="n"/>
      <c r="P283" s="400" t="n"/>
      <c r="Q283" s="400" t="n"/>
      <c r="R283" s="400" t="n"/>
    </row>
    <row r="284" ht="21.75" customHeight="1">
      <c r="B284" s="177" t="inlineStr">
        <is>
          <t>🟢 Explain</t>
        </is>
      </c>
      <c r="C284" s="285">
        <f>IF('🎯 บันทึกการสอน Dashboard'!K20&gt;0,"Sound: "&amp;TEXT('🎯 บันทึกการสอน Dashboard'!K20,"0%"),"—")</f>
        <v/>
      </c>
      <c r="D284" s="369" t="n"/>
      <c r="E284" s="369" t="n"/>
      <c r="F284" s="369" t="n"/>
      <c r="G284" s="309">
        <f>IF(ISNUMBER('🎯 บันทึกการสอน Dashboard'!K20),IF('🎯 บันทึกการสอน Dashboard'!K20&gt;=0.7,"✅ ดี","⚠️ ต่ำ"),"—")</f>
        <v/>
      </c>
      <c r="H284" s="369" t="n"/>
      <c r="I284" s="369" t="n"/>
      <c r="J284" s="369" t="n"/>
      <c r="L284" s="310" t="n"/>
      <c r="M284" s="400" t="n"/>
      <c r="N284" s="400" t="n"/>
      <c r="O284" s="400" t="n"/>
      <c r="P284" s="400" t="n"/>
      <c r="Q284" s="400" t="n"/>
      <c r="R284" s="400" t="n"/>
    </row>
    <row r="285" ht="21.75" customHeight="1">
      <c r="B285" s="177" t="inlineStr">
        <is>
          <t>🟡 Elaborate</t>
        </is>
      </c>
      <c r="C285" s="285" t="inlineStr">
        <is>
          <t>ดูผลใบงาน/Spot the Error</t>
        </is>
      </c>
      <c r="D285" s="369" t="n"/>
      <c r="E285" s="369" t="n"/>
      <c r="F285" s="369" t="n"/>
      <c r="G285" s="309" t="inlineStr">
        <is>
          <t>กรอกเอง</t>
        </is>
      </c>
      <c r="H285" s="369" t="n"/>
      <c r="I285" s="369" t="n"/>
      <c r="J285" s="369" t="n"/>
      <c r="L285" s="310" t="n"/>
      <c r="M285" s="400" t="n"/>
      <c r="N285" s="400" t="n"/>
      <c r="O285" s="400" t="n"/>
      <c r="P285" s="400" t="n"/>
      <c r="Q285" s="400" t="n"/>
      <c r="R285" s="400" t="n"/>
    </row>
    <row r="286" ht="21.75" customHeight="1">
      <c r="B286" s="177" t="inlineStr">
        <is>
          <t>🔴 Evaluate</t>
        </is>
      </c>
      <c r="C286" s="285">
        <f>IF('🎯 บันทึกการสอน Dashboard'!H20&gt;0,"🔴 "&amp;'🎯 บันทึกการสอน Dashboard'!H20&amp;" คน","ยังไม่กรอก")</f>
        <v/>
      </c>
      <c r="D286" s="369" t="n"/>
      <c r="E286" s="369" t="n"/>
      <c r="F286" s="369" t="n"/>
      <c r="G286" s="309">
        <f>IF(ISNUMBER('🎯 บันทึกการสอน Dashboard'!H20),IF('🎯 บันทึกการสอน Dashboard'!H20&lt;=5,"✅ น้อย","⚠️ มาก"),"—")</f>
        <v/>
      </c>
      <c r="H286" s="369" t="n"/>
      <c r="I286" s="369" t="n"/>
      <c r="J286" s="369" t="n"/>
      <c r="L286" s="310" t="n"/>
      <c r="M286" s="400" t="n"/>
      <c r="N286" s="400" t="n"/>
      <c r="O286" s="400" t="n"/>
      <c r="P286" s="400" t="n"/>
      <c r="Q286" s="400" t="n"/>
      <c r="R286" s="400" t="n"/>
    </row>
    <row r="287" ht="19.5" customHeight="1">
      <c r="B287" s="311" t="inlineStr">
        <is>
          <t>ส่วนที่ 2 — ผลการทำ POE (2 ครั้ง)</t>
        </is>
      </c>
      <c r="C287" s="385" t="n"/>
      <c r="D287" s="385" t="n"/>
      <c r="E287" s="385" t="n"/>
      <c r="F287" s="385" t="n"/>
      <c r="G287" s="385" t="n"/>
      <c r="H287" s="385" t="n"/>
      <c r="I287" s="385" t="n"/>
      <c r="J287" s="385" t="n"/>
      <c r="L287" s="311" t="inlineStr">
        <is>
          <t>✏️ ตัวอย่างคำพูดนักเรียน / ข้อค้นพบ</t>
        </is>
      </c>
      <c r="M287" s="385" t="n"/>
      <c r="N287" s="385" t="n"/>
      <c r="O287" s="385" t="n"/>
      <c r="P287" s="385" t="n"/>
      <c r="Q287" s="385" t="n"/>
      <c r="R287" s="385" t="n"/>
    </row>
    <row r="288" ht="27.75" customHeight="1">
      <c r="B288" s="152" t="inlineStr">
        <is>
          <t>POE#1: ปลายตรึง vs ปลายอิสระ</t>
        </is>
      </c>
      <c r="C288" s="285">
        <f>IFERROR("P avg: "&amp;TEXT(AVERAGE('🔬 POE บันทึก'!X4:X43),"0.0")&amp;"  |  E avg: "&amp;TEXT(AVERAGE('🔬 POE บันทึก'!Y4:Y43),"0.0"),"—")</f>
        <v/>
      </c>
      <c r="D288" s="369" t="n"/>
      <c r="E288" s="369" t="n"/>
      <c r="F288" s="369" t="n"/>
      <c r="G288" s="309">
        <f>IFERROR(IF(AVERAGE('🔬 POE บันทึก'!Y4:Y43)&gt;=2,"✅ Conceptual Change","⚠️ ยังไม่เปลี่ยน"),"—")</f>
        <v/>
      </c>
      <c r="H288" s="369" t="n"/>
      <c r="I288" s="369" t="n"/>
      <c r="J288" s="369" t="n"/>
      <c r="L288" s="312" t="n"/>
      <c r="M288" s="402" t="n"/>
      <c r="N288" s="402" t="n"/>
      <c r="O288" s="402" t="n"/>
      <c r="P288" s="402" t="n"/>
      <c r="Q288" s="402" t="n"/>
      <c r="R288" s="402" t="n"/>
    </row>
    <row r="289" ht="15" customHeight="1">
      <c r="L289" s="403" t="n"/>
    </row>
    <row r="290" ht="27.75" customHeight="1">
      <c r="B290" s="152" t="inlineStr">
        <is>
          <t>POE#2: น้ำลึก→น้ำตื้น</t>
        </is>
      </c>
      <c r="C290" s="285">
        <f>IFERROR("P avg: "&amp;TEXT(AVERAGE('🔬 POE บันทึก'!Z4:Z43),"0.0")&amp;"  |  E avg: "&amp;TEXT(AVERAGE('🔬 POE บันทึก'!AA4:AA43),"0.0"),"—")</f>
        <v/>
      </c>
      <c r="D290" s="369" t="n"/>
      <c r="E290" s="369" t="n"/>
      <c r="F290" s="369" t="n"/>
      <c r="G290" s="309">
        <f>IFERROR(IF(AVERAGE('🔬 POE บันทึก'!AA4:AA43)&gt;=2,"✅ Conceptual Change","⚠️ ยังไม่เปลี่ยน"),"—")</f>
        <v/>
      </c>
      <c r="H290" s="369" t="n"/>
      <c r="I290" s="369" t="n"/>
      <c r="J290" s="369" t="n"/>
      <c r="L290" s="312" t="n"/>
      <c r="M290" s="402" t="n"/>
      <c r="N290" s="402" t="n"/>
      <c r="O290" s="402" t="n"/>
      <c r="P290" s="402" t="n"/>
      <c r="Q290" s="402" t="n"/>
      <c r="R290" s="402" t="n"/>
    </row>
    <row r="291" ht="15" customHeight="1">
      <c r="L291" s="403" t="n"/>
    </row>
    <row r="292" ht="19.5" customHeight="1">
      <c r="B292" s="348" t="inlineStr">
        <is>
          <t>ส่วนที่ 3 — การบรรลุวัตถุประสงค์การเรียนรู้ (Auto จาก Four-tier + ตัวชี้วัด)</t>
        </is>
      </c>
      <c r="C292" s="407" t="n"/>
      <c r="D292" s="407" t="n"/>
      <c r="E292" s="407" t="n"/>
      <c r="F292" s="407" t="n"/>
      <c r="G292" s="407" t="n"/>
      <c r="H292" s="407" t="n"/>
      <c r="I292" s="407" t="n"/>
      <c r="J292" s="407" t="n"/>
      <c r="K292" s="407" t="n"/>
      <c r="L292" s="407" t="n"/>
      <c r="M292" s="407" t="n"/>
      <c r="N292" s="407" t="n"/>
      <c r="O292" s="407" t="n"/>
      <c r="P292" s="407" t="n"/>
      <c r="Q292" s="407" t="n"/>
      <c r="R292" s="407" t="n"/>
    </row>
    <row r="293" ht="18" customHeight="1">
      <c r="B293" s="137" t="inlineStr">
        <is>
          <t>วัตถุประสงค์</t>
        </is>
      </c>
      <c r="C293" s="137" t="inlineStr">
        <is>
          <t>ตัวชี้วัด</t>
        </is>
      </c>
      <c r="D293" s="349" t="inlineStr">
        <is>
          <t>n ผ่านเกณฑ์ (Auto)</t>
        </is>
      </c>
      <c r="E293" s="407" t="n"/>
      <c r="F293" s="137" t="inlineStr">
        <is>
          <t>% (Auto)</t>
        </is>
      </c>
      <c r="G293" s="349" t="inlineStr">
        <is>
          <t>ผ่าน? (Auto)</t>
        </is>
      </c>
      <c r="H293" s="407" t="n"/>
      <c r="I293" s="349" t="inlineStr">
        <is>
          <t>หลักฐาน/วิธีวัด</t>
        </is>
      </c>
      <c r="J293" s="407" t="n"/>
      <c r="K293" s="407" t="n"/>
    </row>
    <row r="294" ht="21.75" customHeight="1">
      <c r="B294" s="178" t="inlineStr">
        <is>
          <t>1. อธิบายการสะท้อนในเชือก 2 กรณีและระบุเฟสได้</t>
        </is>
      </c>
      <c r="C294" s="155" t="inlineStr">
        <is>
          <t>ว 2.2 ม.5/7</t>
        </is>
      </c>
      <c r="D294" s="314">
        <f>IFERROR(ROUND('🤖 Four-tier วิเคราะห์'!N90*COUNTA('📥 ข้อมูลนักเรียน'!C4:C43),0),"—")</f>
        <v/>
      </c>
      <c r="E294" s="369" t="n"/>
      <c r="F294" s="79">
        <f>IFERROR('🤖 Four-tier วิเคราะห์'!N90,"—")</f>
        <v/>
      </c>
      <c r="G294" s="315">
        <f>IFERROR(IF('🤖 Four-tier วิเคราะห์'!N90&gt;=0.8,"✅ ผ่าน (≥80%)","❌ ไม่ผ่าน (&lt;80%)"),"—")</f>
        <v/>
      </c>
      <c r="H294" s="369" t="n"/>
      <c r="I294" s="310" t="n"/>
      <c r="J294" s="400" t="n"/>
      <c r="K294" s="400" t="n"/>
      <c r="L294" s="400" t="n"/>
      <c r="M294" s="400" t="n"/>
      <c r="N294" s="400" t="n"/>
      <c r="O294" s="400" t="n"/>
      <c r="P294" s="400" t="n"/>
      <c r="Q294" s="400" t="n"/>
      <c r="R294" s="400" t="n"/>
    </row>
    <row r="295" ht="21.75" customHeight="1">
      <c r="B295" s="178" t="inlineStr">
        <is>
          <t>2. ใช้กฎการสะท้อน θᵢ = θᵣ ได้</t>
        </is>
      </c>
      <c r="C295" s="155" t="inlineStr">
        <is>
          <t>ว 2.2 ม.5/7</t>
        </is>
      </c>
      <c r="D295" s="314">
        <f>IFERROR(ROUND('🤖 Four-tier วิเคราะห์'!O90*COUNTA('📥 ข้อมูลนักเรียน'!C4:C43),0),"—")</f>
        <v/>
      </c>
      <c r="E295" s="369" t="n"/>
      <c r="F295" s="79">
        <f>IFERROR('🤖 Four-tier วิเคราะห์'!O90,"—")</f>
        <v/>
      </c>
      <c r="G295" s="315">
        <f>IFERROR(IF('🤖 Four-tier วิเคราะห์'!O90&gt;=0.8,"✅ ผ่าน (≥80%)","❌ ไม่ผ่าน (&lt;80%)"),"—")</f>
        <v/>
      </c>
      <c r="H295" s="369" t="n"/>
      <c r="I295" s="310" t="n"/>
      <c r="J295" s="400" t="n"/>
      <c r="K295" s="400" t="n"/>
      <c r="L295" s="400" t="n"/>
      <c r="M295" s="400" t="n"/>
      <c r="N295" s="400" t="n"/>
      <c r="O295" s="400" t="n"/>
      <c r="P295" s="400" t="n"/>
      <c r="Q295" s="400" t="n"/>
      <c r="R295" s="400" t="n"/>
    </row>
    <row r="296" ht="21.75" customHeight="1">
      <c r="B296" s="178" t="inlineStr">
        <is>
          <t>3. อธิบายการหักเหและคำนวณ sinθ₁/sinθ₂ = v₁/v₂ ได้</t>
        </is>
      </c>
      <c r="C296" s="155" t="inlineStr">
        <is>
          <t>ว 2.2 ม.5/7</t>
        </is>
      </c>
      <c r="D296" s="314">
        <f>IFERROR(ROUND('🤖 Four-tier วิเคราะห์'!P90*COUNTA('📥 ข้อมูลนักเรียน'!C4:C43),0),"—")</f>
        <v/>
      </c>
      <c r="E296" s="369" t="n"/>
      <c r="F296" s="79">
        <f>IFERROR('🤖 Four-tier วิเคราะห์'!P90,"—")</f>
        <v/>
      </c>
      <c r="G296" s="315">
        <f>IFERROR(IF('🤖 Four-tier วิเคราะห์'!P90&gt;=0.8,"✅ ผ่าน (≥80%)","❌ ไม่ผ่าน (&lt;80%)"),"—")</f>
        <v/>
      </c>
      <c r="H296" s="369" t="n"/>
      <c r="I296" s="310" t="n"/>
      <c r="J296" s="400" t="n"/>
      <c r="K296" s="400" t="n"/>
      <c r="L296" s="400" t="n"/>
      <c r="M296" s="400" t="n"/>
      <c r="N296" s="400" t="n"/>
      <c r="O296" s="400" t="n"/>
      <c r="P296" s="400" t="n"/>
      <c r="Q296" s="400" t="n"/>
      <c r="R296" s="400" t="n"/>
    </row>
    <row r="297" ht="21.75" customHeight="1">
      <c r="B297" s="179" t="inlineStr">
        <is>
          <t>ภาพรวมแผนนี้</t>
        </is>
      </c>
      <c r="C297" s="316">
        <f>IFERROR(AVERAGE('🤖 Four-tier วิเคราะห์'!N90,'🤖 Four-tier วิเคราะห์'!O90,'🤖 Four-tier วิเคราะห์'!P90),0)</f>
        <v/>
      </c>
      <c r="D297" s="369" t="n"/>
      <c r="E297" s="369" t="n"/>
      <c r="F297" s="350">
        <f>IFERROR((IF(ISNUMBER('🤖 Four-tier วิเคราะห์'!M90),IF('🤖 Four-tier วิเคราะห์'!M90&gt;=0.8,1,0),0)+IF(ISNUMBER('🤖 Four-tier วิเคราะห์'!N90),IF('🤖 Four-tier วิเคราะห์'!N90&gt;=0.8,1,0),0)+IF(ISNUMBER('🤖 Four-tier วิเคราะห์'!O90),IF('🤖 Four-tier วิเคราะห์'!O90&gt;=0.8,1,0),0))&amp;"/3 วัตถุประสงค์ผ่าน","—")</f>
        <v/>
      </c>
      <c r="G297" s="369" t="n"/>
      <c r="H297" s="369" t="n"/>
      <c r="I297" s="318">
        <f>IFERROR(IF(AVERAGE('🤖 Four-tier วิเคราะห์'!N90,'🤖 Four-tier วิเคราะห์'!O90,'🤖 Four-tier วิเคราะห์'!P90)&gt;=0.8,"✅ บรรลุเกณฑ์ภาพรวม","⚠️ ยังต่ำกว่าเกณฑ์"),"—")</f>
        <v/>
      </c>
      <c r="J297" s="369" t="n"/>
      <c r="K297" s="369" t="n"/>
      <c r="L297" s="369" t="n"/>
      <c r="M297" s="369" t="n"/>
      <c r="N297" s="369" t="n"/>
      <c r="O297" s="369" t="n"/>
      <c r="P297" s="369" t="n"/>
      <c r="Q297" s="369" t="n"/>
      <c r="R297" s="369" t="n"/>
    </row>
    <row r="298" ht="19.5" customHeight="1">
      <c r="B298" s="311" t="inlineStr">
        <is>
          <t>ส่วนที่ 4 — พฤติกรรมนักเรียนและการมีส่วนร่วม</t>
        </is>
      </c>
      <c r="C298" s="385" t="n"/>
      <c r="D298" s="385" t="n"/>
      <c r="E298" s="385" t="n"/>
      <c r="F298" s="385" t="n"/>
      <c r="G298" s="385" t="n"/>
      <c r="H298" s="385" t="n"/>
      <c r="I298" s="385" t="n"/>
      <c r="J298" s="385" t="n"/>
      <c r="L298" s="311" t="inlineStr">
        <is>
          <t>✏️ กรอก</t>
        </is>
      </c>
      <c r="M298" s="385" t="n"/>
      <c r="N298" s="385" t="n"/>
      <c r="O298" s="385" t="n"/>
      <c r="P298" s="385" t="n"/>
      <c r="Q298" s="385" t="n"/>
      <c r="R298" s="385" t="n"/>
    </row>
    <row r="299" ht="18" customHeight="1">
      <c r="B299" s="157" t="inlineStr">
        <is>
          <t>🟢 Traffic Light</t>
        </is>
      </c>
      <c r="C299" s="314">
        <f>IFERROR('🎯 บันทึกการสอน Dashboard'!F20,0)&amp;" คน"</f>
        <v/>
      </c>
      <c r="D299" s="369" t="n"/>
      <c r="E299" s="369" t="n"/>
      <c r="F299" s="369" t="n"/>
      <c r="G299" s="369" t="n"/>
      <c r="H299" s="369" t="n"/>
      <c r="I299" s="369" t="n"/>
      <c r="J299" s="369" t="n"/>
      <c r="L299" s="319" t="inlineStr">
        <is>
          <t>นักเรียนที่ต้องดูแลพิเศษ / กลุ่มที่มีส่วนร่วมต่ำ:</t>
        </is>
      </c>
      <c r="M299" s="402" t="n"/>
      <c r="N299" s="402" t="n"/>
      <c r="O299" s="402" t="n"/>
      <c r="P299" s="402" t="n"/>
      <c r="Q299" s="402" t="n"/>
      <c r="R299" s="402" t="n"/>
    </row>
    <row r="300" ht="18" customHeight="1">
      <c r="B300" s="158" t="inlineStr">
        <is>
          <t>🟡 Traffic Light</t>
        </is>
      </c>
      <c r="C300" s="320">
        <f>IFERROR('🎯 บันทึกการสอน Dashboard'!G20,0)&amp;" คน"</f>
        <v/>
      </c>
      <c r="D300" s="369" t="n"/>
      <c r="E300" s="369" t="n"/>
      <c r="F300" s="369" t="n"/>
      <c r="G300" s="369" t="n"/>
      <c r="H300" s="369" t="n"/>
      <c r="I300" s="369" t="n"/>
      <c r="J300" s="369" t="n"/>
      <c r="L300" s="403" t="n"/>
    </row>
    <row r="301" ht="18" customHeight="1">
      <c r="B301" s="159" t="inlineStr">
        <is>
          <t>🔴 Traffic Light</t>
        </is>
      </c>
      <c r="C301" s="321">
        <f>IFERROR('🎯 บันทึกการสอน Dashboard'!H20,0)&amp;" คน"</f>
        <v/>
      </c>
      <c r="D301" s="369" t="n"/>
      <c r="E301" s="369" t="n"/>
      <c r="F301" s="369" t="n"/>
      <c r="G301" s="369" t="n"/>
      <c r="H301" s="369" t="n"/>
      <c r="I301" s="369" t="n"/>
      <c r="J301" s="369" t="n"/>
      <c r="L301" s="403" t="n"/>
    </row>
    <row r="302" ht="18" customHeight="1">
      <c r="B302" s="160" t="inlineStr">
        <is>
          <t>สถานะโดยรวม</t>
        </is>
      </c>
      <c r="C302" s="309">
        <f>IFERROR('🎯 บันทึกการสอน Dashboard'!M20,"ยังไม่กรอก")</f>
        <v/>
      </c>
      <c r="D302" s="369" t="n"/>
      <c r="E302" s="369" t="n"/>
      <c r="F302" s="369" t="n"/>
      <c r="G302" s="369" t="n"/>
      <c r="H302" s="369" t="n"/>
      <c r="I302" s="369" t="n"/>
      <c r="J302" s="369" t="n"/>
      <c r="L302" s="403" t="n"/>
    </row>
    <row r="303" ht="19.5" customHeight="1">
      <c r="B303" s="322" t="inlineStr">
        <is>
          <t>ส่วนที่ 5 — ปัญหา อุปสรรค และข้อค้นพบ</t>
        </is>
      </c>
      <c r="C303" s="404" t="n"/>
      <c r="D303" s="404" t="n"/>
      <c r="E303" s="404" t="n"/>
      <c r="F303" s="404" t="n"/>
      <c r="G303" s="404" t="n"/>
      <c r="H303" s="404" t="n"/>
      <c r="I303" s="404" t="n"/>
      <c r="J303" s="404" t="n"/>
      <c r="L303" s="322" t="inlineStr">
        <is>
          <t>✏️ กรอก</t>
        </is>
      </c>
      <c r="M303" s="404" t="n"/>
      <c r="N303" s="404" t="n"/>
      <c r="O303" s="404" t="n"/>
      <c r="P303" s="404" t="n"/>
      <c r="Q303" s="404" t="n"/>
      <c r="R303" s="404" t="n"/>
    </row>
    <row r="304" ht="18" customHeight="1">
      <c r="B304" s="161" t="inlineStr">
        <is>
          <t>Misconception M1 (Pre)</t>
        </is>
      </c>
      <c r="C304" s="323">
        <f>IFERROR('📊 สรุป Misconception'!D3,"—")</f>
        <v/>
      </c>
      <c r="D304" s="369" t="n"/>
      <c r="E304" s="369" t="n"/>
      <c r="F304" s="369" t="n"/>
      <c r="G304" s="369" t="n"/>
      <c r="H304" s="369" t="n"/>
      <c r="I304" s="369" t="n"/>
      <c r="J304" s="369" t="n"/>
      <c r="L304" s="319" t="inlineStr">
        <is>
          <t>รายละเอียดปัญหา / สิ่งที่ค้นพบระหว่างสอน:</t>
        </is>
      </c>
      <c r="M304" s="402" t="n"/>
      <c r="N304" s="402" t="n"/>
      <c r="O304" s="402" t="n"/>
      <c r="P304" s="402" t="n"/>
      <c r="Q304" s="402" t="n"/>
      <c r="R304" s="402" t="n"/>
    </row>
    <row r="305" ht="18" customHeight="1">
      <c r="B305" s="162" t="inlineStr">
        <is>
          <t>Misconception M1 (Post)</t>
        </is>
      </c>
      <c r="C305" s="324">
        <f>IFERROR('📊 สรุป Misconception'!F3,"—")</f>
        <v/>
      </c>
      <c r="D305" s="369" t="n"/>
      <c r="E305" s="369" t="n"/>
      <c r="F305" s="369" t="n"/>
      <c r="G305" s="369" t="n"/>
      <c r="H305" s="369" t="n"/>
      <c r="I305" s="369" t="n"/>
      <c r="J305" s="369" t="n"/>
      <c r="L305" s="403" t="n"/>
    </row>
    <row r="306" ht="18" customHeight="1">
      <c r="B306" s="163" t="inlineStr">
        <is>
          <t>ระดับ M1</t>
        </is>
      </c>
      <c r="C306" s="325">
        <f>IFERROR('📊 สรุป Misconception'!H3,"—")</f>
        <v/>
      </c>
      <c r="D306" s="369" t="n"/>
      <c r="E306" s="369" t="n"/>
      <c r="F306" s="369" t="n"/>
      <c r="G306" s="369" t="n"/>
      <c r="H306" s="369" t="n"/>
      <c r="I306" s="369" t="n"/>
      <c r="J306" s="369" t="n"/>
      <c r="L306" s="403" t="n"/>
    </row>
    <row r="307" ht="18" customHeight="1">
      <c r="B307" s="161" t="inlineStr">
        <is>
          <t>Misc. ใหม่ที่ไม่คาดคิด</t>
        </is>
      </c>
      <c r="C307" s="323" t="inlineStr">
        <is>
          <t>— ดูจากใบงาน POE —</t>
        </is>
      </c>
      <c r="D307" s="369" t="n"/>
      <c r="E307" s="369" t="n"/>
      <c r="F307" s="369" t="n"/>
      <c r="G307" s="369" t="n"/>
      <c r="H307" s="369" t="n"/>
      <c r="I307" s="369" t="n"/>
      <c r="J307" s="369" t="n"/>
      <c r="L307" s="403" t="n"/>
    </row>
    <row r="308" ht="19.5" customHeight="1">
      <c r="B308" s="326" t="inlineStr">
        <is>
          <t>ส่วนที่ 6 — ข้อมูลเชิงวิจัย (Auto ทั้งหมด)</t>
        </is>
      </c>
      <c r="C308" s="405" t="n"/>
      <c r="D308" s="405" t="n"/>
      <c r="E308" s="405" t="n"/>
      <c r="F308" s="405" t="n"/>
      <c r="G308" s="405" t="n"/>
      <c r="H308" s="405" t="n"/>
      <c r="I308" s="405" t="n"/>
      <c r="J308" s="405" t="n"/>
      <c r="L308" s="326" t="inlineStr">
        <is>
          <t>✏️ กรอก</t>
        </is>
      </c>
      <c r="M308" s="405" t="n"/>
      <c r="N308" s="405" t="n"/>
      <c r="O308" s="405" t="n"/>
      <c r="P308" s="405" t="n"/>
      <c r="Q308" s="405" t="n"/>
      <c r="R308" s="405" t="n"/>
    </row>
    <row r="309" ht="18" customHeight="1">
      <c r="B309" s="164" t="inlineStr">
        <is>
          <t>POE เฉลี่ยแผนนี้</t>
        </is>
      </c>
      <c r="C309" s="327">
        <f>IFERROR('🎯 บันทึกการสอน Dashboard'!J20,"—")</f>
        <v/>
      </c>
      <c r="D309" s="369" t="n"/>
      <c r="E309" s="369" t="n"/>
      <c r="F309" s="369" t="n"/>
      <c r="G309" s="369" t="n"/>
      <c r="H309" s="369" t="n"/>
      <c r="I309" s="369" t="n"/>
      <c r="J309" s="369" t="n"/>
      <c r="L309" s="319" t="inlineStr">
        <is>
          <t>การวิเคราะห์เพิ่มเติม / บันทึกสำหรับบทที่ 4:</t>
        </is>
      </c>
      <c r="M309" s="402" t="n"/>
      <c r="N309" s="402" t="n"/>
      <c r="O309" s="402" t="n"/>
      <c r="P309" s="402" t="n"/>
      <c r="Q309" s="402" t="n"/>
      <c r="R309" s="402" t="n"/>
    </row>
    <row r="310" ht="18" customHeight="1">
      <c r="B310" s="165" t="inlineStr">
        <is>
          <t>% Sound (Post-test)</t>
        </is>
      </c>
      <c r="C310" s="328">
        <f>IFERROR('🎯 บันทึกการสอน Dashboard'!K20,"—")</f>
        <v/>
      </c>
      <c r="D310" s="369" t="n"/>
      <c r="E310" s="369" t="n"/>
      <c r="F310" s="369" t="n"/>
      <c r="G310" s="369" t="n"/>
      <c r="H310" s="369" t="n"/>
      <c r="I310" s="369" t="n"/>
      <c r="J310" s="369" t="n"/>
      <c r="L310" s="403" t="n"/>
    </row>
    <row r="311" ht="18" customHeight="1">
      <c r="B311" s="166" t="inlineStr">
        <is>
          <t>% Misconception (Post)</t>
        </is>
      </c>
      <c r="C311" s="329">
        <f>IFERROR('🎯 บันทึกการสอน Dashboard'!L20,"—")</f>
        <v/>
      </c>
      <c r="D311" s="369" t="n"/>
      <c r="E311" s="369" t="n"/>
      <c r="F311" s="369" t="n"/>
      <c r="G311" s="369" t="n"/>
      <c r="H311" s="369" t="n"/>
      <c r="I311" s="369" t="n"/>
      <c r="J311" s="369" t="n"/>
      <c r="L311" s="403" t="n"/>
    </row>
    <row r="312" ht="18" customHeight="1">
      <c r="B312" s="164" t="inlineStr">
        <is>
          <t>GAP: POE ดีแต่ Misc.</t>
        </is>
      </c>
      <c r="C312" s="330">
        <f>IFERROR(COUNTIF('🔗 POE-Fourtier เทียบ'!H9,"🔴*"),0)&amp;" คน"</f>
        <v/>
      </c>
      <c r="D312" s="369" t="n"/>
      <c r="E312" s="369" t="n"/>
      <c r="F312" s="369" t="n"/>
      <c r="G312" s="369" t="n"/>
      <c r="H312" s="369" t="n"/>
      <c r="I312" s="369" t="n"/>
      <c r="J312" s="369" t="n"/>
      <c r="L312" s="403" t="n"/>
    </row>
    <row r="313" ht="19.5" customHeight="1">
      <c r="B313" s="348" t="inlineStr">
        <is>
          <t>ส่วนที่ 7 — ประเมิน 8 องค์ประกอบ วPA</t>
        </is>
      </c>
      <c r="C313" s="407" t="n"/>
      <c r="D313" s="407" t="n"/>
      <c r="E313" s="407" t="n"/>
      <c r="F313" s="407" t="n"/>
      <c r="G313" s="407" t="n"/>
      <c r="H313" s="407" t="n"/>
      <c r="I313" s="407" t="n"/>
      <c r="J313" s="407" t="n"/>
      <c r="K313" s="407" t="n"/>
      <c r="L313" s="407" t="n"/>
      <c r="M313" s="407" t="n"/>
      <c r="N313" s="407" t="n"/>
      <c r="O313" s="407" t="n"/>
      <c r="P313" s="407" t="n"/>
      <c r="Q313" s="407" t="n"/>
      <c r="R313" s="407" t="n"/>
    </row>
    <row r="314" ht="18" customHeight="1">
      <c r="B314" s="349" t="inlineStr">
        <is>
          <t>องค์ประกอบ วPA</t>
        </is>
      </c>
      <c r="C314" s="407" t="n"/>
      <c r="D314" s="407" t="n"/>
      <c r="E314" s="349" t="inlineStr">
        <is>
          <t>กิจกรรมที่รองรับ</t>
        </is>
      </c>
      <c r="F314" s="407" t="n"/>
      <c r="G314" s="407" t="n"/>
      <c r="H314" s="349" t="inlineStr">
        <is>
          <t>ระดับ (Auto)</t>
        </is>
      </c>
      <c r="I314" s="407" t="n"/>
      <c r="J314" s="407" t="n"/>
      <c r="K314" s="349" t="inlineStr">
        <is>
          <t>ผ่าน?</t>
        </is>
      </c>
      <c r="L314" s="407" t="n"/>
      <c r="M314" s="407" t="n"/>
      <c r="N314" s="349" t="inlineStr">
        <is>
          <t>หลักฐาน/สิ่งที่สังเกต</t>
        </is>
      </c>
      <c r="O314" s="407" t="n"/>
      <c r="P314" s="407" t="n"/>
    </row>
    <row r="315" ht="19.5" customHeight="1">
      <c r="B315" s="351" t="inlineStr">
        <is>
          <t>1. เข้าถึงและเข้าใจบทเรียน</t>
        </is>
      </c>
      <c r="C315" s="369" t="n"/>
      <c r="D315" s="369" t="n"/>
      <c r="E315" s="332" t="inlineStr">
        <is>
          <t>Concept Cartoon + วิดีโอ</t>
        </is>
      </c>
      <c r="F315" s="369" t="n"/>
      <c r="G315" s="369" t="n"/>
      <c r="H315" s="333">
        <f>IFERROR(IF('🎯 บันทึกการสอน Dashboard'!K20&gt;=0.6,"✅","⚠️"),"—")</f>
        <v/>
      </c>
      <c r="I315" s="369" t="n"/>
      <c r="J315" s="310" t="n"/>
      <c r="K315" s="400" t="n"/>
      <c r="L315" s="400" t="n"/>
      <c r="M315" s="400" t="n"/>
      <c r="N315" s="400" t="n"/>
      <c r="O315" s="400" t="n"/>
      <c r="P315" s="400" t="n"/>
      <c r="Q315" s="400" t="n"/>
      <c r="R315" s="400" t="n"/>
    </row>
    <row r="316" ht="19.5" customHeight="1">
      <c r="B316" s="351" t="inlineStr">
        <is>
          <t>2. เชื่อมโยงความรู้เดิม</t>
        </is>
      </c>
      <c r="C316" s="369" t="n"/>
      <c r="D316" s="369" t="n"/>
      <c r="E316" s="332" t="inlineStr">
        <is>
          <t>POE-Predict + KWL</t>
        </is>
      </c>
      <c r="F316" s="369" t="n"/>
      <c r="G316" s="369" t="n"/>
      <c r="H316" s="333">
        <f>IFERROR(IF('🎯 บันทึกการสอน Dashboard'!J20&gt;=1.5,"✅","⚠️"),"—")</f>
        <v/>
      </c>
      <c r="I316" s="369" t="n"/>
      <c r="J316" s="310" t="n"/>
      <c r="K316" s="400" t="n"/>
      <c r="L316" s="400" t="n"/>
      <c r="M316" s="400" t="n"/>
      <c r="N316" s="400" t="n"/>
      <c r="O316" s="400" t="n"/>
      <c r="P316" s="400" t="n"/>
      <c r="Q316" s="400" t="n"/>
      <c r="R316" s="400" t="n"/>
    </row>
    <row r="317" ht="19.5" customHeight="1">
      <c r="B317" s="351" t="inlineStr">
        <is>
          <t>3. สร้างความรู้เอง</t>
        </is>
      </c>
      <c r="C317" s="369" t="n"/>
      <c r="D317" s="369" t="n"/>
      <c r="E317" s="332" t="inlineStr">
        <is>
          <t>ทดลองสปริง + PhET</t>
        </is>
      </c>
      <c r="F317" s="369" t="n"/>
      <c r="G317" s="369" t="n"/>
      <c r="H317" s="333">
        <f>IFERROR(IF('🎯 บันทึกการสอน Dashboard'!J20&gt;=2,"✅","⚠️"),"—")</f>
        <v/>
      </c>
      <c r="I317" s="369" t="n"/>
      <c r="J317" s="310" t="n"/>
      <c r="K317" s="400" t="n"/>
      <c r="L317" s="400" t="n"/>
      <c r="M317" s="400" t="n"/>
      <c r="N317" s="400" t="n"/>
      <c r="O317" s="400" t="n"/>
      <c r="P317" s="400" t="n"/>
      <c r="Q317" s="400" t="n"/>
      <c r="R317" s="400" t="n"/>
    </row>
    <row r="318" ht="19.5" customHeight="1">
      <c r="B318" s="351" t="inlineStr">
        <is>
          <t>4. แรงจูงใจ</t>
        </is>
      </c>
      <c r="C318" s="369" t="n"/>
      <c r="D318" s="369" t="n"/>
      <c r="E318" s="332" t="inlineStr">
        <is>
          <t>Traffic Lights + Brain Break</t>
        </is>
      </c>
      <c r="F318" s="369" t="n"/>
      <c r="G318" s="369" t="n"/>
      <c r="H318" s="333">
        <f>IFERROR(IF('🎯 บันทึกการสอน Dashboard'!F20&gt;='🎯 บันทึกการสอน Dashboard'!H20,"✅","⚠️"),"—")</f>
        <v/>
      </c>
      <c r="I318" s="369" t="n"/>
      <c r="J318" s="310" t="n"/>
      <c r="K318" s="400" t="n"/>
      <c r="L318" s="400" t="n"/>
      <c r="M318" s="400" t="n"/>
      <c r="N318" s="400" t="n"/>
      <c r="O318" s="400" t="n"/>
      <c r="P318" s="400" t="n"/>
      <c r="Q318" s="400" t="n"/>
      <c r="R318" s="400" t="n"/>
    </row>
    <row r="319" ht="19.5" customHeight="1">
      <c r="B319" s="351" t="inlineStr">
        <is>
          <t>5. พัฒนาทักษะเชี่ยวชาญ</t>
        </is>
      </c>
      <c r="C319" s="369" t="n"/>
      <c r="D319" s="369" t="n"/>
      <c r="E319" s="332" t="inlineStr">
        <is>
          <t>Spot the Error + Matrix</t>
        </is>
      </c>
      <c r="F319" s="369" t="n"/>
      <c r="G319" s="369" t="n"/>
      <c r="H319" s="333">
        <f>IFERROR(IF('🎯 บันทึกการสอน Dashboard'!I20&gt;=0.7,"✅","⚠️"),"—")</f>
        <v/>
      </c>
      <c r="I319" s="369" t="n"/>
      <c r="J319" s="310" t="n"/>
      <c r="K319" s="400" t="n"/>
      <c r="L319" s="400" t="n"/>
      <c r="M319" s="400" t="n"/>
      <c r="N319" s="400" t="n"/>
      <c r="O319" s="400" t="n"/>
      <c r="P319" s="400" t="n"/>
      <c r="Q319" s="400" t="n"/>
      <c r="R319" s="400" t="n"/>
    </row>
    <row r="320" ht="19.5" customHeight="1">
      <c r="B320" s="351" t="inlineStr">
        <is>
          <t>6. Feedback ปรับปรุง</t>
        </is>
      </c>
      <c r="C320" s="369" t="n"/>
      <c r="D320" s="369" t="n"/>
      <c r="E320" s="332" t="inlineStr">
        <is>
          <t>Concept Cartoon เฉลย + 3-2-1</t>
        </is>
      </c>
      <c r="F320" s="369" t="n"/>
      <c r="G320" s="369" t="n"/>
      <c r="H320" s="333">
        <f>IFERROR(IF('🎯 บันทึกการสอน Dashboard'!H20&lt;=5,"✅","⚠️"),"—")</f>
        <v/>
      </c>
      <c r="I320" s="369" t="n"/>
      <c r="J320" s="310" t="n"/>
      <c r="K320" s="400" t="n"/>
      <c r="L320" s="400" t="n"/>
      <c r="M320" s="400" t="n"/>
      <c r="N320" s="400" t="n"/>
      <c r="O320" s="400" t="n"/>
      <c r="P320" s="400" t="n"/>
      <c r="Q320" s="400" t="n"/>
      <c r="R320" s="400" t="n"/>
    </row>
    <row r="321" ht="19.5" customHeight="1">
      <c r="B321" s="351" t="inlineStr">
        <is>
          <t>7. บรรยากาศชั้นเรียน</t>
        </is>
      </c>
      <c r="C321" s="369" t="n"/>
      <c r="D321" s="369" t="n"/>
      <c r="E321" s="332" t="inlineStr">
        <is>
          <t>Talking Chips + Visual Timer</t>
        </is>
      </c>
      <c r="F321" s="369" t="n"/>
      <c r="G321" s="369" t="n"/>
      <c r="H321" s="333">
        <f>IFERROR(IF('🎯 บันทึกการสอน Dashboard'!M20="✅ ดีมาก","✅","⚠️"),"—")</f>
        <v/>
      </c>
      <c r="I321" s="369" t="n"/>
      <c r="J321" s="310" t="n"/>
      <c r="K321" s="400" t="n"/>
      <c r="L321" s="400" t="n"/>
      <c r="M321" s="400" t="n"/>
      <c r="N321" s="400" t="n"/>
      <c r="O321" s="400" t="n"/>
      <c r="P321" s="400" t="n"/>
      <c r="Q321" s="400" t="n"/>
      <c r="R321" s="400" t="n"/>
    </row>
    <row r="322" ht="19.5" customHeight="1">
      <c r="B322" s="351" t="inlineStr">
        <is>
          <t>8. กำกับตนเอง</t>
        </is>
      </c>
      <c r="C322" s="369" t="n"/>
      <c r="D322" s="369" t="n"/>
      <c r="E322" s="332" t="inlineStr">
        <is>
          <t>3-2-1 Journal + Goal Setting</t>
        </is>
      </c>
      <c r="F322" s="369" t="n"/>
      <c r="G322" s="369" t="n"/>
      <c r="H322" s="333">
        <f>IFERROR(IF('🎯 บันทึกการสอน Dashboard'!I20&gt;=0.6,"✅","⚠️"),"—")</f>
        <v/>
      </c>
      <c r="I322" s="369" t="n"/>
      <c r="J322" s="310" t="n"/>
      <c r="K322" s="400" t="n"/>
      <c r="L322" s="400" t="n"/>
      <c r="M322" s="400" t="n"/>
      <c r="N322" s="400" t="n"/>
      <c r="O322" s="400" t="n"/>
      <c r="P322" s="400" t="n"/>
      <c r="Q322" s="400" t="n"/>
      <c r="R322" s="400" t="n"/>
    </row>
    <row r="323" ht="19.5" customHeight="1">
      <c r="B323" s="348" t="inlineStr">
        <is>
          <t>ส่วนที่ 8 — แนวทางปรับปรุง + Mini-trend เทียบแผนก่อน</t>
        </is>
      </c>
      <c r="C323" s="407" t="n"/>
      <c r="D323" s="407" t="n"/>
      <c r="E323" s="407" t="n"/>
      <c r="F323" s="407" t="n"/>
      <c r="G323" s="407" t="n"/>
      <c r="H323" s="407" t="n"/>
      <c r="I323" s="407" t="n"/>
      <c r="J323" s="407" t="n"/>
      <c r="K323" s="407" t="n"/>
      <c r="L323" s="407" t="n"/>
      <c r="M323" s="407" t="n"/>
      <c r="N323" s="407" t="n"/>
      <c r="O323" s="407" t="n"/>
      <c r="P323" s="407" t="n"/>
      <c r="Q323" s="407" t="n"/>
      <c r="R323" s="407" t="n"/>
    </row>
    <row r="324" ht="18" customHeight="1">
      <c r="B324" s="180" t="inlineStr">
        <is>
          <t>📌 Try ที่ตั้งใจทำจากแผนที่ 5 (Auto)</t>
        </is>
      </c>
      <c r="C324" s="337" t="inlineStr">
        <is>
          <t>← ดูจากแผนที่ 5 ส่วนที่ 8 ช่อง Try</t>
        </is>
      </c>
      <c r="D324" s="369" t="n"/>
      <c r="E324" s="369" t="n"/>
      <c r="F324" s="369" t="n"/>
      <c r="G324" s="369" t="n"/>
      <c r="H324" s="369" t="n"/>
      <c r="I324" s="369" t="n"/>
      <c r="J324" s="369" t="n"/>
    </row>
    <row r="325" ht="19.5" customHeight="1">
      <c r="B325" s="180" t="inlineStr">
        <is>
          <t>📈 Mini-trend (เทียบแผนก่อน)</t>
        </is>
      </c>
      <c r="C325" s="334">
        <f>IFERROR("Sound: "&amp;TEXT('🎯 บันทึกการสอน Dashboard'!K20,"0%")&amp;" vs "&amp;TEXT('🎯 บันทึกการสอน Dashboard'!K19,"0%")&amp;IF('🎯 บันทึกการสอน Dashboard'!K20&gt;'🎯 บันทึกการสอน Dashboard'!K19," ▲ ดีขึ้น",IF('🎯 บันทึกการสอน Dashboard'!K20&lt;'🎯 บันทึกการสอน Dashboard'!K19," ▼ ลดลง"," = คงที่")),"กรอกข้อมูลก่อน")</f>
        <v/>
      </c>
      <c r="D325" s="369" t="n"/>
      <c r="E325" s="369" t="n"/>
      <c r="F325" s="369" t="n"/>
      <c r="G325" s="369" t="n"/>
      <c r="H325" s="369" t="n"/>
      <c r="I325" s="369" t="n"/>
      <c r="J325" s="369" t="n"/>
    </row>
    <row r="326" ht="18" customHeight="1">
      <c r="B326" s="260" t="inlineStr">
        <is>
          <t>✅ Keep — สิ่งที่ได้ผล ควรคงไว้</t>
        </is>
      </c>
      <c r="C326" s="385" t="n"/>
      <c r="D326" s="385" t="n"/>
      <c r="E326" s="385" t="n"/>
      <c r="F326" s="385" t="n"/>
      <c r="G326" s="335" t="inlineStr">
        <is>
          <t>🔄 Change — สิ่งที่ต้องปรับปรุง</t>
        </is>
      </c>
      <c r="H326" s="404" t="n"/>
      <c r="I326" s="404" t="n"/>
      <c r="J326" s="404" t="n"/>
      <c r="K326" s="404" t="n"/>
      <c r="L326" s="336" t="inlineStr">
        <is>
          <t>🆕 Try — สิ่งที่จะลองทำในแผนถัดไป</t>
        </is>
      </c>
      <c r="M326" s="406" t="n"/>
      <c r="N326" s="406" t="n"/>
      <c r="O326" s="406" t="n"/>
      <c r="P326" s="406" t="n"/>
    </row>
    <row r="327" ht="19.5" customHeight="1">
      <c r="B327" s="312" t="n"/>
      <c r="C327" s="402" t="n"/>
      <c r="D327" s="402" t="n"/>
      <c r="E327" s="402" t="n"/>
      <c r="F327" s="402" t="n"/>
      <c r="G327" s="312" t="n"/>
      <c r="H327" s="402" t="n"/>
      <c r="I327" s="402" t="n"/>
      <c r="J327" s="402" t="n"/>
      <c r="K327" s="402" t="n"/>
      <c r="L327" s="312" t="n"/>
      <c r="M327" s="402" t="n"/>
      <c r="N327" s="402" t="n"/>
      <c r="O327" s="402" t="n"/>
      <c r="P327" s="402" t="n"/>
    </row>
    <row r="328" ht="19.5" customHeight="1">
      <c r="B328" s="403" t="n"/>
      <c r="G328" s="403" t="n"/>
      <c r="L328" s="403" t="n"/>
    </row>
    <row r="329" ht="19.5" customHeight="1">
      <c r="B329" s="403" t="n"/>
      <c r="G329" s="403" t="n"/>
      <c r="L329" s="403" t="n"/>
    </row>
    <row r="330" ht="19.5" customHeight="1">
      <c r="B330" s="180" t="inlineStr">
        <is>
          <t>📌 เนื้อหา/ทักษะที่จะทบทวนต้นคาบแผนที่ 7:</t>
        </is>
      </c>
      <c r="C330" s="312" t="n"/>
      <c r="D330" s="402" t="n"/>
      <c r="E330" s="402" t="n"/>
      <c r="F330" s="402" t="n"/>
      <c r="G330" s="402" t="n"/>
      <c r="H330" s="402" t="n"/>
      <c r="I330" s="402" t="n"/>
      <c r="J330" s="402" t="n"/>
      <c r="K330" s="402" t="n"/>
      <c r="L330" s="402" t="n"/>
      <c r="M330" s="402" t="n"/>
      <c r="N330" s="402" t="n"/>
      <c r="O330" s="402" t="n"/>
      <c r="P330" s="402" t="n"/>
      <c r="Q330" s="402" t="n"/>
      <c r="R330" s="402" t="n"/>
    </row>
    <row r="331" ht="19.5" customHeight="1">
      <c r="C331" s="403" t="n"/>
    </row>
    <row r="332" ht="12" customHeight="1"/>
    <row r="333" ht="24" customHeight="1">
      <c r="B333" s="352" t="inlineStr">
        <is>
          <t>▌ แผนการสอนที่ 7  |  พฤติกรรมคลื่น (2): การแทรกสอดและคลื่นนิ่ง  |  คาบที่ 13–15  |  อ้างอิง 9.4.3</t>
        </is>
      </c>
      <c r="C333" s="382" t="n"/>
      <c r="D333" s="382" t="n"/>
      <c r="E333" s="382" t="n"/>
      <c r="F333" s="382" t="n"/>
      <c r="G333" s="382" t="n"/>
      <c r="H333" s="382" t="n"/>
      <c r="I333" s="382" t="n"/>
      <c r="J333" s="382" t="n"/>
      <c r="K333" s="382" t="n"/>
      <c r="L333" s="382" t="n"/>
      <c r="M333" s="382" t="n"/>
      <c r="N333" s="382" t="n"/>
      <c r="O333" s="382" t="n"/>
      <c r="P333" s="382" t="n"/>
      <c r="Q333" s="382" t="n"/>
      <c r="R333" s="382" t="n"/>
    </row>
    <row r="334" ht="18" customHeight="1">
      <c r="B334" s="353" t="inlineStr">
        <is>
          <t>จำนวนนักเรียน (Auto):</t>
        </is>
      </c>
      <c r="D334" s="305">
        <f>COUNTA('📥 ข้อมูลนักเรียน'!C4:C43)&amp;" คน"</f>
        <v/>
      </c>
      <c r="E334" s="398" t="n"/>
      <c r="L334" s="353" t="inlineStr">
        <is>
          <t>วันที่สอน:</t>
        </is>
      </c>
      <c r="M334" s="306" t="n"/>
      <c r="N334" s="399" t="n"/>
      <c r="O334" s="353" t="inlineStr">
        <is>
          <t>เวลาที่ใช้ (นาที):</t>
        </is>
      </c>
      <c r="P334" s="306" t="n"/>
      <c r="Q334" s="400" t="n"/>
      <c r="R334" s="399" t="n"/>
    </row>
    <row r="335" ht="19.5" customHeight="1">
      <c r="B335" s="354" t="inlineStr">
        <is>
          <t>ส่วนที่ 1 — ผลการจัดกิจกรรม 5E</t>
        </is>
      </c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L335" s="354" t="inlineStr">
        <is>
          <t>✏️ สิ่งที่สังเกต / หมายเหตุ</t>
        </is>
      </c>
      <c r="M335" s="406" t="n"/>
      <c r="N335" s="406" t="n"/>
      <c r="O335" s="406" t="n"/>
      <c r="P335" s="406" t="n"/>
      <c r="Q335" s="406" t="n"/>
      <c r="R335" s="406" t="n"/>
    </row>
    <row r="336" ht="15.75" customHeight="1">
      <c r="B336" s="150" t="inlineStr">
        <is>
          <t>ขั้น 5E</t>
        </is>
      </c>
      <c r="C336" s="308" t="inlineStr">
        <is>
          <t>ตัวชี้วัด / ผล (Auto)</t>
        </is>
      </c>
      <c r="D336" s="369" t="n"/>
      <c r="E336" s="369" t="n"/>
      <c r="F336" s="369" t="n"/>
      <c r="G336" s="308" t="inlineStr">
        <is>
          <t>ระดับ (Auto)</t>
        </is>
      </c>
      <c r="H336" s="369" t="n"/>
      <c r="I336" s="369" t="n"/>
      <c r="J336" s="369" t="n"/>
      <c r="L336" s="308" t="inlineStr">
        <is>
          <t>บันทึกสั้น (2–3 บรรทัด)</t>
        </is>
      </c>
      <c r="M336" s="369" t="n"/>
      <c r="N336" s="369" t="n"/>
      <c r="O336" s="369" t="n"/>
      <c r="P336" s="369" t="n"/>
      <c r="Q336" s="369" t="n"/>
      <c r="R336" s="369" t="n"/>
    </row>
    <row r="337" ht="21.75" customHeight="1">
      <c r="B337" s="182" t="inlineStr">
        <is>
          <t>🔵 Engage</t>
        </is>
      </c>
      <c r="C337" s="285">
        <f>IF('🎯 บันทึกการสอน Dashboard'!F21&gt;0,'🎯 บันทึกการสอน Dashboard'!F21&amp;" คน 🟢","—")</f>
        <v/>
      </c>
      <c r="D337" s="369" t="n"/>
      <c r="E337" s="369" t="n"/>
      <c r="F337" s="369" t="n"/>
      <c r="G337" s="309">
        <f>IFERROR(IF('🎯 บันทึกการสอน Dashboard'!F21+IFERROR('🎯 บันทึกการสอน Dashboard'!G21,0)+IFERROR('🎯 บันทึกการสอน Dashboard'!H21,0)&gt;0,IF('🎯 บันทึกการสอน Dashboard'!F21/('🎯 บันทึกการสอน Dashboard'!F21+IFERROR('🎯 บันทึกการสอน Dashboard'!G21,0)+IFERROR('🎯 บันทึกการสอน Dashboard'!H21,0))&gt;=0.5,"✅ ดี","⚠️ ต่ำ"),"ยังไม่กรอก"),"—")</f>
        <v/>
      </c>
      <c r="H337" s="369" t="n"/>
      <c r="I337" s="369" t="n"/>
      <c r="J337" s="369" t="n"/>
      <c r="L337" s="310" t="n"/>
      <c r="M337" s="400" t="n"/>
      <c r="N337" s="400" t="n"/>
      <c r="O337" s="400" t="n"/>
      <c r="P337" s="400" t="n"/>
      <c r="Q337" s="400" t="n"/>
      <c r="R337" s="400" t="n"/>
    </row>
    <row r="338" ht="21.75" customHeight="1">
      <c r="B338" s="182" t="inlineStr">
        <is>
          <t>🟠 Explore</t>
        </is>
      </c>
      <c r="C338" s="285">
        <f>IF('🎯 บันทึกการสอน Dashboard'!J21&gt;0,"POE avg: "&amp;TEXT('🎯 บันทึกการสอน Dashboard'!J21,"0.00"),"—")</f>
        <v/>
      </c>
      <c r="D338" s="369" t="n"/>
      <c r="E338" s="369" t="n"/>
      <c r="F338" s="369" t="n"/>
      <c r="G338" s="309">
        <f>IF(ISNUMBER('🎯 บันทึกการสอน Dashboard'!J21),IF('🎯 บันทึกการสอน Dashboard'!J21&gt;=2,"✅ ดี","⚠️ ต่ำ"),"—")</f>
        <v/>
      </c>
      <c r="H338" s="369" t="n"/>
      <c r="I338" s="369" t="n"/>
      <c r="J338" s="369" t="n"/>
      <c r="L338" s="310" t="n"/>
      <c r="M338" s="400" t="n"/>
      <c r="N338" s="400" t="n"/>
      <c r="O338" s="400" t="n"/>
      <c r="P338" s="400" t="n"/>
      <c r="Q338" s="400" t="n"/>
      <c r="R338" s="400" t="n"/>
    </row>
    <row r="339" ht="21.75" customHeight="1">
      <c r="B339" s="182" t="inlineStr">
        <is>
          <t>🟢 Explain</t>
        </is>
      </c>
      <c r="C339" s="285">
        <f>IF('🎯 บันทึกการสอน Dashboard'!K21&gt;0,"Sound: "&amp;TEXT('🎯 บันทึกการสอน Dashboard'!K21,"0%"),"—")</f>
        <v/>
      </c>
      <c r="D339" s="369" t="n"/>
      <c r="E339" s="369" t="n"/>
      <c r="F339" s="369" t="n"/>
      <c r="G339" s="309">
        <f>IF(ISNUMBER('🎯 บันทึกการสอน Dashboard'!K21),IF('🎯 บันทึกการสอน Dashboard'!K21&gt;=0.7,"✅ ดี","⚠️ ต่ำ"),"—")</f>
        <v/>
      </c>
      <c r="H339" s="369" t="n"/>
      <c r="I339" s="369" t="n"/>
      <c r="J339" s="369" t="n"/>
      <c r="L339" s="310" t="n"/>
      <c r="M339" s="400" t="n"/>
      <c r="N339" s="400" t="n"/>
      <c r="O339" s="400" t="n"/>
      <c r="P339" s="400" t="n"/>
      <c r="Q339" s="400" t="n"/>
      <c r="R339" s="400" t="n"/>
    </row>
    <row r="340" ht="21.75" customHeight="1">
      <c r="B340" s="182" t="inlineStr">
        <is>
          <t>🟡 Elaborate</t>
        </is>
      </c>
      <c r="C340" s="285" t="inlineStr">
        <is>
          <t>ดูผลใบงาน/Spot the Error</t>
        </is>
      </c>
      <c r="D340" s="369" t="n"/>
      <c r="E340" s="369" t="n"/>
      <c r="F340" s="369" t="n"/>
      <c r="G340" s="309" t="inlineStr">
        <is>
          <t>กรอกเอง</t>
        </is>
      </c>
      <c r="H340" s="369" t="n"/>
      <c r="I340" s="369" t="n"/>
      <c r="J340" s="369" t="n"/>
      <c r="L340" s="310" t="n"/>
      <c r="M340" s="400" t="n"/>
      <c r="N340" s="400" t="n"/>
      <c r="O340" s="400" t="n"/>
      <c r="P340" s="400" t="n"/>
      <c r="Q340" s="400" t="n"/>
      <c r="R340" s="400" t="n"/>
    </row>
    <row r="341" ht="21.75" customHeight="1">
      <c r="B341" s="182" t="inlineStr">
        <is>
          <t>🔴 Evaluate</t>
        </is>
      </c>
      <c r="C341" s="285">
        <f>IF('🎯 บันทึกการสอน Dashboard'!H21&gt;0,"🔴 "&amp;'🎯 บันทึกการสอน Dashboard'!H21&amp;" คน","ยังไม่กรอก")</f>
        <v/>
      </c>
      <c r="D341" s="369" t="n"/>
      <c r="E341" s="369" t="n"/>
      <c r="F341" s="369" t="n"/>
      <c r="G341" s="309">
        <f>IF(ISNUMBER('🎯 บันทึกการสอน Dashboard'!H21),IF('🎯 บันทึกการสอน Dashboard'!H21&lt;=5,"✅ น้อย","⚠️ มาก"),"—")</f>
        <v/>
      </c>
      <c r="H341" s="369" t="n"/>
      <c r="I341" s="369" t="n"/>
      <c r="J341" s="369" t="n"/>
      <c r="L341" s="310" t="n"/>
      <c r="M341" s="400" t="n"/>
      <c r="N341" s="400" t="n"/>
      <c r="O341" s="400" t="n"/>
      <c r="P341" s="400" t="n"/>
      <c r="Q341" s="400" t="n"/>
      <c r="R341" s="400" t="n"/>
    </row>
    <row r="342" ht="19.5" customHeight="1">
      <c r="B342" s="311" t="inlineStr">
        <is>
          <t>ส่วนที่ 2 — ผลการทำ POE (2 ครั้ง)</t>
        </is>
      </c>
      <c r="C342" s="385" t="n"/>
      <c r="D342" s="385" t="n"/>
      <c r="E342" s="385" t="n"/>
      <c r="F342" s="385" t="n"/>
      <c r="G342" s="385" t="n"/>
      <c r="H342" s="385" t="n"/>
      <c r="I342" s="385" t="n"/>
      <c r="J342" s="385" t="n"/>
      <c r="L342" s="311" t="inlineStr">
        <is>
          <t>✏️ ตัวอย่างคำพูดนักเรียน / ข้อค้นพบ</t>
        </is>
      </c>
      <c r="M342" s="385" t="n"/>
      <c r="N342" s="385" t="n"/>
      <c r="O342" s="385" t="n"/>
      <c r="P342" s="385" t="n"/>
      <c r="Q342" s="385" t="n"/>
      <c r="R342" s="385" t="n"/>
    </row>
    <row r="343" ht="27.75" customHeight="1">
      <c r="B343" s="152" t="inlineStr">
        <is>
          <t>POE#1: จุดปฏิบัพ/บัพ จาก Δr</t>
        </is>
      </c>
      <c r="C343" s="285">
        <f>IFERROR("P avg: "&amp;TEXT(AVERAGE('🔬 POE บันทึก'!AB4:AB43),"0.0")&amp;"  |  E avg: "&amp;TEXT(AVERAGE('🔬 POE บันทึก'!AC4:AC43),"0.0"),"—")</f>
        <v/>
      </c>
      <c r="D343" s="369" t="n"/>
      <c r="E343" s="369" t="n"/>
      <c r="F343" s="369" t="n"/>
      <c r="G343" s="309">
        <f>IFERROR(IF(AVERAGE('🔬 POE บันทึก'!AC4:AC43)&gt;=2,"✅ Conceptual Change","⚠️ ยังไม่เปลี่ยน"),"—")</f>
        <v/>
      </c>
      <c r="H343" s="369" t="n"/>
      <c r="I343" s="369" t="n"/>
      <c r="J343" s="369" t="n"/>
      <c r="L343" s="312" t="n"/>
      <c r="M343" s="402" t="n"/>
      <c r="N343" s="402" t="n"/>
      <c r="O343" s="402" t="n"/>
      <c r="P343" s="402" t="n"/>
      <c r="Q343" s="402" t="n"/>
      <c r="R343" s="402" t="n"/>
    </row>
    <row r="344" ht="15" customHeight="1">
      <c r="L344" s="403" t="n"/>
    </row>
    <row r="345" ht="27.75" customHeight="1">
      <c r="B345" s="152" t="inlineStr">
        <is>
          <t>POE#2: คลื่นนิ่งในเชือก</t>
        </is>
      </c>
      <c r="C345" s="285">
        <f>IFERROR("P avg: "&amp;TEXT(AVERAGE('🔬 POE บันทึก'!AD4:AD43),"0.0")&amp;"  |  E avg: "&amp;TEXT(AVERAGE('🔬 POE บันทึก'!AE4:AE43),"0.0"),"—")</f>
        <v/>
      </c>
      <c r="D345" s="369" t="n"/>
      <c r="E345" s="369" t="n"/>
      <c r="F345" s="369" t="n"/>
      <c r="G345" s="309">
        <f>IFERROR(IF(AVERAGE('🔬 POE บันทึก'!AE4:AE43)&gt;=2,"✅ Conceptual Change","⚠️ ยังไม่เปลี่ยน"),"—")</f>
        <v/>
      </c>
      <c r="H345" s="369" t="n"/>
      <c r="I345" s="369" t="n"/>
      <c r="J345" s="369" t="n"/>
      <c r="L345" s="312" t="n"/>
      <c r="M345" s="402" t="n"/>
      <c r="N345" s="402" t="n"/>
      <c r="O345" s="402" t="n"/>
      <c r="P345" s="402" t="n"/>
      <c r="Q345" s="402" t="n"/>
      <c r="R345" s="402" t="n"/>
    </row>
    <row r="346" ht="15" customHeight="1">
      <c r="L346" s="403" t="n"/>
    </row>
    <row r="347" ht="19.5" customHeight="1">
      <c r="B347" s="354" t="inlineStr">
        <is>
          <t>ส่วนที่ 3 — การบรรลุวัตถุประสงค์การเรียนรู้ (Auto จาก Four-tier + ตัวชี้วัด)</t>
        </is>
      </c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  <c r="L347" s="406" t="n"/>
      <c r="M347" s="406" t="n"/>
      <c r="N347" s="406" t="n"/>
      <c r="O347" s="406" t="n"/>
      <c r="P347" s="406" t="n"/>
      <c r="Q347" s="406" t="n"/>
      <c r="R347" s="406" t="n"/>
    </row>
    <row r="348" ht="18" customHeight="1">
      <c r="B348" s="102" t="inlineStr">
        <is>
          <t>วัตถุประสงค์</t>
        </is>
      </c>
      <c r="C348" s="102" t="inlineStr">
        <is>
          <t>ตัวชี้วัด</t>
        </is>
      </c>
      <c r="D348" s="336" t="inlineStr">
        <is>
          <t>n ผ่านเกณฑ์ (Auto)</t>
        </is>
      </c>
      <c r="E348" s="406" t="n"/>
      <c r="F348" s="102" t="inlineStr">
        <is>
          <t>% (Auto)</t>
        </is>
      </c>
      <c r="G348" s="336" t="inlineStr">
        <is>
          <t>ผ่าน? (Auto)</t>
        </is>
      </c>
      <c r="H348" s="406" t="n"/>
      <c r="I348" s="336" t="inlineStr">
        <is>
          <t>หลักฐาน/วิธีวัด</t>
        </is>
      </c>
      <c r="J348" s="406" t="n"/>
      <c r="K348" s="406" t="n"/>
    </row>
    <row r="349" ht="21.75" customHeight="1">
      <c r="B349" s="183" t="inlineStr">
        <is>
          <t>1. อธิบายเงื่อนไขการแทรกสอดแบบเสริม/หักล้างได้</t>
        </is>
      </c>
      <c r="C349" s="155" t="inlineStr">
        <is>
          <t>ว 2.2 ม.5/7</t>
        </is>
      </c>
      <c r="D349" s="314">
        <f>IFERROR(ROUND('🤖 Four-tier วิเคราะห์'!P90*COUNTA('📥 ข้อมูลนักเรียน'!C4:C43),0),"—")</f>
        <v/>
      </c>
      <c r="E349" s="369" t="n"/>
      <c r="F349" s="79">
        <f>IFERROR('🤖 Four-tier วิเคราะห์'!P90,"—")</f>
        <v/>
      </c>
      <c r="G349" s="315">
        <f>IFERROR(IF('🤖 Four-tier วิเคราะห์'!P90&gt;=0.8,"✅ ผ่าน (≥80%)","❌ ไม่ผ่าน (&lt;80%)"),"—")</f>
        <v/>
      </c>
      <c r="H349" s="369" t="n"/>
      <c r="I349" s="310" t="n"/>
      <c r="J349" s="400" t="n"/>
      <c r="K349" s="400" t="n"/>
      <c r="L349" s="400" t="n"/>
      <c r="M349" s="400" t="n"/>
      <c r="N349" s="400" t="n"/>
      <c r="O349" s="400" t="n"/>
      <c r="P349" s="400" t="n"/>
      <c r="Q349" s="400" t="n"/>
      <c r="R349" s="400" t="n"/>
    </row>
    <row r="350" ht="21.75" customHeight="1">
      <c r="B350" s="183" t="inlineStr">
        <is>
          <t>2. คำนวณ Δr เพื่อระบุชนิดการแทรกสอดได้</t>
        </is>
      </c>
      <c r="C350" s="155" t="inlineStr">
        <is>
          <t>ว 2.2 ม.5/7</t>
        </is>
      </c>
      <c r="D350" s="314">
        <f>IFERROR(ROUND('🤖 Four-tier วิเคราะห์'!Q90*COUNTA('📥 ข้อมูลนักเรียน'!C4:C43),0),"—")</f>
        <v/>
      </c>
      <c r="E350" s="369" t="n"/>
      <c r="F350" s="79">
        <f>IFERROR('🤖 Four-tier วิเคราะห์'!Q90,"—")</f>
        <v/>
      </c>
      <c r="G350" s="315">
        <f>IFERROR(IF('🤖 Four-tier วิเคราะห์'!Q90&gt;=0.8,"✅ ผ่าน (≥80%)","❌ ไม่ผ่าน (&lt;80%)"),"—")</f>
        <v/>
      </c>
      <c r="H350" s="369" t="n"/>
      <c r="I350" s="310" t="n"/>
      <c r="J350" s="400" t="n"/>
      <c r="K350" s="400" t="n"/>
      <c r="L350" s="400" t="n"/>
      <c r="M350" s="400" t="n"/>
      <c r="N350" s="400" t="n"/>
      <c r="O350" s="400" t="n"/>
      <c r="P350" s="400" t="n"/>
      <c r="Q350" s="400" t="n"/>
      <c r="R350" s="400" t="n"/>
    </row>
    <row r="351" ht="21.75" customHeight="1">
      <c r="B351" s="183" t="inlineStr">
        <is>
          <t>3. อธิบายการเกิดคลื่นนิ่ง ระบุบัพ/ปฏิบัพได้</t>
        </is>
      </c>
      <c r="C351" s="155" t="inlineStr">
        <is>
          <t>ว 2.2 ม.5/8</t>
        </is>
      </c>
      <c r="D351" s="314">
        <f>IFERROR(ROUND('🤖 Four-tier วิเคราะห์'!R90*COUNTA('📥 ข้อมูลนักเรียน'!C4:C43),0),"—")</f>
        <v/>
      </c>
      <c r="E351" s="369" t="n"/>
      <c r="F351" s="79">
        <f>IFERROR('🤖 Four-tier วิเคราะห์'!R90,"—")</f>
        <v/>
      </c>
      <c r="G351" s="315">
        <f>IFERROR(IF('🤖 Four-tier วิเคราะห์'!R90&gt;=0.8,"✅ ผ่าน (≥80%)","❌ ไม่ผ่าน (&lt;80%)"),"—")</f>
        <v/>
      </c>
      <c r="H351" s="369" t="n"/>
      <c r="I351" s="310" t="n"/>
      <c r="J351" s="400" t="n"/>
      <c r="K351" s="400" t="n"/>
      <c r="L351" s="400" t="n"/>
      <c r="M351" s="400" t="n"/>
      <c r="N351" s="400" t="n"/>
      <c r="O351" s="400" t="n"/>
      <c r="P351" s="400" t="n"/>
      <c r="Q351" s="400" t="n"/>
      <c r="R351" s="400" t="n"/>
    </row>
    <row r="352" ht="21.75" customHeight="1">
      <c r="B352" s="183" t="inlineStr">
        <is>
          <t>4. คำนวณความถี่คลื่นนิ่งได้</t>
        </is>
      </c>
      <c r="C352" s="155" t="inlineStr">
        <is>
          <t>ว 2.2 ม.5/8</t>
        </is>
      </c>
      <c r="D352" s="314">
        <f>IFERROR(ROUND('🤖 Four-tier วิเคราะห์'!S90*COUNTA('📥 ข้อมูลนักเรียน'!C4:C43),0),"—")</f>
        <v/>
      </c>
      <c r="E352" s="369" t="n"/>
      <c r="F352" s="79">
        <f>IFERROR('🤖 Four-tier วิเคราะห์'!S90,"—")</f>
        <v/>
      </c>
      <c r="G352" s="315">
        <f>IFERROR(IF('🤖 Four-tier วิเคราะห์'!S90&gt;=0.8,"✅ ผ่าน (≥80%)","❌ ไม่ผ่าน (&lt;80%)"),"—")</f>
        <v/>
      </c>
      <c r="H352" s="369" t="n"/>
      <c r="I352" s="310" t="n"/>
      <c r="J352" s="400" t="n"/>
      <c r="K352" s="400" t="n"/>
      <c r="L352" s="400" t="n"/>
      <c r="M352" s="400" t="n"/>
      <c r="N352" s="400" t="n"/>
      <c r="O352" s="400" t="n"/>
      <c r="P352" s="400" t="n"/>
      <c r="Q352" s="400" t="n"/>
      <c r="R352" s="400" t="n"/>
    </row>
    <row r="353" ht="21.75" customHeight="1">
      <c r="B353" s="184" t="inlineStr">
        <is>
          <t>ภาพรวมแผนนี้</t>
        </is>
      </c>
      <c r="C353" s="316">
        <f>IFERROR(AVERAGE('🤖 Four-tier วิเคราะห์'!P90,'🤖 Four-tier วิเคราะห์'!Q90,'🤖 Four-tier วิเคราะห์'!R90,'🤖 Four-tier วิเคราะห์'!S90),0)</f>
        <v/>
      </c>
      <c r="D353" s="369" t="n"/>
      <c r="E353" s="369" t="n"/>
      <c r="F353" s="355">
        <f>IFERROR((IF(ISNUMBER('🤖 Four-tier วิเคราะห์'!O90),IF('🤖 Four-tier วิเคราะห์'!O90&gt;=0.8,1,0),0)+IF(ISNUMBER('🤖 Four-tier วิเคราะห์'!P90),IF('🤖 Four-tier วิเคราะห์'!P90&gt;=0.8,1,0),0)+IF(ISNUMBER('🤖 Four-tier วิเคราะห์'!Q90),IF('🤖 Four-tier วิเคราะห์'!Q90&gt;=0.8,1,0),0)+IF(ISNUMBER('🤖 Four-tier วิเคราะห์'!R90),IF('🤖 Four-tier วิเคราะห์'!R90&gt;=0.8,1,0),0))&amp;"/4 วัตถุประสงค์ผ่าน","—")</f>
        <v/>
      </c>
      <c r="G353" s="369" t="n"/>
      <c r="H353" s="369" t="n"/>
      <c r="I353" s="318">
        <f>IFERROR(IF(AVERAGE('🤖 Four-tier วิเคราะห์'!P90,'🤖 Four-tier วิเคราะห์'!Q90,'🤖 Four-tier วิเคราะห์'!R90,'🤖 Four-tier วิเคราะห์'!S90)&gt;=0.8,"✅ บรรลุเกณฑ์ภาพรวม","⚠️ ยังต่ำกว่าเกณฑ์"),"—")</f>
        <v/>
      </c>
      <c r="J353" s="369" t="n"/>
      <c r="K353" s="369" t="n"/>
      <c r="L353" s="369" t="n"/>
      <c r="M353" s="369" t="n"/>
      <c r="N353" s="369" t="n"/>
      <c r="O353" s="369" t="n"/>
      <c r="P353" s="369" t="n"/>
      <c r="Q353" s="369" t="n"/>
      <c r="R353" s="369" t="n"/>
    </row>
    <row r="354" ht="19.5" customHeight="1">
      <c r="B354" s="311" t="inlineStr">
        <is>
          <t>ส่วนที่ 4 — พฤติกรรมนักเรียนและการมีส่วนร่วม</t>
        </is>
      </c>
      <c r="C354" s="385" t="n"/>
      <c r="D354" s="385" t="n"/>
      <c r="E354" s="385" t="n"/>
      <c r="F354" s="385" t="n"/>
      <c r="G354" s="385" t="n"/>
      <c r="H354" s="385" t="n"/>
      <c r="I354" s="385" t="n"/>
      <c r="J354" s="385" t="n"/>
      <c r="L354" s="311" t="inlineStr">
        <is>
          <t>✏️ กรอก</t>
        </is>
      </c>
      <c r="M354" s="385" t="n"/>
      <c r="N354" s="385" t="n"/>
      <c r="O354" s="385" t="n"/>
      <c r="P354" s="385" t="n"/>
      <c r="Q354" s="385" t="n"/>
      <c r="R354" s="385" t="n"/>
    </row>
    <row r="355" ht="18" customHeight="1">
      <c r="B355" s="157" t="inlineStr">
        <is>
          <t>🟢 Traffic Light</t>
        </is>
      </c>
      <c r="C355" s="314">
        <f>IFERROR('🎯 บันทึกการสอน Dashboard'!F21,0)&amp;" คน"</f>
        <v/>
      </c>
      <c r="D355" s="369" t="n"/>
      <c r="E355" s="369" t="n"/>
      <c r="F355" s="369" t="n"/>
      <c r="G355" s="369" t="n"/>
      <c r="H355" s="369" t="n"/>
      <c r="I355" s="369" t="n"/>
      <c r="J355" s="369" t="n"/>
      <c r="L355" s="319" t="inlineStr">
        <is>
          <t>นักเรียนที่ต้องดูแลพิเศษ / กลุ่มที่มีส่วนร่วมต่ำ:</t>
        </is>
      </c>
      <c r="M355" s="402" t="n"/>
      <c r="N355" s="402" t="n"/>
      <c r="O355" s="402" t="n"/>
      <c r="P355" s="402" t="n"/>
      <c r="Q355" s="402" t="n"/>
      <c r="R355" s="402" t="n"/>
    </row>
    <row r="356" ht="18" customHeight="1">
      <c r="B356" s="158" t="inlineStr">
        <is>
          <t>🟡 Traffic Light</t>
        </is>
      </c>
      <c r="C356" s="320">
        <f>IFERROR('🎯 บันทึกการสอน Dashboard'!G21,0)&amp;" คน"</f>
        <v/>
      </c>
      <c r="D356" s="369" t="n"/>
      <c r="E356" s="369" t="n"/>
      <c r="F356" s="369" t="n"/>
      <c r="G356" s="369" t="n"/>
      <c r="H356" s="369" t="n"/>
      <c r="I356" s="369" t="n"/>
      <c r="J356" s="369" t="n"/>
      <c r="L356" s="403" t="n"/>
    </row>
    <row r="357" ht="18" customHeight="1">
      <c r="B357" s="159" t="inlineStr">
        <is>
          <t>🔴 Traffic Light</t>
        </is>
      </c>
      <c r="C357" s="321">
        <f>IFERROR('🎯 บันทึกการสอน Dashboard'!H21,0)&amp;" คน"</f>
        <v/>
      </c>
      <c r="D357" s="369" t="n"/>
      <c r="E357" s="369" t="n"/>
      <c r="F357" s="369" t="n"/>
      <c r="G357" s="369" t="n"/>
      <c r="H357" s="369" t="n"/>
      <c r="I357" s="369" t="n"/>
      <c r="J357" s="369" t="n"/>
      <c r="L357" s="403" t="n"/>
    </row>
    <row r="358" ht="18" customHeight="1">
      <c r="B358" s="160" t="inlineStr">
        <is>
          <t>สถานะโดยรวม</t>
        </is>
      </c>
      <c r="C358" s="309">
        <f>IFERROR('🎯 บันทึกการสอน Dashboard'!M21,"ยังไม่กรอก")</f>
        <v/>
      </c>
      <c r="D358" s="369" t="n"/>
      <c r="E358" s="369" t="n"/>
      <c r="F358" s="369" t="n"/>
      <c r="G358" s="369" t="n"/>
      <c r="H358" s="369" t="n"/>
      <c r="I358" s="369" t="n"/>
      <c r="J358" s="369" t="n"/>
      <c r="L358" s="403" t="n"/>
    </row>
    <row r="359" ht="19.5" customHeight="1">
      <c r="B359" s="322" t="inlineStr">
        <is>
          <t>ส่วนที่ 5 — ปัญหา อุปสรรค และข้อค้นพบ</t>
        </is>
      </c>
      <c r="C359" s="404" t="n"/>
      <c r="D359" s="404" t="n"/>
      <c r="E359" s="404" t="n"/>
      <c r="F359" s="404" t="n"/>
      <c r="G359" s="404" t="n"/>
      <c r="H359" s="404" t="n"/>
      <c r="I359" s="404" t="n"/>
      <c r="J359" s="404" t="n"/>
      <c r="L359" s="322" t="inlineStr">
        <is>
          <t>✏️ กรอก</t>
        </is>
      </c>
      <c r="M359" s="404" t="n"/>
      <c r="N359" s="404" t="n"/>
      <c r="O359" s="404" t="n"/>
      <c r="P359" s="404" t="n"/>
      <c r="Q359" s="404" t="n"/>
      <c r="R359" s="404" t="n"/>
    </row>
    <row r="360" ht="18" customHeight="1">
      <c r="B360" s="161" t="inlineStr">
        <is>
          <t>Misconception M1 (Pre)</t>
        </is>
      </c>
      <c r="C360" s="323">
        <f>IFERROR('📊 สรุป Misconception'!D3,"—")</f>
        <v/>
      </c>
      <c r="D360" s="369" t="n"/>
      <c r="E360" s="369" t="n"/>
      <c r="F360" s="369" t="n"/>
      <c r="G360" s="369" t="n"/>
      <c r="H360" s="369" t="n"/>
      <c r="I360" s="369" t="n"/>
      <c r="J360" s="369" t="n"/>
      <c r="L360" s="319" t="inlineStr">
        <is>
          <t>รายละเอียดปัญหา / สิ่งที่ค้นพบระหว่างสอน:</t>
        </is>
      </c>
      <c r="M360" s="402" t="n"/>
      <c r="N360" s="402" t="n"/>
      <c r="O360" s="402" t="n"/>
      <c r="P360" s="402" t="n"/>
      <c r="Q360" s="402" t="n"/>
      <c r="R360" s="402" t="n"/>
    </row>
    <row r="361" ht="18" customHeight="1">
      <c r="B361" s="162" t="inlineStr">
        <is>
          <t>Misconception M1 (Post)</t>
        </is>
      </c>
      <c r="C361" s="324">
        <f>IFERROR('📊 สรุป Misconception'!F3,"—")</f>
        <v/>
      </c>
      <c r="D361" s="369" t="n"/>
      <c r="E361" s="369" t="n"/>
      <c r="F361" s="369" t="n"/>
      <c r="G361" s="369" t="n"/>
      <c r="H361" s="369" t="n"/>
      <c r="I361" s="369" t="n"/>
      <c r="J361" s="369" t="n"/>
      <c r="L361" s="403" t="n"/>
    </row>
    <row r="362" ht="18" customHeight="1">
      <c r="B362" s="163" t="inlineStr">
        <is>
          <t>ระดับ M1</t>
        </is>
      </c>
      <c r="C362" s="325">
        <f>IFERROR('📊 สรุป Misconception'!H3,"—")</f>
        <v/>
      </c>
      <c r="D362" s="369" t="n"/>
      <c r="E362" s="369" t="n"/>
      <c r="F362" s="369" t="n"/>
      <c r="G362" s="369" t="n"/>
      <c r="H362" s="369" t="n"/>
      <c r="I362" s="369" t="n"/>
      <c r="J362" s="369" t="n"/>
      <c r="L362" s="403" t="n"/>
    </row>
    <row r="363" ht="18" customHeight="1">
      <c r="B363" s="161" t="inlineStr">
        <is>
          <t>Misc. ใหม่ที่ไม่คาดคิด</t>
        </is>
      </c>
      <c r="C363" s="323" t="inlineStr">
        <is>
          <t>— ดูจากใบงาน POE —</t>
        </is>
      </c>
      <c r="D363" s="369" t="n"/>
      <c r="E363" s="369" t="n"/>
      <c r="F363" s="369" t="n"/>
      <c r="G363" s="369" t="n"/>
      <c r="H363" s="369" t="n"/>
      <c r="I363" s="369" t="n"/>
      <c r="J363" s="369" t="n"/>
      <c r="L363" s="403" t="n"/>
    </row>
    <row r="364" ht="19.5" customHeight="1">
      <c r="B364" s="326" t="inlineStr">
        <is>
          <t>ส่วนที่ 6 — ข้อมูลเชิงวิจัย (Auto ทั้งหมด)</t>
        </is>
      </c>
      <c r="C364" s="405" t="n"/>
      <c r="D364" s="405" t="n"/>
      <c r="E364" s="405" t="n"/>
      <c r="F364" s="405" t="n"/>
      <c r="G364" s="405" t="n"/>
      <c r="H364" s="405" t="n"/>
      <c r="I364" s="405" t="n"/>
      <c r="J364" s="405" t="n"/>
      <c r="L364" s="326" t="inlineStr">
        <is>
          <t>✏️ กรอก</t>
        </is>
      </c>
      <c r="M364" s="405" t="n"/>
      <c r="N364" s="405" t="n"/>
      <c r="O364" s="405" t="n"/>
      <c r="P364" s="405" t="n"/>
      <c r="Q364" s="405" t="n"/>
      <c r="R364" s="405" t="n"/>
    </row>
    <row r="365" ht="18" customHeight="1">
      <c r="B365" s="164" t="inlineStr">
        <is>
          <t>POE เฉลี่ยแผนนี้</t>
        </is>
      </c>
      <c r="C365" s="327">
        <f>IFERROR('🎯 บันทึกการสอน Dashboard'!J21,"—")</f>
        <v/>
      </c>
      <c r="D365" s="369" t="n"/>
      <c r="E365" s="369" t="n"/>
      <c r="F365" s="369" t="n"/>
      <c r="G365" s="369" t="n"/>
      <c r="H365" s="369" t="n"/>
      <c r="I365" s="369" t="n"/>
      <c r="J365" s="369" t="n"/>
      <c r="L365" s="319" t="inlineStr">
        <is>
          <t>การวิเคราะห์เพิ่มเติม / บันทึกสำหรับบทที่ 4:</t>
        </is>
      </c>
      <c r="M365" s="402" t="n"/>
      <c r="N365" s="402" t="n"/>
      <c r="O365" s="402" t="n"/>
      <c r="P365" s="402" t="n"/>
      <c r="Q365" s="402" t="n"/>
      <c r="R365" s="402" t="n"/>
    </row>
    <row r="366" ht="18" customHeight="1">
      <c r="B366" s="165" t="inlineStr">
        <is>
          <t>% Sound (Post-test)</t>
        </is>
      </c>
      <c r="C366" s="328">
        <f>IFERROR('🎯 บันทึกการสอน Dashboard'!K21,"—")</f>
        <v/>
      </c>
      <c r="D366" s="369" t="n"/>
      <c r="E366" s="369" t="n"/>
      <c r="F366" s="369" t="n"/>
      <c r="G366" s="369" t="n"/>
      <c r="H366" s="369" t="n"/>
      <c r="I366" s="369" t="n"/>
      <c r="J366" s="369" t="n"/>
      <c r="L366" s="403" t="n"/>
    </row>
    <row r="367" ht="18" customHeight="1">
      <c r="B367" s="166" t="inlineStr">
        <is>
          <t>% Misconception (Post)</t>
        </is>
      </c>
      <c r="C367" s="329">
        <f>IFERROR('🎯 บันทึกการสอน Dashboard'!L21,"—")</f>
        <v/>
      </c>
      <c r="D367" s="369" t="n"/>
      <c r="E367" s="369" t="n"/>
      <c r="F367" s="369" t="n"/>
      <c r="G367" s="369" t="n"/>
      <c r="H367" s="369" t="n"/>
      <c r="I367" s="369" t="n"/>
      <c r="J367" s="369" t="n"/>
      <c r="L367" s="403" t="n"/>
    </row>
    <row r="368" ht="18" customHeight="1">
      <c r="B368" s="164" t="inlineStr">
        <is>
          <t>GAP: POE ดีแต่ Misc.</t>
        </is>
      </c>
      <c r="C368" s="330">
        <f>IFERROR(COUNTIF('🔗 POE-Fourtier เทียบ'!H10,"🔴*"),0)&amp;" คน"</f>
        <v/>
      </c>
      <c r="D368" s="369" t="n"/>
      <c r="E368" s="369" t="n"/>
      <c r="F368" s="369" t="n"/>
      <c r="G368" s="369" t="n"/>
      <c r="H368" s="369" t="n"/>
      <c r="I368" s="369" t="n"/>
      <c r="J368" s="369" t="n"/>
      <c r="L368" s="403" t="n"/>
    </row>
    <row r="369" ht="19.5" customHeight="1">
      <c r="B369" s="354" t="inlineStr">
        <is>
          <t>ส่วนที่ 7 — ประเมิน 8 องค์ประกอบ วPA</t>
        </is>
      </c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  <c r="L369" s="406" t="n"/>
      <c r="M369" s="406" t="n"/>
      <c r="N369" s="406" t="n"/>
      <c r="O369" s="406" t="n"/>
      <c r="P369" s="406" t="n"/>
      <c r="Q369" s="406" t="n"/>
      <c r="R369" s="406" t="n"/>
    </row>
    <row r="370" ht="18" customHeight="1">
      <c r="B370" s="336" t="inlineStr">
        <is>
          <t>องค์ประกอบ วPA</t>
        </is>
      </c>
      <c r="C370" s="406" t="n"/>
      <c r="D370" s="406" t="n"/>
      <c r="E370" s="336" t="inlineStr">
        <is>
          <t>กิจกรรมที่รองรับ</t>
        </is>
      </c>
      <c r="F370" s="406" t="n"/>
      <c r="G370" s="406" t="n"/>
      <c r="H370" s="336" t="inlineStr">
        <is>
          <t>ระดับ (Auto)</t>
        </is>
      </c>
      <c r="I370" s="406" t="n"/>
      <c r="J370" s="406" t="n"/>
      <c r="K370" s="336" t="inlineStr">
        <is>
          <t>ผ่าน?</t>
        </is>
      </c>
      <c r="L370" s="406" t="n"/>
      <c r="M370" s="406" t="n"/>
      <c r="N370" s="336" t="inlineStr">
        <is>
          <t>หลักฐาน/สิ่งที่สังเกต</t>
        </is>
      </c>
      <c r="O370" s="406" t="n"/>
      <c r="P370" s="406" t="n"/>
    </row>
    <row r="371" ht="19.5" customHeight="1">
      <c r="B371" s="356" t="inlineStr">
        <is>
          <t>1. เข้าถึงและเข้าใจบทเรียน</t>
        </is>
      </c>
      <c r="C371" s="369" t="n"/>
      <c r="D371" s="369" t="n"/>
      <c r="E371" s="332" t="inlineStr">
        <is>
          <t>Concept Cartoon + วิดีโอ</t>
        </is>
      </c>
      <c r="F371" s="369" t="n"/>
      <c r="G371" s="369" t="n"/>
      <c r="H371" s="333">
        <f>IFERROR(IF('🎯 บันทึกการสอน Dashboard'!K21&gt;=0.6,"✅","⚠️"),"—")</f>
        <v/>
      </c>
      <c r="I371" s="369" t="n"/>
      <c r="J371" s="310" t="n"/>
      <c r="K371" s="400" t="n"/>
      <c r="L371" s="400" t="n"/>
      <c r="M371" s="400" t="n"/>
      <c r="N371" s="400" t="n"/>
      <c r="O371" s="400" t="n"/>
      <c r="P371" s="400" t="n"/>
      <c r="Q371" s="400" t="n"/>
      <c r="R371" s="400" t="n"/>
    </row>
    <row r="372" ht="19.5" customHeight="1">
      <c r="B372" s="356" t="inlineStr">
        <is>
          <t>2. เชื่อมโยงความรู้เดิม</t>
        </is>
      </c>
      <c r="C372" s="369" t="n"/>
      <c r="D372" s="369" t="n"/>
      <c r="E372" s="332" t="inlineStr">
        <is>
          <t>POE-Predict + KWL</t>
        </is>
      </c>
      <c r="F372" s="369" t="n"/>
      <c r="G372" s="369" t="n"/>
      <c r="H372" s="333">
        <f>IFERROR(IF('🎯 บันทึกการสอน Dashboard'!J21&gt;=1.5,"✅","⚠️"),"—")</f>
        <v/>
      </c>
      <c r="I372" s="369" t="n"/>
      <c r="J372" s="310" t="n"/>
      <c r="K372" s="400" t="n"/>
      <c r="L372" s="400" t="n"/>
      <c r="M372" s="400" t="n"/>
      <c r="N372" s="400" t="n"/>
      <c r="O372" s="400" t="n"/>
      <c r="P372" s="400" t="n"/>
      <c r="Q372" s="400" t="n"/>
      <c r="R372" s="400" t="n"/>
    </row>
    <row r="373" ht="19.5" customHeight="1">
      <c r="B373" s="356" t="inlineStr">
        <is>
          <t>3. สร้างความรู้เอง</t>
        </is>
      </c>
      <c r="C373" s="369" t="n"/>
      <c r="D373" s="369" t="n"/>
      <c r="E373" s="332" t="inlineStr">
        <is>
          <t>ทดลองสปริง + PhET</t>
        </is>
      </c>
      <c r="F373" s="369" t="n"/>
      <c r="G373" s="369" t="n"/>
      <c r="H373" s="333">
        <f>IFERROR(IF('🎯 บันทึกการสอน Dashboard'!J21&gt;=2,"✅","⚠️"),"—")</f>
        <v/>
      </c>
      <c r="I373" s="369" t="n"/>
      <c r="J373" s="310" t="n"/>
      <c r="K373" s="400" t="n"/>
      <c r="L373" s="400" t="n"/>
      <c r="M373" s="400" t="n"/>
      <c r="N373" s="400" t="n"/>
      <c r="O373" s="400" t="n"/>
      <c r="P373" s="400" t="n"/>
      <c r="Q373" s="400" t="n"/>
      <c r="R373" s="400" t="n"/>
    </row>
    <row r="374" ht="19.5" customHeight="1">
      <c r="B374" s="356" t="inlineStr">
        <is>
          <t>4. แรงจูงใจ</t>
        </is>
      </c>
      <c r="C374" s="369" t="n"/>
      <c r="D374" s="369" t="n"/>
      <c r="E374" s="332" t="inlineStr">
        <is>
          <t>Traffic Lights + Brain Break</t>
        </is>
      </c>
      <c r="F374" s="369" t="n"/>
      <c r="G374" s="369" t="n"/>
      <c r="H374" s="333">
        <f>IFERROR(IF('🎯 บันทึกการสอน Dashboard'!F21&gt;='🎯 บันทึกการสอน Dashboard'!H21,"✅","⚠️"),"—")</f>
        <v/>
      </c>
      <c r="I374" s="369" t="n"/>
      <c r="J374" s="310" t="n"/>
      <c r="K374" s="400" t="n"/>
      <c r="L374" s="400" t="n"/>
      <c r="M374" s="400" t="n"/>
      <c r="N374" s="400" t="n"/>
      <c r="O374" s="400" t="n"/>
      <c r="P374" s="400" t="n"/>
      <c r="Q374" s="400" t="n"/>
      <c r="R374" s="400" t="n"/>
    </row>
    <row r="375" ht="19.5" customHeight="1">
      <c r="B375" s="356" t="inlineStr">
        <is>
          <t>5. พัฒนาทักษะเชี่ยวชาญ</t>
        </is>
      </c>
      <c r="C375" s="369" t="n"/>
      <c r="D375" s="369" t="n"/>
      <c r="E375" s="332" t="inlineStr">
        <is>
          <t>Spot the Error + Matrix</t>
        </is>
      </c>
      <c r="F375" s="369" t="n"/>
      <c r="G375" s="369" t="n"/>
      <c r="H375" s="333">
        <f>IFERROR(IF('🎯 บันทึกการสอน Dashboard'!I21&gt;=0.7,"✅","⚠️"),"—")</f>
        <v/>
      </c>
      <c r="I375" s="369" t="n"/>
      <c r="J375" s="310" t="n"/>
      <c r="K375" s="400" t="n"/>
      <c r="L375" s="400" t="n"/>
      <c r="M375" s="400" t="n"/>
      <c r="N375" s="400" t="n"/>
      <c r="O375" s="400" t="n"/>
      <c r="P375" s="400" t="n"/>
      <c r="Q375" s="400" t="n"/>
      <c r="R375" s="400" t="n"/>
    </row>
    <row r="376" ht="19.5" customHeight="1">
      <c r="B376" s="356" t="inlineStr">
        <is>
          <t>6. Feedback ปรับปรุง</t>
        </is>
      </c>
      <c r="C376" s="369" t="n"/>
      <c r="D376" s="369" t="n"/>
      <c r="E376" s="332" t="inlineStr">
        <is>
          <t>Concept Cartoon เฉลย + 3-2-1</t>
        </is>
      </c>
      <c r="F376" s="369" t="n"/>
      <c r="G376" s="369" t="n"/>
      <c r="H376" s="333">
        <f>IFERROR(IF('🎯 บันทึกการสอน Dashboard'!H21&lt;=5,"✅","⚠️"),"—")</f>
        <v/>
      </c>
      <c r="I376" s="369" t="n"/>
      <c r="J376" s="310" t="n"/>
      <c r="K376" s="400" t="n"/>
      <c r="L376" s="400" t="n"/>
      <c r="M376" s="400" t="n"/>
      <c r="N376" s="400" t="n"/>
      <c r="O376" s="400" t="n"/>
      <c r="P376" s="400" t="n"/>
      <c r="Q376" s="400" t="n"/>
      <c r="R376" s="400" t="n"/>
    </row>
    <row r="377" ht="19.5" customHeight="1">
      <c r="B377" s="356" t="inlineStr">
        <is>
          <t>7. บรรยากาศชั้นเรียน</t>
        </is>
      </c>
      <c r="C377" s="369" t="n"/>
      <c r="D377" s="369" t="n"/>
      <c r="E377" s="332" t="inlineStr">
        <is>
          <t>Talking Chips + Visual Timer</t>
        </is>
      </c>
      <c r="F377" s="369" t="n"/>
      <c r="G377" s="369" t="n"/>
      <c r="H377" s="333">
        <f>IFERROR(IF('🎯 บันทึกการสอน Dashboard'!M21="✅ ดีมาก","✅","⚠️"),"—")</f>
        <v/>
      </c>
      <c r="I377" s="369" t="n"/>
      <c r="J377" s="310" t="n"/>
      <c r="K377" s="400" t="n"/>
      <c r="L377" s="400" t="n"/>
      <c r="M377" s="400" t="n"/>
      <c r="N377" s="400" t="n"/>
      <c r="O377" s="400" t="n"/>
      <c r="P377" s="400" t="n"/>
      <c r="Q377" s="400" t="n"/>
      <c r="R377" s="400" t="n"/>
    </row>
    <row r="378" ht="19.5" customHeight="1">
      <c r="B378" s="356" t="inlineStr">
        <is>
          <t>8. กำกับตนเอง</t>
        </is>
      </c>
      <c r="C378" s="369" t="n"/>
      <c r="D378" s="369" t="n"/>
      <c r="E378" s="332" t="inlineStr">
        <is>
          <t>3-2-1 Journal + Goal Setting</t>
        </is>
      </c>
      <c r="F378" s="369" t="n"/>
      <c r="G378" s="369" t="n"/>
      <c r="H378" s="333">
        <f>IFERROR(IF('🎯 บันทึกการสอน Dashboard'!I21&gt;=0.6,"✅","⚠️"),"—")</f>
        <v/>
      </c>
      <c r="I378" s="369" t="n"/>
      <c r="J378" s="310" t="n"/>
      <c r="K378" s="400" t="n"/>
      <c r="L378" s="400" t="n"/>
      <c r="M378" s="400" t="n"/>
      <c r="N378" s="400" t="n"/>
      <c r="O378" s="400" t="n"/>
      <c r="P378" s="400" t="n"/>
      <c r="Q378" s="400" t="n"/>
      <c r="R378" s="400" t="n"/>
    </row>
    <row r="379" ht="19.5" customHeight="1">
      <c r="B379" s="354" t="inlineStr">
        <is>
          <t>ส่วนที่ 8 — แนวทางปรับปรุง + Mini-trend เทียบแผนก่อน</t>
        </is>
      </c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  <c r="L379" s="406" t="n"/>
      <c r="M379" s="406" t="n"/>
      <c r="N379" s="406" t="n"/>
      <c r="O379" s="406" t="n"/>
      <c r="P379" s="406" t="n"/>
      <c r="Q379" s="406" t="n"/>
      <c r="R379" s="406" t="n"/>
    </row>
    <row r="380" ht="18" customHeight="1">
      <c r="B380" s="185" t="inlineStr">
        <is>
          <t>📌 Try ที่ตั้งใจทำจากแผนที่ 6 (Auto)</t>
        </is>
      </c>
      <c r="C380" s="337" t="inlineStr">
        <is>
          <t>← ดูจากแผนที่ 6 ส่วนที่ 8 ช่อง Try</t>
        </is>
      </c>
      <c r="D380" s="369" t="n"/>
      <c r="E380" s="369" t="n"/>
      <c r="F380" s="369" t="n"/>
      <c r="G380" s="369" t="n"/>
      <c r="H380" s="369" t="n"/>
      <c r="I380" s="369" t="n"/>
      <c r="J380" s="369" t="n"/>
    </row>
    <row r="381" ht="19.5" customHeight="1">
      <c r="B381" s="185" t="inlineStr">
        <is>
          <t>📈 Mini-trend (เทียบแผนก่อน)</t>
        </is>
      </c>
      <c r="C381" s="334">
        <f>IFERROR("Sound: "&amp;TEXT('🎯 บันทึกการสอน Dashboard'!K21,"0%")&amp;" vs "&amp;TEXT('🎯 บันทึกการสอน Dashboard'!K20,"0%")&amp;IF('🎯 บันทึกการสอน Dashboard'!K21&gt;'🎯 บันทึกการสอน Dashboard'!K20," ▲ ดีขึ้น",IF('🎯 บันทึกการสอน Dashboard'!K21&lt;'🎯 บันทึกการสอน Dashboard'!K20," ▼ ลดลง"," = คงที่")),"กรอกข้อมูลก่อน")</f>
        <v/>
      </c>
      <c r="D381" s="369" t="n"/>
      <c r="E381" s="369" t="n"/>
      <c r="F381" s="369" t="n"/>
      <c r="G381" s="369" t="n"/>
      <c r="H381" s="369" t="n"/>
      <c r="I381" s="369" t="n"/>
      <c r="J381" s="369" t="n"/>
    </row>
    <row r="382" ht="18" customHeight="1">
      <c r="B382" s="260" t="inlineStr">
        <is>
          <t>✅ Keep — สิ่งที่ได้ผล ควรคงไว้</t>
        </is>
      </c>
      <c r="C382" s="385" t="n"/>
      <c r="D382" s="385" t="n"/>
      <c r="E382" s="385" t="n"/>
      <c r="F382" s="385" t="n"/>
      <c r="G382" s="335" t="inlineStr">
        <is>
          <t>🔄 Change — สิ่งที่ต้องปรับปรุง</t>
        </is>
      </c>
      <c r="H382" s="404" t="n"/>
      <c r="I382" s="404" t="n"/>
      <c r="J382" s="404" t="n"/>
      <c r="K382" s="404" t="n"/>
      <c r="L382" s="336" t="inlineStr">
        <is>
          <t>🆕 Try — สิ่งที่จะลองทำในแผนถัดไป</t>
        </is>
      </c>
      <c r="M382" s="406" t="n"/>
      <c r="N382" s="406" t="n"/>
      <c r="O382" s="406" t="n"/>
      <c r="P382" s="406" t="n"/>
    </row>
    <row r="383" ht="19.5" customHeight="1">
      <c r="B383" s="312" t="n"/>
      <c r="C383" s="402" t="n"/>
      <c r="D383" s="402" t="n"/>
      <c r="E383" s="402" t="n"/>
      <c r="F383" s="402" t="n"/>
      <c r="G383" s="312" t="n"/>
      <c r="H383" s="402" t="n"/>
      <c r="I383" s="402" t="n"/>
      <c r="J383" s="402" t="n"/>
      <c r="K383" s="402" t="n"/>
      <c r="L383" s="312" t="n"/>
      <c r="M383" s="402" t="n"/>
      <c r="N383" s="402" t="n"/>
      <c r="O383" s="402" t="n"/>
      <c r="P383" s="402" t="n"/>
    </row>
    <row r="384" ht="19.5" customHeight="1">
      <c r="B384" s="403" t="n"/>
      <c r="G384" s="403" t="n"/>
      <c r="L384" s="403" t="n"/>
    </row>
    <row r="385" ht="19.5" customHeight="1">
      <c r="B385" s="403" t="n"/>
      <c r="G385" s="403" t="n"/>
      <c r="L385" s="403" t="n"/>
    </row>
    <row r="386" ht="19.5" customHeight="1">
      <c r="B386" s="185" t="inlineStr">
        <is>
          <t>📌 เนื้อหา/ทักษะที่จะทบทวนต้นคาบแผนที่ 8:</t>
        </is>
      </c>
      <c r="C386" s="312" t="n"/>
      <c r="D386" s="402" t="n"/>
      <c r="E386" s="402" t="n"/>
      <c r="F386" s="402" t="n"/>
      <c r="G386" s="402" t="n"/>
      <c r="H386" s="402" t="n"/>
      <c r="I386" s="402" t="n"/>
      <c r="J386" s="402" t="n"/>
      <c r="K386" s="402" t="n"/>
      <c r="L386" s="402" t="n"/>
      <c r="M386" s="402" t="n"/>
      <c r="N386" s="402" t="n"/>
      <c r="O386" s="402" t="n"/>
      <c r="P386" s="402" t="n"/>
      <c r="Q386" s="402" t="n"/>
      <c r="R386" s="402" t="n"/>
    </row>
    <row r="387" ht="19.5" customHeight="1">
      <c r="C387" s="403" t="n"/>
    </row>
    <row r="388" ht="12" customHeight="1"/>
    <row r="389" ht="24" customHeight="1">
      <c r="B389" s="352" t="inlineStr">
        <is>
          <t>▌ แผนการสอนที่ 8  |  พฤติกรรมคลื่น (3): การเลี้ยวเบน + สรุป 9.4  |  คาบที่ 14,16  |  อ้างอิง 9.4.4</t>
        </is>
      </c>
      <c r="C389" s="382" t="n"/>
      <c r="D389" s="382" t="n"/>
      <c r="E389" s="382" t="n"/>
      <c r="F389" s="382" t="n"/>
      <c r="G389" s="382" t="n"/>
      <c r="H389" s="382" t="n"/>
      <c r="I389" s="382" t="n"/>
      <c r="J389" s="382" t="n"/>
      <c r="K389" s="382" t="n"/>
      <c r="L389" s="382" t="n"/>
      <c r="M389" s="382" t="n"/>
      <c r="N389" s="382" t="n"/>
      <c r="O389" s="382" t="n"/>
      <c r="P389" s="382" t="n"/>
      <c r="Q389" s="382" t="n"/>
      <c r="R389" s="382" t="n"/>
    </row>
    <row r="390" ht="18" customHeight="1">
      <c r="B390" s="353" t="inlineStr">
        <is>
          <t>จำนวนนักเรียน (Auto):</t>
        </is>
      </c>
      <c r="D390" s="305">
        <f>COUNTA('📥 ข้อมูลนักเรียน'!C4:C43)&amp;" คน"</f>
        <v/>
      </c>
      <c r="E390" s="398" t="n"/>
      <c r="L390" s="353" t="inlineStr">
        <is>
          <t>วันที่สอน:</t>
        </is>
      </c>
      <c r="M390" s="306" t="n"/>
      <c r="N390" s="399" t="n"/>
      <c r="O390" s="353" t="inlineStr">
        <is>
          <t>เวลาที่ใช้ (นาที):</t>
        </is>
      </c>
      <c r="P390" s="306" t="n"/>
      <c r="Q390" s="400" t="n"/>
      <c r="R390" s="399" t="n"/>
    </row>
    <row r="391" ht="19.5" customHeight="1">
      <c r="B391" s="354" t="inlineStr">
        <is>
          <t>ส่วนที่ 1 — ผลการจัดกิจกรรม 5E</t>
        </is>
      </c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L391" s="354" t="inlineStr">
        <is>
          <t>✏️ สิ่งที่สังเกต / หมายเหตุ</t>
        </is>
      </c>
      <c r="M391" s="406" t="n"/>
      <c r="N391" s="406" t="n"/>
      <c r="O391" s="406" t="n"/>
      <c r="P391" s="406" t="n"/>
      <c r="Q391" s="406" t="n"/>
      <c r="R391" s="406" t="n"/>
    </row>
    <row r="392" ht="15.75" customHeight="1">
      <c r="B392" s="150" t="inlineStr">
        <is>
          <t>ขั้น 5E</t>
        </is>
      </c>
      <c r="C392" s="308" t="inlineStr">
        <is>
          <t>ตัวชี้วัด / ผล (Auto)</t>
        </is>
      </c>
      <c r="D392" s="369" t="n"/>
      <c r="E392" s="369" t="n"/>
      <c r="F392" s="369" t="n"/>
      <c r="G392" s="308" t="inlineStr">
        <is>
          <t>ระดับ (Auto)</t>
        </is>
      </c>
      <c r="H392" s="369" t="n"/>
      <c r="I392" s="369" t="n"/>
      <c r="J392" s="369" t="n"/>
      <c r="L392" s="308" t="inlineStr">
        <is>
          <t>บันทึกสั้น (2–3 บรรทัด)</t>
        </is>
      </c>
      <c r="M392" s="369" t="n"/>
      <c r="N392" s="369" t="n"/>
      <c r="O392" s="369" t="n"/>
      <c r="P392" s="369" t="n"/>
      <c r="Q392" s="369" t="n"/>
      <c r="R392" s="369" t="n"/>
    </row>
    <row r="393" ht="21.75" customHeight="1">
      <c r="B393" s="182" t="inlineStr">
        <is>
          <t>🔵 Engage</t>
        </is>
      </c>
      <c r="C393" s="285">
        <f>IF('🎯 บันทึกการสอน Dashboard'!F22&gt;0,'🎯 บันทึกการสอน Dashboard'!F22&amp;" คน 🟢","—")</f>
        <v/>
      </c>
      <c r="D393" s="369" t="n"/>
      <c r="E393" s="369" t="n"/>
      <c r="F393" s="369" t="n"/>
      <c r="G393" s="309">
        <f>IFERROR(IF('🎯 บันทึกการสอน Dashboard'!F22+IFERROR('🎯 บันทึกการสอน Dashboard'!G22,0)+IFERROR('🎯 บันทึกการสอน Dashboard'!H22,0)&gt;0,IF('🎯 บันทึกการสอน Dashboard'!F22/('🎯 บันทึกการสอน Dashboard'!F22+IFERROR('🎯 บันทึกการสอน Dashboard'!G22,0)+IFERROR('🎯 บันทึกการสอน Dashboard'!H22,0))&gt;=0.5,"✅ ดี","⚠️ ต่ำ"),"ยังไม่กรอก"),"—")</f>
        <v/>
      </c>
      <c r="H393" s="369" t="n"/>
      <c r="I393" s="369" t="n"/>
      <c r="J393" s="369" t="n"/>
      <c r="L393" s="310" t="n"/>
      <c r="M393" s="400" t="n"/>
      <c r="N393" s="400" t="n"/>
      <c r="O393" s="400" t="n"/>
      <c r="P393" s="400" t="n"/>
      <c r="Q393" s="400" t="n"/>
      <c r="R393" s="400" t="n"/>
    </row>
    <row r="394" ht="21.75" customHeight="1">
      <c r="B394" s="182" t="inlineStr">
        <is>
          <t>🟠 Explore</t>
        </is>
      </c>
      <c r="C394" s="285">
        <f>IF('🎯 บันทึกการสอน Dashboard'!J22&gt;0,"POE avg: "&amp;TEXT('🎯 บันทึกการสอน Dashboard'!J22,"0.00"),"—")</f>
        <v/>
      </c>
      <c r="D394" s="369" t="n"/>
      <c r="E394" s="369" t="n"/>
      <c r="F394" s="369" t="n"/>
      <c r="G394" s="309">
        <f>IF(ISNUMBER('🎯 บันทึกการสอน Dashboard'!J22),IF('🎯 บันทึกการสอน Dashboard'!J22&gt;=2,"✅ ดี","⚠️ ต่ำ"),"—")</f>
        <v/>
      </c>
      <c r="H394" s="369" t="n"/>
      <c r="I394" s="369" t="n"/>
      <c r="J394" s="369" t="n"/>
      <c r="L394" s="310" t="n"/>
      <c r="M394" s="400" t="n"/>
      <c r="N394" s="400" t="n"/>
      <c r="O394" s="400" t="n"/>
      <c r="P394" s="400" t="n"/>
      <c r="Q394" s="400" t="n"/>
      <c r="R394" s="400" t="n"/>
    </row>
    <row r="395" ht="21.75" customHeight="1">
      <c r="B395" s="182" t="inlineStr">
        <is>
          <t>🟢 Explain</t>
        </is>
      </c>
      <c r="C395" s="285">
        <f>IF('🎯 บันทึกการสอน Dashboard'!K22&gt;0,"Sound: "&amp;TEXT('🎯 บันทึกการสอน Dashboard'!K22,"0%"),"—")</f>
        <v/>
      </c>
      <c r="D395" s="369" t="n"/>
      <c r="E395" s="369" t="n"/>
      <c r="F395" s="369" t="n"/>
      <c r="G395" s="309">
        <f>IF(ISNUMBER('🎯 บันทึกการสอน Dashboard'!K22),IF('🎯 บันทึกการสอน Dashboard'!K22&gt;=0.7,"✅ ดี","⚠️ ต่ำ"),"—")</f>
        <v/>
      </c>
      <c r="H395" s="369" t="n"/>
      <c r="I395" s="369" t="n"/>
      <c r="J395" s="369" t="n"/>
      <c r="L395" s="310" t="n"/>
      <c r="M395" s="400" t="n"/>
      <c r="N395" s="400" t="n"/>
      <c r="O395" s="400" t="n"/>
      <c r="P395" s="400" t="n"/>
      <c r="Q395" s="400" t="n"/>
      <c r="R395" s="400" t="n"/>
    </row>
    <row r="396" ht="21.75" customHeight="1">
      <c r="B396" s="182" t="inlineStr">
        <is>
          <t>🟡 Elaborate</t>
        </is>
      </c>
      <c r="C396" s="285" t="inlineStr">
        <is>
          <t>ดูผลใบงาน/Spot the Error</t>
        </is>
      </c>
      <c r="D396" s="369" t="n"/>
      <c r="E396" s="369" t="n"/>
      <c r="F396" s="369" t="n"/>
      <c r="G396" s="309" t="inlineStr">
        <is>
          <t>กรอกเอง</t>
        </is>
      </c>
      <c r="H396" s="369" t="n"/>
      <c r="I396" s="369" t="n"/>
      <c r="J396" s="369" t="n"/>
      <c r="L396" s="310" t="n"/>
      <c r="M396" s="400" t="n"/>
      <c r="N396" s="400" t="n"/>
      <c r="O396" s="400" t="n"/>
      <c r="P396" s="400" t="n"/>
      <c r="Q396" s="400" t="n"/>
      <c r="R396" s="400" t="n"/>
    </row>
    <row r="397" ht="21.75" customHeight="1">
      <c r="B397" s="182" t="inlineStr">
        <is>
          <t>🔴 Evaluate</t>
        </is>
      </c>
      <c r="C397" s="285">
        <f>IF('🎯 บันทึกการสอน Dashboard'!H22&gt;0,"🔴 "&amp;'🎯 บันทึกการสอน Dashboard'!H22&amp;" คน","ยังไม่กรอก")</f>
        <v/>
      </c>
      <c r="D397" s="369" t="n"/>
      <c r="E397" s="369" t="n"/>
      <c r="F397" s="369" t="n"/>
      <c r="G397" s="309">
        <f>IF(ISNUMBER('🎯 บันทึกการสอน Dashboard'!H22),IF('🎯 บันทึกการสอน Dashboard'!H22&lt;=5,"✅ น้อย","⚠️ มาก"),"—")</f>
        <v/>
      </c>
      <c r="H397" s="369" t="n"/>
      <c r="I397" s="369" t="n"/>
      <c r="J397" s="369" t="n"/>
      <c r="L397" s="310" t="n"/>
      <c r="M397" s="400" t="n"/>
      <c r="N397" s="400" t="n"/>
      <c r="O397" s="400" t="n"/>
      <c r="P397" s="400" t="n"/>
      <c r="Q397" s="400" t="n"/>
      <c r="R397" s="400" t="n"/>
    </row>
    <row r="398" ht="19.5" customHeight="1">
      <c r="B398" s="311" t="inlineStr">
        <is>
          <t>ส่วนที่ 2 — ผลการทำ POE (1 ครั้ง)</t>
        </is>
      </c>
      <c r="C398" s="385" t="n"/>
      <c r="D398" s="385" t="n"/>
      <c r="E398" s="385" t="n"/>
      <c r="F398" s="385" t="n"/>
      <c r="G398" s="385" t="n"/>
      <c r="H398" s="385" t="n"/>
      <c r="I398" s="385" t="n"/>
      <c r="J398" s="385" t="n"/>
      <c r="L398" s="311" t="inlineStr">
        <is>
          <t>✏️ ตัวอย่างคำพูดนักเรียน / ข้อค้นพบ</t>
        </is>
      </c>
      <c r="M398" s="385" t="n"/>
      <c r="N398" s="385" t="n"/>
      <c r="O398" s="385" t="n"/>
      <c r="P398" s="385" t="n"/>
      <c r="Q398" s="385" t="n"/>
      <c r="R398" s="385" t="n"/>
    </row>
    <row r="399" ht="27.75" customHeight="1">
      <c r="B399" s="152" t="inlineStr">
        <is>
          <t>POE#1: ช่อง d &lt;&lt; λ vs d &gt;&gt; λ</t>
        </is>
      </c>
      <c r="C399" s="285">
        <f>IFERROR("P avg: "&amp;TEXT(AVERAGE('🔬 POE บันทึก'!R4:R43),"0.0")&amp;"  |  E avg: "&amp;TEXT(AVERAGE('🔬 POE บันทึก'!S4:S43),"0.0"),"—")</f>
        <v/>
      </c>
      <c r="D399" s="369" t="n"/>
      <c r="E399" s="369" t="n"/>
      <c r="F399" s="369" t="n"/>
      <c r="G399" s="309">
        <f>IFERROR(IF(AVERAGE('🔬 POE บันทึก'!S4:S43)&gt;=2,"✅ Conceptual Change","⚠️ ยังไม่เปลี่ยน"),"—")</f>
        <v/>
      </c>
      <c r="H399" s="369" t="n"/>
      <c r="I399" s="369" t="n"/>
      <c r="J399" s="369" t="n"/>
      <c r="L399" s="312" t="n"/>
      <c r="M399" s="402" t="n"/>
      <c r="N399" s="402" t="n"/>
      <c r="O399" s="402" t="n"/>
      <c r="P399" s="402" t="n"/>
      <c r="Q399" s="402" t="n"/>
      <c r="R399" s="402" t="n"/>
    </row>
    <row r="400" ht="15" customHeight="1">
      <c r="L400" s="403" t="n"/>
    </row>
    <row r="401" ht="19.5" customHeight="1">
      <c r="B401" s="354" t="inlineStr">
        <is>
          <t>ส่วนที่ 3 — การบรรลุวัตถุประสงค์การเรียนรู้ (Auto จาก Four-tier + ตัวชี้วัด)</t>
        </is>
      </c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  <c r="L401" s="406" t="n"/>
      <c r="M401" s="406" t="n"/>
      <c r="N401" s="406" t="n"/>
      <c r="O401" s="406" t="n"/>
      <c r="P401" s="406" t="n"/>
      <c r="Q401" s="406" t="n"/>
      <c r="R401" s="406" t="n"/>
    </row>
    <row r="402" ht="18" customHeight="1">
      <c r="B402" s="102" t="inlineStr">
        <is>
          <t>วัตถุประสงค์</t>
        </is>
      </c>
      <c r="C402" s="102" t="inlineStr">
        <is>
          <t>ตัวชี้วัด</t>
        </is>
      </c>
      <c r="D402" s="336" t="inlineStr">
        <is>
          <t>n ผ่านเกณฑ์ (Auto)</t>
        </is>
      </c>
      <c r="E402" s="406" t="n"/>
      <c r="F402" s="102" t="inlineStr">
        <is>
          <t>% (Auto)</t>
        </is>
      </c>
      <c r="G402" s="336" t="inlineStr">
        <is>
          <t>ผ่าน? (Auto)</t>
        </is>
      </c>
      <c r="H402" s="406" t="n"/>
      <c r="I402" s="336" t="inlineStr">
        <is>
          <t>หลักฐาน/วิธีวัด</t>
        </is>
      </c>
      <c r="J402" s="406" t="n"/>
      <c r="K402" s="406" t="n"/>
    </row>
    <row r="403" ht="21.75" customHeight="1">
      <c r="B403" s="183" t="inlineStr">
        <is>
          <t>1. อธิบายปรากฏการณ์การเลี้ยวเบนได้</t>
        </is>
      </c>
      <c r="C403" s="155" t="inlineStr">
        <is>
          <t>ว 2.2 ม.5/7</t>
        </is>
      </c>
      <c r="D403" s="314">
        <f>IFERROR(ROUND('🤖 Four-tier วิเคราะห์'!R90*COUNTA('📥 ข้อมูลนักเรียน'!C4:C43),0),"—")</f>
        <v/>
      </c>
      <c r="E403" s="369" t="n"/>
      <c r="F403" s="79">
        <f>IFERROR('🤖 Four-tier วิเคราะห์'!R90,"—")</f>
        <v/>
      </c>
      <c r="G403" s="315">
        <f>IFERROR(IF('🤖 Four-tier วิเคราะห์'!R90&gt;=0.8,"✅ ผ่าน (≥80%)","❌ ไม่ผ่าน (&lt;80%)"),"—")</f>
        <v/>
      </c>
      <c r="H403" s="369" t="n"/>
      <c r="I403" s="310" t="n"/>
      <c r="J403" s="400" t="n"/>
      <c r="K403" s="400" t="n"/>
      <c r="L403" s="400" t="n"/>
      <c r="M403" s="400" t="n"/>
      <c r="N403" s="400" t="n"/>
      <c r="O403" s="400" t="n"/>
      <c r="P403" s="400" t="n"/>
      <c r="Q403" s="400" t="n"/>
      <c r="R403" s="400" t="n"/>
    </row>
    <row r="404" ht="21.75" customHeight="1">
      <c r="B404" s="183" t="inlineStr">
        <is>
          <t>2. เปรียบเทียบการเลี้ยวเบนเมื่อขนาดช่องต่างกันได้</t>
        </is>
      </c>
      <c r="C404" s="155" t="inlineStr">
        <is>
          <t>ว 2.2 ม.5/7</t>
        </is>
      </c>
      <c r="D404" s="314">
        <f>IFERROR(ROUND('🤖 Four-tier วิเคราะห์'!S90*COUNTA('📥 ข้อมูลนักเรียน'!C4:C43),0),"—")</f>
        <v/>
      </c>
      <c r="E404" s="369" t="n"/>
      <c r="F404" s="79">
        <f>IFERROR('🤖 Four-tier วิเคราะห์'!S90,"—")</f>
        <v/>
      </c>
      <c r="G404" s="315">
        <f>IFERROR(IF('🤖 Four-tier วิเคราะห์'!S90&gt;=0.8,"✅ ผ่าน (≥80%)","❌ ไม่ผ่าน (&lt;80%)"),"—")</f>
        <v/>
      </c>
      <c r="H404" s="369" t="n"/>
      <c r="I404" s="310" t="n"/>
      <c r="J404" s="400" t="n"/>
      <c r="K404" s="400" t="n"/>
      <c r="L404" s="400" t="n"/>
      <c r="M404" s="400" t="n"/>
      <c r="N404" s="400" t="n"/>
      <c r="O404" s="400" t="n"/>
      <c r="P404" s="400" t="n"/>
      <c r="Q404" s="400" t="n"/>
      <c r="R404" s="400" t="n"/>
    </row>
    <row r="405" ht="21.75" customHeight="1">
      <c r="B405" s="183" t="inlineStr">
        <is>
          <t>3. อธิบายด้วยหลักการฮอยเกนส์ได้</t>
        </is>
      </c>
      <c r="C405" s="155" t="inlineStr">
        <is>
          <t>ว 2.2 ม.5/7</t>
        </is>
      </c>
      <c r="D405" s="314">
        <f>IFERROR(ROUND('🤖 Four-tier วิเคราะห์'!T90*COUNTA('📥 ข้อมูลนักเรียน'!C4:C43),0),"—")</f>
        <v/>
      </c>
      <c r="E405" s="369" t="n"/>
      <c r="F405" s="79">
        <f>IFERROR('🤖 Four-tier วิเคราะห์'!T90,"—")</f>
        <v/>
      </c>
      <c r="G405" s="315">
        <f>IFERROR(IF('🤖 Four-tier วิเคราะห์'!T90&gt;=0.8,"✅ ผ่าน (≥80%)","❌ ไม่ผ่าน (&lt;80%)"),"—")</f>
        <v/>
      </c>
      <c r="H405" s="369" t="n"/>
      <c r="I405" s="310" t="n"/>
      <c r="J405" s="400" t="n"/>
      <c r="K405" s="400" t="n"/>
      <c r="L405" s="400" t="n"/>
      <c r="M405" s="400" t="n"/>
      <c r="N405" s="400" t="n"/>
      <c r="O405" s="400" t="n"/>
      <c r="P405" s="400" t="n"/>
      <c r="Q405" s="400" t="n"/>
      <c r="R405" s="400" t="n"/>
    </row>
    <row r="406" ht="21.75" customHeight="1">
      <c r="B406" s="184" t="inlineStr">
        <is>
          <t>ภาพรวมแผนนี้</t>
        </is>
      </c>
      <c r="C406" s="316">
        <f>IFERROR(AVERAGE('🤖 Four-tier วิเคราะห์'!R90,'🤖 Four-tier วิเคราะห์'!S90,'🤖 Four-tier วิเคราะห์'!T90),0)</f>
        <v/>
      </c>
      <c r="D406" s="369" t="n"/>
      <c r="E406" s="369" t="n"/>
      <c r="F406" s="355">
        <f>IFERROR((IF(ISNUMBER('🤖 Four-tier วิเคราะห์'!Q90),IF('🤖 Four-tier วิเคราะห์'!Q90&gt;=0.8,1,0),0)+IF(ISNUMBER('🤖 Four-tier วิเคราะห์'!R90),IF('🤖 Four-tier วิเคราะห์'!R90&gt;=0.8,1,0),0)+IF(ISNUMBER('🤖 Four-tier วิเคราะห์'!S90),IF('🤖 Four-tier วิเคราะห์'!S90&gt;=0.8,1,0),0))&amp;"/3 วัตถุประสงค์ผ่าน","—")</f>
        <v/>
      </c>
      <c r="G406" s="369" t="n"/>
      <c r="H406" s="369" t="n"/>
      <c r="I406" s="318">
        <f>IFERROR(IF(AVERAGE('🤖 Four-tier วิเคราะห์'!R90,'🤖 Four-tier วิเคราะห์'!S90,'🤖 Four-tier วิเคราะห์'!T90)&gt;=0.8,"✅ บรรลุเกณฑ์ภาพรวม","⚠️ ยังต่ำกว่าเกณฑ์"),"—")</f>
        <v/>
      </c>
      <c r="J406" s="369" t="n"/>
      <c r="K406" s="369" t="n"/>
      <c r="L406" s="369" t="n"/>
      <c r="M406" s="369" t="n"/>
      <c r="N406" s="369" t="n"/>
      <c r="O406" s="369" t="n"/>
      <c r="P406" s="369" t="n"/>
      <c r="Q406" s="369" t="n"/>
      <c r="R406" s="369" t="n"/>
    </row>
    <row r="407" ht="19.5" customHeight="1">
      <c r="B407" s="311" t="inlineStr">
        <is>
          <t>ส่วนที่ 4 — พฤติกรรมนักเรียนและการมีส่วนร่วม</t>
        </is>
      </c>
      <c r="C407" s="385" t="n"/>
      <c r="D407" s="385" t="n"/>
      <c r="E407" s="385" t="n"/>
      <c r="F407" s="385" t="n"/>
      <c r="G407" s="385" t="n"/>
      <c r="H407" s="385" t="n"/>
      <c r="I407" s="385" t="n"/>
      <c r="J407" s="385" t="n"/>
      <c r="L407" s="311" t="inlineStr">
        <is>
          <t>✏️ กรอก</t>
        </is>
      </c>
      <c r="M407" s="385" t="n"/>
      <c r="N407" s="385" t="n"/>
      <c r="O407" s="385" t="n"/>
      <c r="P407" s="385" t="n"/>
      <c r="Q407" s="385" t="n"/>
      <c r="R407" s="385" t="n"/>
    </row>
    <row r="408" ht="18" customHeight="1">
      <c r="B408" s="157" t="inlineStr">
        <is>
          <t>🟢 Traffic Light</t>
        </is>
      </c>
      <c r="C408" s="314">
        <f>IFERROR('🎯 บันทึกการสอน Dashboard'!F22,0)&amp;" คน"</f>
        <v/>
      </c>
      <c r="D408" s="369" t="n"/>
      <c r="E408" s="369" t="n"/>
      <c r="F408" s="369" t="n"/>
      <c r="G408" s="369" t="n"/>
      <c r="H408" s="369" t="n"/>
      <c r="I408" s="369" t="n"/>
      <c r="J408" s="369" t="n"/>
      <c r="L408" s="319" t="inlineStr">
        <is>
          <t>นักเรียนที่ต้องดูแลพิเศษ / กลุ่มที่มีส่วนร่วมต่ำ:</t>
        </is>
      </c>
      <c r="M408" s="402" t="n"/>
      <c r="N408" s="402" t="n"/>
      <c r="O408" s="402" t="n"/>
      <c r="P408" s="402" t="n"/>
      <c r="Q408" s="402" t="n"/>
      <c r="R408" s="402" t="n"/>
    </row>
    <row r="409" ht="18" customHeight="1">
      <c r="B409" s="158" t="inlineStr">
        <is>
          <t>🟡 Traffic Light</t>
        </is>
      </c>
      <c r="C409" s="320">
        <f>IFERROR('🎯 บันทึกการสอน Dashboard'!G22,0)&amp;" คน"</f>
        <v/>
      </c>
      <c r="D409" s="369" t="n"/>
      <c r="E409" s="369" t="n"/>
      <c r="F409" s="369" t="n"/>
      <c r="G409" s="369" t="n"/>
      <c r="H409" s="369" t="n"/>
      <c r="I409" s="369" t="n"/>
      <c r="J409" s="369" t="n"/>
      <c r="L409" s="403" t="n"/>
    </row>
    <row r="410" ht="18" customHeight="1">
      <c r="B410" s="159" t="inlineStr">
        <is>
          <t>🔴 Traffic Light</t>
        </is>
      </c>
      <c r="C410" s="321">
        <f>IFERROR('🎯 บันทึกการสอน Dashboard'!H22,0)&amp;" คน"</f>
        <v/>
      </c>
      <c r="D410" s="369" t="n"/>
      <c r="E410" s="369" t="n"/>
      <c r="F410" s="369" t="n"/>
      <c r="G410" s="369" t="n"/>
      <c r="H410" s="369" t="n"/>
      <c r="I410" s="369" t="n"/>
      <c r="J410" s="369" t="n"/>
      <c r="L410" s="403" t="n"/>
    </row>
    <row r="411" ht="18" customHeight="1">
      <c r="B411" s="160" t="inlineStr">
        <is>
          <t>สถานะโดยรวม</t>
        </is>
      </c>
      <c r="C411" s="309">
        <f>IFERROR('🎯 บันทึกการสอน Dashboard'!M22,"ยังไม่กรอก")</f>
        <v/>
      </c>
      <c r="D411" s="369" t="n"/>
      <c r="E411" s="369" t="n"/>
      <c r="F411" s="369" t="n"/>
      <c r="G411" s="369" t="n"/>
      <c r="H411" s="369" t="n"/>
      <c r="I411" s="369" t="n"/>
      <c r="J411" s="369" t="n"/>
      <c r="L411" s="403" t="n"/>
    </row>
    <row r="412" ht="19.5" customHeight="1">
      <c r="B412" s="322" t="inlineStr">
        <is>
          <t>ส่วนที่ 5 — ปัญหา อุปสรรค และข้อค้นพบ</t>
        </is>
      </c>
      <c r="C412" s="404" t="n"/>
      <c r="D412" s="404" t="n"/>
      <c r="E412" s="404" t="n"/>
      <c r="F412" s="404" t="n"/>
      <c r="G412" s="404" t="n"/>
      <c r="H412" s="404" t="n"/>
      <c r="I412" s="404" t="n"/>
      <c r="J412" s="404" t="n"/>
      <c r="L412" s="322" t="inlineStr">
        <is>
          <t>✏️ กรอก</t>
        </is>
      </c>
      <c r="M412" s="404" t="n"/>
      <c r="N412" s="404" t="n"/>
      <c r="O412" s="404" t="n"/>
      <c r="P412" s="404" t="n"/>
      <c r="Q412" s="404" t="n"/>
      <c r="R412" s="404" t="n"/>
    </row>
    <row r="413" ht="18" customHeight="1">
      <c r="B413" s="161" t="inlineStr">
        <is>
          <t>Misconception M1 (Pre)</t>
        </is>
      </c>
      <c r="C413" s="323">
        <f>IFERROR('📊 สรุป Misconception'!D3,"—")</f>
        <v/>
      </c>
      <c r="D413" s="369" t="n"/>
      <c r="E413" s="369" t="n"/>
      <c r="F413" s="369" t="n"/>
      <c r="G413" s="369" t="n"/>
      <c r="H413" s="369" t="n"/>
      <c r="I413" s="369" t="n"/>
      <c r="J413" s="369" t="n"/>
      <c r="L413" s="319" t="inlineStr">
        <is>
          <t>รายละเอียดปัญหา / สิ่งที่ค้นพบระหว่างสอน:</t>
        </is>
      </c>
      <c r="M413" s="402" t="n"/>
      <c r="N413" s="402" t="n"/>
      <c r="O413" s="402" t="n"/>
      <c r="P413" s="402" t="n"/>
      <c r="Q413" s="402" t="n"/>
      <c r="R413" s="402" t="n"/>
    </row>
    <row r="414" ht="18" customHeight="1">
      <c r="B414" s="162" t="inlineStr">
        <is>
          <t>Misconception M1 (Post)</t>
        </is>
      </c>
      <c r="C414" s="324">
        <f>IFERROR('📊 สรุป Misconception'!F3,"—")</f>
        <v/>
      </c>
      <c r="D414" s="369" t="n"/>
      <c r="E414" s="369" t="n"/>
      <c r="F414" s="369" t="n"/>
      <c r="G414" s="369" t="n"/>
      <c r="H414" s="369" t="n"/>
      <c r="I414" s="369" t="n"/>
      <c r="J414" s="369" t="n"/>
      <c r="L414" s="403" t="n"/>
    </row>
    <row r="415" ht="18" customHeight="1">
      <c r="B415" s="163" t="inlineStr">
        <is>
          <t>ระดับ M1</t>
        </is>
      </c>
      <c r="C415" s="325">
        <f>IFERROR('📊 สรุป Misconception'!H3,"—")</f>
        <v/>
      </c>
      <c r="D415" s="369" t="n"/>
      <c r="E415" s="369" t="n"/>
      <c r="F415" s="369" t="n"/>
      <c r="G415" s="369" t="n"/>
      <c r="H415" s="369" t="n"/>
      <c r="I415" s="369" t="n"/>
      <c r="J415" s="369" t="n"/>
      <c r="L415" s="403" t="n"/>
    </row>
    <row r="416" ht="18" customHeight="1">
      <c r="B416" s="161" t="inlineStr">
        <is>
          <t>Misc. ใหม่ที่ไม่คาดคิด</t>
        </is>
      </c>
      <c r="C416" s="323" t="inlineStr">
        <is>
          <t>— ดูจากใบงาน POE —</t>
        </is>
      </c>
      <c r="D416" s="369" t="n"/>
      <c r="E416" s="369" t="n"/>
      <c r="F416" s="369" t="n"/>
      <c r="G416" s="369" t="n"/>
      <c r="H416" s="369" t="n"/>
      <c r="I416" s="369" t="n"/>
      <c r="J416" s="369" t="n"/>
      <c r="L416" s="403" t="n"/>
    </row>
    <row r="417" ht="19.5" customHeight="1">
      <c r="B417" s="326" t="inlineStr">
        <is>
          <t>ส่วนที่ 6 — ข้อมูลเชิงวิจัย (Auto ทั้งหมด)</t>
        </is>
      </c>
      <c r="C417" s="405" t="n"/>
      <c r="D417" s="405" t="n"/>
      <c r="E417" s="405" t="n"/>
      <c r="F417" s="405" t="n"/>
      <c r="G417" s="405" t="n"/>
      <c r="H417" s="405" t="n"/>
      <c r="I417" s="405" t="n"/>
      <c r="J417" s="405" t="n"/>
      <c r="L417" s="326" t="inlineStr">
        <is>
          <t>✏️ กรอก</t>
        </is>
      </c>
      <c r="M417" s="405" t="n"/>
      <c r="N417" s="405" t="n"/>
      <c r="O417" s="405" t="n"/>
      <c r="P417" s="405" t="n"/>
      <c r="Q417" s="405" t="n"/>
      <c r="R417" s="405" t="n"/>
    </row>
    <row r="418" ht="18" customHeight="1">
      <c r="B418" s="164" t="inlineStr">
        <is>
          <t>POE เฉลี่ยแผนนี้</t>
        </is>
      </c>
      <c r="C418" s="327">
        <f>IFERROR('🎯 บันทึกการสอน Dashboard'!J22,"—")</f>
        <v/>
      </c>
      <c r="D418" s="369" t="n"/>
      <c r="E418" s="369" t="n"/>
      <c r="F418" s="369" t="n"/>
      <c r="G418" s="369" t="n"/>
      <c r="H418" s="369" t="n"/>
      <c r="I418" s="369" t="n"/>
      <c r="J418" s="369" t="n"/>
      <c r="L418" s="319" t="inlineStr">
        <is>
          <t>การวิเคราะห์เพิ่มเติม / บันทึกสำหรับบทที่ 4:</t>
        </is>
      </c>
      <c r="M418" s="402" t="n"/>
      <c r="N418" s="402" t="n"/>
      <c r="O418" s="402" t="n"/>
      <c r="P418" s="402" t="n"/>
      <c r="Q418" s="402" t="n"/>
      <c r="R418" s="402" t="n"/>
    </row>
    <row r="419" ht="18" customHeight="1">
      <c r="B419" s="165" t="inlineStr">
        <is>
          <t>% Sound (Post-test)</t>
        </is>
      </c>
      <c r="C419" s="328">
        <f>IFERROR('🎯 บันทึกการสอน Dashboard'!K22,"—")</f>
        <v/>
      </c>
      <c r="D419" s="369" t="n"/>
      <c r="E419" s="369" t="n"/>
      <c r="F419" s="369" t="n"/>
      <c r="G419" s="369" t="n"/>
      <c r="H419" s="369" t="n"/>
      <c r="I419" s="369" t="n"/>
      <c r="J419" s="369" t="n"/>
      <c r="L419" s="403" t="n"/>
    </row>
    <row r="420" ht="18" customHeight="1">
      <c r="B420" s="166" t="inlineStr">
        <is>
          <t>% Misconception (Post)</t>
        </is>
      </c>
      <c r="C420" s="329">
        <f>IFERROR('🎯 บันทึกการสอน Dashboard'!L22,"—")</f>
        <v/>
      </c>
      <c r="D420" s="369" t="n"/>
      <c r="E420" s="369" t="n"/>
      <c r="F420" s="369" t="n"/>
      <c r="G420" s="369" t="n"/>
      <c r="H420" s="369" t="n"/>
      <c r="I420" s="369" t="n"/>
      <c r="J420" s="369" t="n"/>
      <c r="L420" s="403" t="n"/>
    </row>
    <row r="421" ht="18" customHeight="1">
      <c r="B421" s="164" t="inlineStr">
        <is>
          <t>GAP: POE ดีแต่ Misc.</t>
        </is>
      </c>
      <c r="C421" s="330">
        <f>IFERROR(COUNTIF('🔗 POE-Fourtier เทียบ'!H11,"🔴*"),0)&amp;" คน"</f>
        <v/>
      </c>
      <c r="D421" s="369" t="n"/>
      <c r="E421" s="369" t="n"/>
      <c r="F421" s="369" t="n"/>
      <c r="G421" s="369" t="n"/>
      <c r="H421" s="369" t="n"/>
      <c r="I421" s="369" t="n"/>
      <c r="J421" s="369" t="n"/>
      <c r="L421" s="403" t="n"/>
    </row>
    <row r="422" ht="19.5" customHeight="1">
      <c r="B422" s="354" t="inlineStr">
        <is>
          <t>ส่วนที่ 7 — ประเมิน 8 องค์ประกอบ วPA</t>
        </is>
      </c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  <c r="L422" s="406" t="n"/>
      <c r="M422" s="406" t="n"/>
      <c r="N422" s="406" t="n"/>
      <c r="O422" s="406" t="n"/>
      <c r="P422" s="406" t="n"/>
      <c r="Q422" s="406" t="n"/>
      <c r="R422" s="406" t="n"/>
    </row>
    <row r="423" ht="18" customHeight="1">
      <c r="B423" s="336" t="inlineStr">
        <is>
          <t>องค์ประกอบ วPA</t>
        </is>
      </c>
      <c r="C423" s="406" t="n"/>
      <c r="D423" s="406" t="n"/>
      <c r="E423" s="336" t="inlineStr">
        <is>
          <t>กิจกรรมที่รองรับ</t>
        </is>
      </c>
      <c r="F423" s="406" t="n"/>
      <c r="G423" s="406" t="n"/>
      <c r="H423" s="336" t="inlineStr">
        <is>
          <t>ระดับ (Auto)</t>
        </is>
      </c>
      <c r="I423" s="406" t="n"/>
      <c r="J423" s="406" t="n"/>
      <c r="K423" s="336" t="inlineStr">
        <is>
          <t>ผ่าน?</t>
        </is>
      </c>
      <c r="L423" s="406" t="n"/>
      <c r="M423" s="406" t="n"/>
      <c r="N423" s="336" t="inlineStr">
        <is>
          <t>หลักฐาน/สิ่งที่สังเกต</t>
        </is>
      </c>
      <c r="O423" s="406" t="n"/>
      <c r="P423" s="406" t="n"/>
    </row>
    <row r="424" ht="19.5" customHeight="1">
      <c r="B424" s="356" t="inlineStr">
        <is>
          <t>1. เข้าถึงและเข้าใจบทเรียน</t>
        </is>
      </c>
      <c r="C424" s="369" t="n"/>
      <c r="D424" s="369" t="n"/>
      <c r="E424" s="332" t="inlineStr">
        <is>
          <t>Concept Cartoon + วิดีโอ</t>
        </is>
      </c>
      <c r="F424" s="369" t="n"/>
      <c r="G424" s="369" t="n"/>
      <c r="H424" s="333">
        <f>IFERROR(IF('🎯 บันทึกการสอน Dashboard'!K22&gt;=0.6,"✅","⚠️"),"—")</f>
        <v/>
      </c>
      <c r="I424" s="369" t="n"/>
      <c r="J424" s="310" t="n"/>
      <c r="K424" s="400" t="n"/>
      <c r="L424" s="400" t="n"/>
      <c r="M424" s="400" t="n"/>
      <c r="N424" s="400" t="n"/>
      <c r="O424" s="400" t="n"/>
      <c r="P424" s="400" t="n"/>
      <c r="Q424" s="400" t="n"/>
      <c r="R424" s="400" t="n"/>
    </row>
    <row r="425" ht="19.5" customHeight="1">
      <c r="B425" s="356" t="inlineStr">
        <is>
          <t>2. เชื่อมโยงความรู้เดิม</t>
        </is>
      </c>
      <c r="C425" s="369" t="n"/>
      <c r="D425" s="369" t="n"/>
      <c r="E425" s="332" t="inlineStr">
        <is>
          <t>POE-Predict + KWL</t>
        </is>
      </c>
      <c r="F425" s="369" t="n"/>
      <c r="G425" s="369" t="n"/>
      <c r="H425" s="333">
        <f>IFERROR(IF('🎯 บันทึกการสอน Dashboard'!J22&gt;=1.5,"✅","⚠️"),"—")</f>
        <v/>
      </c>
      <c r="I425" s="369" t="n"/>
      <c r="J425" s="310" t="n"/>
      <c r="K425" s="400" t="n"/>
      <c r="L425" s="400" t="n"/>
      <c r="M425" s="400" t="n"/>
      <c r="N425" s="400" t="n"/>
      <c r="O425" s="400" t="n"/>
      <c r="P425" s="400" t="n"/>
      <c r="Q425" s="400" t="n"/>
      <c r="R425" s="400" t="n"/>
    </row>
    <row r="426" ht="19.5" customHeight="1">
      <c r="B426" s="356" t="inlineStr">
        <is>
          <t>3. สร้างความรู้เอง</t>
        </is>
      </c>
      <c r="C426" s="369" t="n"/>
      <c r="D426" s="369" t="n"/>
      <c r="E426" s="332" t="inlineStr">
        <is>
          <t>ทดลองสปริง + PhET</t>
        </is>
      </c>
      <c r="F426" s="369" t="n"/>
      <c r="G426" s="369" t="n"/>
      <c r="H426" s="333">
        <f>IFERROR(IF('🎯 บันทึกการสอน Dashboard'!J22&gt;=2,"✅","⚠️"),"—")</f>
        <v/>
      </c>
      <c r="I426" s="369" t="n"/>
      <c r="J426" s="310" t="n"/>
      <c r="K426" s="400" t="n"/>
      <c r="L426" s="400" t="n"/>
      <c r="M426" s="400" t="n"/>
      <c r="N426" s="400" t="n"/>
      <c r="O426" s="400" t="n"/>
      <c r="P426" s="400" t="n"/>
      <c r="Q426" s="400" t="n"/>
      <c r="R426" s="400" t="n"/>
    </row>
    <row r="427" ht="19.5" customHeight="1">
      <c r="B427" s="356" t="inlineStr">
        <is>
          <t>4. แรงจูงใจ</t>
        </is>
      </c>
      <c r="C427" s="369" t="n"/>
      <c r="D427" s="369" t="n"/>
      <c r="E427" s="332" t="inlineStr">
        <is>
          <t>Traffic Lights + Brain Break</t>
        </is>
      </c>
      <c r="F427" s="369" t="n"/>
      <c r="G427" s="369" t="n"/>
      <c r="H427" s="333">
        <f>IFERROR(IF('🎯 บันทึกการสอน Dashboard'!F22&gt;='🎯 บันทึกการสอน Dashboard'!H22,"✅","⚠️"),"—")</f>
        <v/>
      </c>
      <c r="I427" s="369" t="n"/>
      <c r="J427" s="310" t="n"/>
      <c r="K427" s="400" t="n"/>
      <c r="L427" s="400" t="n"/>
      <c r="M427" s="400" t="n"/>
      <c r="N427" s="400" t="n"/>
      <c r="O427" s="400" t="n"/>
      <c r="P427" s="400" t="n"/>
      <c r="Q427" s="400" t="n"/>
      <c r="R427" s="400" t="n"/>
    </row>
    <row r="428" ht="19.5" customHeight="1">
      <c r="B428" s="356" t="inlineStr">
        <is>
          <t>5. พัฒนาทักษะเชี่ยวชาญ</t>
        </is>
      </c>
      <c r="C428" s="369" t="n"/>
      <c r="D428" s="369" t="n"/>
      <c r="E428" s="332" t="inlineStr">
        <is>
          <t>Spot the Error + Matrix</t>
        </is>
      </c>
      <c r="F428" s="369" t="n"/>
      <c r="G428" s="369" t="n"/>
      <c r="H428" s="333">
        <f>IFERROR(IF('🎯 บันทึกการสอน Dashboard'!I22&gt;=0.7,"✅","⚠️"),"—")</f>
        <v/>
      </c>
      <c r="I428" s="369" t="n"/>
      <c r="J428" s="310" t="n"/>
      <c r="K428" s="400" t="n"/>
      <c r="L428" s="400" t="n"/>
      <c r="M428" s="400" t="n"/>
      <c r="N428" s="400" t="n"/>
      <c r="O428" s="400" t="n"/>
      <c r="P428" s="400" t="n"/>
      <c r="Q428" s="400" t="n"/>
      <c r="R428" s="400" t="n"/>
    </row>
    <row r="429" ht="19.5" customHeight="1">
      <c r="B429" s="356" t="inlineStr">
        <is>
          <t>6. Feedback ปรับปรุง</t>
        </is>
      </c>
      <c r="C429" s="369" t="n"/>
      <c r="D429" s="369" t="n"/>
      <c r="E429" s="332" t="inlineStr">
        <is>
          <t>Concept Cartoon เฉลย + 3-2-1</t>
        </is>
      </c>
      <c r="F429" s="369" t="n"/>
      <c r="G429" s="369" t="n"/>
      <c r="H429" s="333">
        <f>IFERROR(IF('🎯 บันทึกการสอน Dashboard'!H22&lt;=5,"✅","⚠️"),"—")</f>
        <v/>
      </c>
      <c r="I429" s="369" t="n"/>
      <c r="J429" s="310" t="n"/>
      <c r="K429" s="400" t="n"/>
      <c r="L429" s="400" t="n"/>
      <c r="M429" s="400" t="n"/>
      <c r="N429" s="400" t="n"/>
      <c r="O429" s="400" t="n"/>
      <c r="P429" s="400" t="n"/>
      <c r="Q429" s="400" t="n"/>
      <c r="R429" s="400" t="n"/>
    </row>
    <row r="430" ht="19.5" customHeight="1">
      <c r="B430" s="356" t="inlineStr">
        <is>
          <t>7. บรรยากาศชั้นเรียน</t>
        </is>
      </c>
      <c r="C430" s="369" t="n"/>
      <c r="D430" s="369" t="n"/>
      <c r="E430" s="332" t="inlineStr">
        <is>
          <t>Talking Chips + Visual Timer</t>
        </is>
      </c>
      <c r="F430" s="369" t="n"/>
      <c r="G430" s="369" t="n"/>
      <c r="H430" s="333">
        <f>IFERROR(IF('🎯 บันทึกการสอน Dashboard'!M22="✅ ดีมาก","✅","⚠️"),"—")</f>
        <v/>
      </c>
      <c r="I430" s="369" t="n"/>
      <c r="J430" s="310" t="n"/>
      <c r="K430" s="400" t="n"/>
      <c r="L430" s="400" t="n"/>
      <c r="M430" s="400" t="n"/>
      <c r="N430" s="400" t="n"/>
      <c r="O430" s="400" t="n"/>
      <c r="P430" s="400" t="n"/>
      <c r="Q430" s="400" t="n"/>
      <c r="R430" s="400" t="n"/>
    </row>
    <row r="431" ht="19.5" customHeight="1">
      <c r="B431" s="356" t="inlineStr">
        <is>
          <t>8. กำกับตนเอง</t>
        </is>
      </c>
      <c r="C431" s="369" t="n"/>
      <c r="D431" s="369" t="n"/>
      <c r="E431" s="332" t="inlineStr">
        <is>
          <t>3-2-1 Journal + Goal Setting</t>
        </is>
      </c>
      <c r="F431" s="369" t="n"/>
      <c r="G431" s="369" t="n"/>
      <c r="H431" s="333">
        <f>IFERROR(IF('🎯 บันทึกการสอน Dashboard'!I22&gt;=0.6,"✅","⚠️"),"—")</f>
        <v/>
      </c>
      <c r="I431" s="369" t="n"/>
      <c r="J431" s="310" t="n"/>
      <c r="K431" s="400" t="n"/>
      <c r="L431" s="400" t="n"/>
      <c r="M431" s="400" t="n"/>
      <c r="N431" s="400" t="n"/>
      <c r="O431" s="400" t="n"/>
      <c r="P431" s="400" t="n"/>
      <c r="Q431" s="400" t="n"/>
      <c r="R431" s="400" t="n"/>
    </row>
    <row r="432" ht="19.5" customHeight="1">
      <c r="B432" s="354" t="inlineStr">
        <is>
          <t>ส่วนที่ 8 — แนวทางปรับปรุง + Mini-trend เทียบแผนก่อน</t>
        </is>
      </c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  <c r="L432" s="406" t="n"/>
      <c r="M432" s="406" t="n"/>
      <c r="N432" s="406" t="n"/>
      <c r="O432" s="406" t="n"/>
      <c r="P432" s="406" t="n"/>
      <c r="Q432" s="406" t="n"/>
      <c r="R432" s="406" t="n"/>
    </row>
    <row r="433" ht="18" customHeight="1">
      <c r="B433" s="185" t="inlineStr">
        <is>
          <t>📌 Try ที่ตั้งใจทำจากแผนที่ 7 (Auto)</t>
        </is>
      </c>
      <c r="C433" s="337" t="inlineStr">
        <is>
          <t>← ดูจากแผนที่ 7 ส่วนที่ 8 ช่อง Try</t>
        </is>
      </c>
      <c r="D433" s="369" t="n"/>
      <c r="E433" s="369" t="n"/>
      <c r="F433" s="369" t="n"/>
      <c r="G433" s="369" t="n"/>
      <c r="H433" s="369" t="n"/>
      <c r="I433" s="369" t="n"/>
      <c r="J433" s="369" t="n"/>
    </row>
    <row r="434" ht="19.5" customHeight="1">
      <c r="B434" s="185" t="inlineStr">
        <is>
          <t>📈 Mini-trend (เทียบแผนก่อน)</t>
        </is>
      </c>
      <c r="C434" s="334">
        <f>IFERROR("Sound: "&amp;TEXT('🎯 บันทึกการสอน Dashboard'!K22,"0%")&amp;" vs "&amp;TEXT('🎯 บันทึกการสอน Dashboard'!K21,"0%")&amp;IF('🎯 บันทึกการสอน Dashboard'!K22&gt;'🎯 บันทึกการสอน Dashboard'!K21," ▲ ดีขึ้น",IF('🎯 บันทึกการสอน Dashboard'!K22&lt;'🎯 บันทึกการสอน Dashboard'!K21," ▼ ลดลง"," = คงที่")),"กรอกข้อมูลก่อน")</f>
        <v/>
      </c>
      <c r="D434" s="369" t="n"/>
      <c r="E434" s="369" t="n"/>
      <c r="F434" s="369" t="n"/>
      <c r="G434" s="369" t="n"/>
      <c r="H434" s="369" t="n"/>
      <c r="I434" s="369" t="n"/>
      <c r="J434" s="369" t="n"/>
    </row>
    <row r="435" ht="18" customHeight="1">
      <c r="B435" s="260" t="inlineStr">
        <is>
          <t>✅ Keep — สิ่งที่ได้ผล ควรคงไว้</t>
        </is>
      </c>
      <c r="C435" s="385" t="n"/>
      <c r="D435" s="385" t="n"/>
      <c r="E435" s="385" t="n"/>
      <c r="F435" s="385" t="n"/>
      <c r="G435" s="335" t="inlineStr">
        <is>
          <t>🔄 Change — สิ่งที่ต้องปรับปรุง</t>
        </is>
      </c>
      <c r="H435" s="404" t="n"/>
      <c r="I435" s="404" t="n"/>
      <c r="J435" s="404" t="n"/>
      <c r="K435" s="404" t="n"/>
      <c r="L435" s="336" t="inlineStr">
        <is>
          <t>🆕 Try — สิ่งที่จะลองทำในแผนถัดไป</t>
        </is>
      </c>
      <c r="M435" s="406" t="n"/>
      <c r="N435" s="406" t="n"/>
      <c r="O435" s="406" t="n"/>
      <c r="P435" s="406" t="n"/>
    </row>
    <row r="436" ht="19.5" customHeight="1">
      <c r="B436" s="312" t="n"/>
      <c r="C436" s="402" t="n"/>
      <c r="D436" s="402" t="n"/>
      <c r="E436" s="402" t="n"/>
      <c r="F436" s="402" t="n"/>
      <c r="G436" s="312" t="n"/>
      <c r="H436" s="402" t="n"/>
      <c r="I436" s="402" t="n"/>
      <c r="J436" s="402" t="n"/>
      <c r="K436" s="402" t="n"/>
      <c r="L436" s="312" t="n"/>
      <c r="M436" s="402" t="n"/>
      <c r="N436" s="402" t="n"/>
      <c r="O436" s="402" t="n"/>
      <c r="P436" s="402" t="n"/>
    </row>
    <row r="437" ht="19.5" customHeight="1">
      <c r="B437" s="403" t="n"/>
      <c r="G437" s="403" t="n"/>
      <c r="L437" s="403" t="n"/>
    </row>
    <row r="438" ht="19.5" customHeight="1">
      <c r="B438" s="403" t="n"/>
      <c r="G438" s="403" t="n"/>
      <c r="L438" s="403" t="n"/>
    </row>
    <row r="439" ht="19.5" customHeight="1">
      <c r="B439" s="185" t="inlineStr">
        <is>
          <t>📌 เนื้อหา/ทักษะที่จะทบทวนต้นคาบแผนที่ 9:</t>
        </is>
      </c>
      <c r="C439" s="312" t="n"/>
      <c r="D439" s="402" t="n"/>
      <c r="E439" s="402" t="n"/>
      <c r="F439" s="402" t="n"/>
      <c r="G439" s="402" t="n"/>
      <c r="H439" s="402" t="n"/>
      <c r="I439" s="402" t="n"/>
      <c r="J439" s="402" t="n"/>
      <c r="K439" s="402" t="n"/>
      <c r="L439" s="402" t="n"/>
      <c r="M439" s="402" t="n"/>
      <c r="N439" s="402" t="n"/>
      <c r="O439" s="402" t="n"/>
      <c r="P439" s="402" t="n"/>
      <c r="Q439" s="402" t="n"/>
      <c r="R439" s="402" t="n"/>
    </row>
    <row r="440" ht="19.5" customHeight="1">
      <c r="C440" s="403" t="n"/>
    </row>
    <row r="441" ht="12" customHeight="1"/>
    <row r="442" ht="24" customHeight="1">
      <c r="B442" s="357" t="inlineStr">
        <is>
          <t>▌ แผนการสอนที่ 9  |  ฝึกปัญหาประยุกต์และบูรณาการ  |  คาบที่ 17–18  |  อ้างอิง 9.1–9.4</t>
        </is>
      </c>
      <c r="C442" s="383" t="n"/>
      <c r="D442" s="383" t="n"/>
      <c r="E442" s="383" t="n"/>
      <c r="F442" s="383" t="n"/>
      <c r="G442" s="383" t="n"/>
      <c r="H442" s="383" t="n"/>
      <c r="I442" s="383" t="n"/>
      <c r="J442" s="383" t="n"/>
      <c r="K442" s="383" t="n"/>
      <c r="L442" s="383" t="n"/>
      <c r="M442" s="383" t="n"/>
      <c r="N442" s="383" t="n"/>
      <c r="O442" s="383" t="n"/>
      <c r="P442" s="383" t="n"/>
      <c r="Q442" s="383" t="n"/>
      <c r="R442" s="383" t="n"/>
    </row>
    <row r="443" ht="18" customHeight="1">
      <c r="B443" s="358" t="inlineStr">
        <is>
          <t>จำนวนนักเรียน (Auto):</t>
        </is>
      </c>
      <c r="D443" s="305">
        <f>COUNTA('📥 ข้อมูลนักเรียน'!C4:C43)&amp;" คน"</f>
        <v/>
      </c>
      <c r="E443" s="398" t="n"/>
      <c r="L443" s="358" t="inlineStr">
        <is>
          <t>วันที่สอน:</t>
        </is>
      </c>
      <c r="M443" s="306" t="n"/>
      <c r="N443" s="399" t="n"/>
      <c r="O443" s="358" t="inlineStr">
        <is>
          <t>เวลาที่ใช้ (นาที):</t>
        </is>
      </c>
      <c r="P443" s="306" t="n"/>
      <c r="Q443" s="400" t="n"/>
      <c r="R443" s="399" t="n"/>
    </row>
    <row r="444" ht="19.5" customHeight="1">
      <c r="B444" s="359" t="inlineStr">
        <is>
          <t>ส่วนที่ 1 — ผลการจัดกิจกรรม 5E</t>
        </is>
      </c>
      <c r="C444" s="395" t="n"/>
      <c r="D444" s="395" t="n"/>
      <c r="E444" s="395" t="n"/>
      <c r="F444" s="395" t="n"/>
      <c r="G444" s="395" t="n"/>
      <c r="H444" s="395" t="n"/>
      <c r="I444" s="395" t="n"/>
      <c r="J444" s="395" t="n"/>
      <c r="L444" s="359" t="inlineStr">
        <is>
          <t>✏️ สิ่งที่สังเกต / หมายเหตุ</t>
        </is>
      </c>
      <c r="M444" s="395" t="n"/>
      <c r="N444" s="395" t="n"/>
      <c r="O444" s="395" t="n"/>
      <c r="P444" s="395" t="n"/>
      <c r="Q444" s="395" t="n"/>
      <c r="R444" s="395" t="n"/>
    </row>
    <row r="445" ht="15.75" customHeight="1">
      <c r="B445" s="150" t="inlineStr">
        <is>
          <t>ขั้น 5E</t>
        </is>
      </c>
      <c r="C445" s="308" t="inlineStr">
        <is>
          <t>ตัวชี้วัด / ผล (Auto)</t>
        </is>
      </c>
      <c r="D445" s="369" t="n"/>
      <c r="E445" s="369" t="n"/>
      <c r="F445" s="369" t="n"/>
      <c r="G445" s="308" t="inlineStr">
        <is>
          <t>ระดับ (Auto)</t>
        </is>
      </c>
      <c r="H445" s="369" t="n"/>
      <c r="I445" s="369" t="n"/>
      <c r="J445" s="369" t="n"/>
      <c r="L445" s="308" t="inlineStr">
        <is>
          <t>บันทึกสั้น (2–3 บรรทัด)</t>
        </is>
      </c>
      <c r="M445" s="369" t="n"/>
      <c r="N445" s="369" t="n"/>
      <c r="O445" s="369" t="n"/>
      <c r="P445" s="369" t="n"/>
      <c r="Q445" s="369" t="n"/>
      <c r="R445" s="369" t="n"/>
    </row>
    <row r="446" ht="21.75" customHeight="1">
      <c r="B446" s="187" t="inlineStr">
        <is>
          <t>🔵 Engage</t>
        </is>
      </c>
      <c r="C446" s="285">
        <f>IF('🎯 บันทึกการสอน Dashboard'!F23&gt;0,'🎯 บันทึกการสอน Dashboard'!F23&amp;" คน 🟢","—")</f>
        <v/>
      </c>
      <c r="D446" s="369" t="n"/>
      <c r="E446" s="369" t="n"/>
      <c r="F446" s="369" t="n"/>
      <c r="G446" s="309">
        <f>IFERROR(IF('🎯 บันทึกการสอน Dashboard'!F23+IFERROR('🎯 บันทึกการสอน Dashboard'!G23,0)+IFERROR('🎯 บันทึกการสอน Dashboard'!H23,0)&gt;0,IF('🎯 บันทึกการสอน Dashboard'!F23/('🎯 บันทึกการสอน Dashboard'!F23+IFERROR('🎯 บันทึกการสอน Dashboard'!G23,0)+IFERROR('🎯 บันทึกการสอน Dashboard'!H23,0))&gt;=0.5,"✅ ดี","⚠️ ต่ำ"),"ยังไม่กรอก"),"—")</f>
        <v/>
      </c>
      <c r="H446" s="369" t="n"/>
      <c r="I446" s="369" t="n"/>
      <c r="J446" s="369" t="n"/>
      <c r="L446" s="310" t="n"/>
      <c r="M446" s="400" t="n"/>
      <c r="N446" s="400" t="n"/>
      <c r="O446" s="400" t="n"/>
      <c r="P446" s="400" t="n"/>
      <c r="Q446" s="400" t="n"/>
      <c r="R446" s="400" t="n"/>
    </row>
    <row r="447" ht="21.75" customHeight="1">
      <c r="B447" s="187" t="inlineStr">
        <is>
          <t>🟠 Explore</t>
        </is>
      </c>
      <c r="C447" s="285">
        <f>IF('🎯 บันทึกการสอน Dashboard'!J23&gt;0,"POE avg: "&amp;TEXT('🎯 บันทึกการสอน Dashboard'!J23,"0.00"),"—")</f>
        <v/>
      </c>
      <c r="D447" s="369" t="n"/>
      <c r="E447" s="369" t="n"/>
      <c r="F447" s="369" t="n"/>
      <c r="G447" s="309">
        <f>IF(ISNUMBER('🎯 บันทึกการสอน Dashboard'!J23),IF('🎯 บันทึกการสอน Dashboard'!J23&gt;=2,"✅ ดี","⚠️ ต่ำ"),"—")</f>
        <v/>
      </c>
      <c r="H447" s="369" t="n"/>
      <c r="I447" s="369" t="n"/>
      <c r="J447" s="369" t="n"/>
      <c r="L447" s="310" t="n"/>
      <c r="M447" s="400" t="n"/>
      <c r="N447" s="400" t="n"/>
      <c r="O447" s="400" t="n"/>
      <c r="P447" s="400" t="n"/>
      <c r="Q447" s="400" t="n"/>
      <c r="R447" s="400" t="n"/>
    </row>
    <row r="448" ht="21.75" customHeight="1">
      <c r="B448" s="187" t="inlineStr">
        <is>
          <t>🟢 Explain</t>
        </is>
      </c>
      <c r="C448" s="285">
        <f>IF('🎯 บันทึกการสอน Dashboard'!K23&gt;0,"Sound: "&amp;TEXT('🎯 บันทึกการสอน Dashboard'!K23,"0%"),"—")</f>
        <v/>
      </c>
      <c r="D448" s="369" t="n"/>
      <c r="E448" s="369" t="n"/>
      <c r="F448" s="369" t="n"/>
      <c r="G448" s="309">
        <f>IF(ISNUMBER('🎯 บันทึกการสอน Dashboard'!K23),IF('🎯 บันทึกการสอน Dashboard'!K23&gt;=0.7,"✅ ดี","⚠️ ต่ำ"),"—")</f>
        <v/>
      </c>
      <c r="H448" s="369" t="n"/>
      <c r="I448" s="369" t="n"/>
      <c r="J448" s="369" t="n"/>
      <c r="L448" s="310" t="n"/>
      <c r="M448" s="400" t="n"/>
      <c r="N448" s="400" t="n"/>
      <c r="O448" s="400" t="n"/>
      <c r="P448" s="400" t="n"/>
      <c r="Q448" s="400" t="n"/>
      <c r="R448" s="400" t="n"/>
    </row>
    <row r="449" ht="21.75" customHeight="1">
      <c r="B449" s="187" t="inlineStr">
        <is>
          <t>🟡 Elaborate</t>
        </is>
      </c>
      <c r="C449" s="285" t="inlineStr">
        <is>
          <t>ดูผลใบงาน/Spot the Error</t>
        </is>
      </c>
      <c r="D449" s="369" t="n"/>
      <c r="E449" s="369" t="n"/>
      <c r="F449" s="369" t="n"/>
      <c r="G449" s="309" t="inlineStr">
        <is>
          <t>กรอกเอง</t>
        </is>
      </c>
      <c r="H449" s="369" t="n"/>
      <c r="I449" s="369" t="n"/>
      <c r="J449" s="369" t="n"/>
      <c r="L449" s="310" t="n"/>
      <c r="M449" s="400" t="n"/>
      <c r="N449" s="400" t="n"/>
      <c r="O449" s="400" t="n"/>
      <c r="P449" s="400" t="n"/>
      <c r="Q449" s="400" t="n"/>
      <c r="R449" s="400" t="n"/>
    </row>
    <row r="450" ht="21.75" customHeight="1">
      <c r="B450" s="187" t="inlineStr">
        <is>
          <t>🔴 Evaluate</t>
        </is>
      </c>
      <c r="C450" s="285">
        <f>IF('🎯 บันทึกการสอน Dashboard'!H23&gt;0,"🔴 "&amp;'🎯 บันทึกการสอน Dashboard'!H23&amp;" คน","ยังไม่กรอก")</f>
        <v/>
      </c>
      <c r="D450" s="369" t="n"/>
      <c r="E450" s="369" t="n"/>
      <c r="F450" s="369" t="n"/>
      <c r="G450" s="309">
        <f>IF(ISNUMBER('🎯 บันทึกการสอน Dashboard'!H23),IF('🎯 บันทึกการสอน Dashboard'!H23&lt;=5,"✅ น้อย","⚠️ มาก"),"—")</f>
        <v/>
      </c>
      <c r="H450" s="369" t="n"/>
      <c r="I450" s="369" t="n"/>
      <c r="J450" s="369" t="n"/>
      <c r="L450" s="310" t="n"/>
      <c r="M450" s="400" t="n"/>
      <c r="N450" s="400" t="n"/>
      <c r="O450" s="400" t="n"/>
      <c r="P450" s="400" t="n"/>
      <c r="Q450" s="400" t="n"/>
      <c r="R450" s="400" t="n"/>
    </row>
    <row r="451" ht="19.5" customHeight="1">
      <c r="B451" s="311" t="inlineStr">
        <is>
          <t>ส่วนที่ 2 — ผลการทำ POE (1 ครั้ง)</t>
        </is>
      </c>
      <c r="C451" s="385" t="n"/>
      <c r="D451" s="385" t="n"/>
      <c r="E451" s="385" t="n"/>
      <c r="F451" s="385" t="n"/>
      <c r="G451" s="385" t="n"/>
      <c r="H451" s="385" t="n"/>
      <c r="I451" s="385" t="n"/>
      <c r="J451" s="385" t="n"/>
      <c r="L451" s="311" t="inlineStr">
        <is>
          <t>✏️ ตัวอย่างคำพูดนักเรียน / ข้อค้นพบ</t>
        </is>
      </c>
      <c r="M451" s="385" t="n"/>
      <c r="N451" s="385" t="n"/>
      <c r="O451" s="385" t="n"/>
      <c r="P451" s="385" t="n"/>
      <c r="Q451" s="385" t="n"/>
      <c r="R451" s="385" t="n"/>
    </row>
    <row r="452" ht="27.75" customHeight="1">
      <c r="B452" s="152" t="inlineStr">
        <is>
          <t>POE บูรณาการ: สถานการณ์ผสม</t>
        </is>
      </c>
      <c r="C452" s="285">
        <f>IFERROR("P avg: "&amp;TEXT(AVERAGE('🔬 POE บันทึก'!T4:T43),"0.0")&amp;"  |  E avg: "&amp;TEXT(AVERAGE('🔬 POE บันทึก'!U4:U43),"0.0"),"—")</f>
        <v/>
      </c>
      <c r="D452" s="369" t="n"/>
      <c r="E452" s="369" t="n"/>
      <c r="F452" s="369" t="n"/>
      <c r="G452" s="309">
        <f>IFERROR(IF(AVERAGE('🔬 POE บันทึก'!U4:U43)&gt;=2,"✅ Conceptual Change","⚠️ ยังไม่เปลี่ยน"),"—")</f>
        <v/>
      </c>
      <c r="H452" s="369" t="n"/>
      <c r="I452" s="369" t="n"/>
      <c r="J452" s="369" t="n"/>
      <c r="L452" s="312" t="n"/>
      <c r="M452" s="402" t="n"/>
      <c r="N452" s="402" t="n"/>
      <c r="O452" s="402" t="n"/>
      <c r="P452" s="402" t="n"/>
      <c r="Q452" s="402" t="n"/>
      <c r="R452" s="402" t="n"/>
    </row>
    <row r="453" ht="15" customHeight="1">
      <c r="L453" s="403" t="n"/>
    </row>
    <row r="454" ht="19.5" customHeight="1">
      <c r="B454" s="359" t="inlineStr">
        <is>
          <t>ส่วนที่ 3 — การบรรลุวัตถุประสงค์การเรียนรู้ (Auto จาก Four-tier + ตัวชี้วัด)</t>
        </is>
      </c>
      <c r="C454" s="395" t="n"/>
      <c r="D454" s="395" t="n"/>
      <c r="E454" s="395" t="n"/>
      <c r="F454" s="395" t="n"/>
      <c r="G454" s="395" t="n"/>
      <c r="H454" s="395" t="n"/>
      <c r="I454" s="395" t="n"/>
      <c r="J454" s="395" t="n"/>
      <c r="K454" s="395" t="n"/>
      <c r="L454" s="395" t="n"/>
      <c r="M454" s="395" t="n"/>
      <c r="N454" s="395" t="n"/>
      <c r="O454" s="395" t="n"/>
      <c r="P454" s="395" t="n"/>
      <c r="Q454" s="395" t="n"/>
      <c r="R454" s="395" t="n"/>
    </row>
    <row r="455" ht="18" customHeight="1">
      <c r="B455" s="99" t="inlineStr">
        <is>
          <t>วัตถุประสงค์</t>
        </is>
      </c>
      <c r="C455" s="99" t="inlineStr">
        <is>
          <t>ตัวชี้วัด</t>
        </is>
      </c>
      <c r="D455" s="272" t="inlineStr">
        <is>
          <t>n ผ่านเกณฑ์ (Auto)</t>
        </is>
      </c>
      <c r="E455" s="395" t="n"/>
      <c r="F455" s="99" t="inlineStr">
        <is>
          <t>% (Auto)</t>
        </is>
      </c>
      <c r="G455" s="272" t="inlineStr">
        <is>
          <t>ผ่าน? (Auto)</t>
        </is>
      </c>
      <c r="H455" s="395" t="n"/>
      <c r="I455" s="272" t="inlineStr">
        <is>
          <t>หลักฐาน/วิธีวัด</t>
        </is>
      </c>
      <c r="J455" s="395" t="n"/>
      <c r="K455" s="395" t="n"/>
    </row>
    <row r="456" ht="21.75" customHeight="1">
      <c r="B456" s="154" t="inlineStr">
        <is>
          <t>1. บูรณาการความรู้คลื่นในการแก้ปัญหาซับซ้อนได้</t>
        </is>
      </c>
      <c r="C456" s="155" t="inlineStr">
        <is>
          <t>ว 2.2 ม.5/1–8</t>
        </is>
      </c>
      <c r="D456" s="314">
        <f>IFERROR(ROUND('🤖 Four-tier วิเคราะห์'!T90*COUNTA('📥 ข้อมูลนักเรียน'!C4:C43),0),"—")</f>
        <v/>
      </c>
      <c r="E456" s="369" t="n"/>
      <c r="F456" s="79">
        <f>IFERROR('🤖 Four-tier วิเคราะห์'!T90,"—")</f>
        <v/>
      </c>
      <c r="G456" s="315">
        <f>IFERROR(IF('🤖 Four-tier วิเคราะห์'!T90&gt;=0.8,"✅ ผ่าน (≥80%)","❌ ไม่ผ่าน (&lt;80%)"),"—")</f>
        <v/>
      </c>
      <c r="H456" s="369" t="n"/>
      <c r="I456" s="310" t="n"/>
      <c r="J456" s="400" t="n"/>
      <c r="K456" s="400" t="n"/>
      <c r="L456" s="400" t="n"/>
      <c r="M456" s="400" t="n"/>
      <c r="N456" s="400" t="n"/>
      <c r="O456" s="400" t="n"/>
      <c r="P456" s="400" t="n"/>
      <c r="Q456" s="400" t="n"/>
      <c r="R456" s="400" t="n"/>
    </row>
    <row r="457" ht="21.75" customHeight="1">
      <c r="B457" s="154" t="inlineStr">
        <is>
          <t>2. วิเคราะห์โจทย์เชิงสถานการณ์ผสมหลายหัวข้อได้</t>
        </is>
      </c>
      <c r="C457" s="155" t="inlineStr">
        <is>
          <t>ว 2.2 ม.5/1–8</t>
        </is>
      </c>
      <c r="D457" s="314">
        <f>IFERROR(ROUND('🤖 Four-tier วิเคราะห์'!U90*COUNTA('📥 ข้อมูลนักเรียน'!C4:C43),0),"—")</f>
        <v/>
      </c>
      <c r="E457" s="369" t="n"/>
      <c r="F457" s="79">
        <f>IFERROR('🤖 Four-tier วิเคราะห์'!U90,"—")</f>
        <v/>
      </c>
      <c r="G457" s="315">
        <f>IFERROR(IF('🤖 Four-tier วิเคราะห์'!U90&gt;=0.8,"✅ ผ่าน (≥80%)","❌ ไม่ผ่าน (&lt;80%)"),"—")</f>
        <v/>
      </c>
      <c r="H457" s="369" t="n"/>
      <c r="I457" s="310" t="n"/>
      <c r="J457" s="400" t="n"/>
      <c r="K457" s="400" t="n"/>
      <c r="L457" s="400" t="n"/>
      <c r="M457" s="400" t="n"/>
      <c r="N457" s="400" t="n"/>
      <c r="O457" s="400" t="n"/>
      <c r="P457" s="400" t="n"/>
      <c r="Q457" s="400" t="n"/>
      <c r="R457" s="400" t="n"/>
    </row>
    <row r="458" ht="21.75" customHeight="1">
      <c r="B458" s="188" t="inlineStr">
        <is>
          <t>ภาพรวมแผนนี้</t>
        </is>
      </c>
      <c r="C458" s="316">
        <f>IFERROR(AVERAGE('🤖 Four-tier วิเคราะห์'!T90,'🤖 Four-tier วิเคราะห์'!U90),0)</f>
        <v/>
      </c>
      <c r="D458" s="369" t="n"/>
      <c r="E458" s="369" t="n"/>
      <c r="F458" s="334">
        <f>IFERROR((IF(ISNUMBER('🤖 Four-tier วิเคราะห์'!S90),IF('🤖 Four-tier วิเคราะห์'!S90&gt;=0.8,1,0),0)+IF(ISNUMBER('🤖 Four-tier วิเคราะห์'!T90),IF('🤖 Four-tier วิเคราะห์'!T90&gt;=0.8,1,0),0))&amp;"/2 วัตถุประสงค์ผ่าน","—")</f>
        <v/>
      </c>
      <c r="G458" s="369" t="n"/>
      <c r="H458" s="369" t="n"/>
      <c r="I458" s="318">
        <f>IFERROR(IF(AVERAGE('🤖 Four-tier วิเคราะห์'!T90,'🤖 Four-tier วิเคราะห์'!U90)&gt;=0.8,"✅ บรรลุเกณฑ์ภาพรวม","⚠️ ยังต่ำกว่าเกณฑ์"),"—")</f>
        <v/>
      </c>
      <c r="J458" s="369" t="n"/>
      <c r="K458" s="369" t="n"/>
      <c r="L458" s="369" t="n"/>
      <c r="M458" s="369" t="n"/>
      <c r="N458" s="369" t="n"/>
      <c r="O458" s="369" t="n"/>
      <c r="P458" s="369" t="n"/>
      <c r="Q458" s="369" t="n"/>
      <c r="R458" s="369" t="n"/>
    </row>
    <row r="459" ht="19.5" customHeight="1">
      <c r="B459" s="311" t="inlineStr">
        <is>
          <t>ส่วนที่ 4 — พฤติกรรมนักเรียนและการมีส่วนร่วม</t>
        </is>
      </c>
      <c r="C459" s="385" t="n"/>
      <c r="D459" s="385" t="n"/>
      <c r="E459" s="385" t="n"/>
      <c r="F459" s="385" t="n"/>
      <c r="G459" s="385" t="n"/>
      <c r="H459" s="385" t="n"/>
      <c r="I459" s="385" t="n"/>
      <c r="J459" s="385" t="n"/>
      <c r="L459" s="311" t="inlineStr">
        <is>
          <t>✏️ กรอก</t>
        </is>
      </c>
      <c r="M459" s="385" t="n"/>
      <c r="N459" s="385" t="n"/>
      <c r="O459" s="385" t="n"/>
      <c r="P459" s="385" t="n"/>
      <c r="Q459" s="385" t="n"/>
      <c r="R459" s="385" t="n"/>
    </row>
    <row r="460" ht="18" customHeight="1">
      <c r="B460" s="157" t="inlineStr">
        <is>
          <t>🟢 Traffic Light</t>
        </is>
      </c>
      <c r="C460" s="314">
        <f>IFERROR('🎯 บันทึกการสอน Dashboard'!F23,0)&amp;" คน"</f>
        <v/>
      </c>
      <c r="D460" s="369" t="n"/>
      <c r="E460" s="369" t="n"/>
      <c r="F460" s="369" t="n"/>
      <c r="G460" s="369" t="n"/>
      <c r="H460" s="369" t="n"/>
      <c r="I460" s="369" t="n"/>
      <c r="J460" s="369" t="n"/>
      <c r="L460" s="319" t="inlineStr">
        <is>
          <t>นักเรียนที่ต้องดูแลพิเศษ / กลุ่มที่มีส่วนร่วมต่ำ:</t>
        </is>
      </c>
      <c r="M460" s="402" t="n"/>
      <c r="N460" s="402" t="n"/>
      <c r="O460" s="402" t="n"/>
      <c r="P460" s="402" t="n"/>
      <c r="Q460" s="402" t="n"/>
      <c r="R460" s="402" t="n"/>
    </row>
    <row r="461" ht="18" customHeight="1">
      <c r="B461" s="158" t="inlineStr">
        <is>
          <t>🟡 Traffic Light</t>
        </is>
      </c>
      <c r="C461" s="320">
        <f>IFERROR('🎯 บันทึกการสอน Dashboard'!G23,0)&amp;" คน"</f>
        <v/>
      </c>
      <c r="D461" s="369" t="n"/>
      <c r="E461" s="369" t="n"/>
      <c r="F461" s="369" t="n"/>
      <c r="G461" s="369" t="n"/>
      <c r="H461" s="369" t="n"/>
      <c r="I461" s="369" t="n"/>
      <c r="J461" s="369" t="n"/>
      <c r="L461" s="403" t="n"/>
    </row>
    <row r="462" ht="18" customHeight="1">
      <c r="B462" s="159" t="inlineStr">
        <is>
          <t>🔴 Traffic Light</t>
        </is>
      </c>
      <c r="C462" s="321">
        <f>IFERROR('🎯 บันทึกการสอน Dashboard'!H23,0)&amp;" คน"</f>
        <v/>
      </c>
      <c r="D462" s="369" t="n"/>
      <c r="E462" s="369" t="n"/>
      <c r="F462" s="369" t="n"/>
      <c r="G462" s="369" t="n"/>
      <c r="H462" s="369" t="n"/>
      <c r="I462" s="369" t="n"/>
      <c r="J462" s="369" t="n"/>
      <c r="L462" s="403" t="n"/>
    </row>
    <row r="463" ht="18" customHeight="1">
      <c r="B463" s="160" t="inlineStr">
        <is>
          <t>สถานะโดยรวม</t>
        </is>
      </c>
      <c r="C463" s="309">
        <f>IFERROR('🎯 บันทึกการสอน Dashboard'!M23,"ยังไม่กรอก")</f>
        <v/>
      </c>
      <c r="D463" s="369" t="n"/>
      <c r="E463" s="369" t="n"/>
      <c r="F463" s="369" t="n"/>
      <c r="G463" s="369" t="n"/>
      <c r="H463" s="369" t="n"/>
      <c r="I463" s="369" t="n"/>
      <c r="J463" s="369" t="n"/>
      <c r="L463" s="403" t="n"/>
    </row>
    <row r="464" ht="19.5" customHeight="1">
      <c r="B464" s="322" t="inlineStr">
        <is>
          <t>ส่วนที่ 5 — ปัญหา อุปสรรค และข้อค้นพบ</t>
        </is>
      </c>
      <c r="C464" s="404" t="n"/>
      <c r="D464" s="404" t="n"/>
      <c r="E464" s="404" t="n"/>
      <c r="F464" s="404" t="n"/>
      <c r="G464" s="404" t="n"/>
      <c r="H464" s="404" t="n"/>
      <c r="I464" s="404" t="n"/>
      <c r="J464" s="404" t="n"/>
      <c r="L464" s="322" t="inlineStr">
        <is>
          <t>✏️ กรอก</t>
        </is>
      </c>
      <c r="M464" s="404" t="n"/>
      <c r="N464" s="404" t="n"/>
      <c r="O464" s="404" t="n"/>
      <c r="P464" s="404" t="n"/>
      <c r="Q464" s="404" t="n"/>
      <c r="R464" s="404" t="n"/>
    </row>
    <row r="465" ht="18" customHeight="1">
      <c r="B465" s="161" t="inlineStr">
        <is>
          <t>Misconception M1 (Pre)</t>
        </is>
      </c>
      <c r="C465" s="323">
        <f>IFERROR('📊 สรุป Misconception'!D3,"—")</f>
        <v/>
      </c>
      <c r="D465" s="369" t="n"/>
      <c r="E465" s="369" t="n"/>
      <c r="F465" s="369" t="n"/>
      <c r="G465" s="369" t="n"/>
      <c r="H465" s="369" t="n"/>
      <c r="I465" s="369" t="n"/>
      <c r="J465" s="369" t="n"/>
      <c r="L465" s="319" t="inlineStr">
        <is>
          <t>รายละเอียดปัญหา / สิ่งที่ค้นพบระหว่างสอน:</t>
        </is>
      </c>
      <c r="M465" s="402" t="n"/>
      <c r="N465" s="402" t="n"/>
      <c r="O465" s="402" t="n"/>
      <c r="P465" s="402" t="n"/>
      <c r="Q465" s="402" t="n"/>
      <c r="R465" s="402" t="n"/>
    </row>
    <row r="466" ht="18" customHeight="1">
      <c r="B466" s="162" t="inlineStr">
        <is>
          <t>Misconception M1 (Post)</t>
        </is>
      </c>
      <c r="C466" s="324">
        <f>IFERROR('📊 สรุป Misconception'!F3,"—")</f>
        <v/>
      </c>
      <c r="D466" s="369" t="n"/>
      <c r="E466" s="369" t="n"/>
      <c r="F466" s="369" t="n"/>
      <c r="G466" s="369" t="n"/>
      <c r="H466" s="369" t="n"/>
      <c r="I466" s="369" t="n"/>
      <c r="J466" s="369" t="n"/>
      <c r="L466" s="403" t="n"/>
    </row>
    <row r="467" ht="18" customHeight="1">
      <c r="B467" s="163" t="inlineStr">
        <is>
          <t>ระดับ M1</t>
        </is>
      </c>
      <c r="C467" s="325">
        <f>IFERROR('📊 สรุป Misconception'!H3,"—")</f>
        <v/>
      </c>
      <c r="D467" s="369" t="n"/>
      <c r="E467" s="369" t="n"/>
      <c r="F467" s="369" t="n"/>
      <c r="G467" s="369" t="n"/>
      <c r="H467" s="369" t="n"/>
      <c r="I467" s="369" t="n"/>
      <c r="J467" s="369" t="n"/>
      <c r="L467" s="403" t="n"/>
    </row>
    <row r="468" ht="18" customHeight="1">
      <c r="B468" s="161" t="inlineStr">
        <is>
          <t>Misc. ใหม่ที่ไม่คาดคิด</t>
        </is>
      </c>
      <c r="C468" s="323" t="inlineStr">
        <is>
          <t>— ดูจากใบงาน POE —</t>
        </is>
      </c>
      <c r="D468" s="369" t="n"/>
      <c r="E468" s="369" t="n"/>
      <c r="F468" s="369" t="n"/>
      <c r="G468" s="369" t="n"/>
      <c r="H468" s="369" t="n"/>
      <c r="I468" s="369" t="n"/>
      <c r="J468" s="369" t="n"/>
      <c r="L468" s="403" t="n"/>
    </row>
    <row r="469" ht="19.5" customHeight="1">
      <c r="B469" s="326" t="inlineStr">
        <is>
          <t>ส่วนที่ 6 — ข้อมูลเชิงวิจัย (Auto ทั้งหมด)</t>
        </is>
      </c>
      <c r="C469" s="405" t="n"/>
      <c r="D469" s="405" t="n"/>
      <c r="E469" s="405" t="n"/>
      <c r="F469" s="405" t="n"/>
      <c r="G469" s="405" t="n"/>
      <c r="H469" s="405" t="n"/>
      <c r="I469" s="405" t="n"/>
      <c r="J469" s="405" t="n"/>
      <c r="L469" s="326" t="inlineStr">
        <is>
          <t>✏️ กรอก</t>
        </is>
      </c>
      <c r="M469" s="405" t="n"/>
      <c r="N469" s="405" t="n"/>
      <c r="O469" s="405" t="n"/>
      <c r="P469" s="405" t="n"/>
      <c r="Q469" s="405" t="n"/>
      <c r="R469" s="405" t="n"/>
    </row>
    <row r="470" ht="18" customHeight="1">
      <c r="B470" s="164" t="inlineStr">
        <is>
          <t>POE เฉลี่ยแผนนี้</t>
        </is>
      </c>
      <c r="C470" s="327">
        <f>IFERROR('🎯 บันทึกการสอน Dashboard'!J23,"—")</f>
        <v/>
      </c>
      <c r="D470" s="369" t="n"/>
      <c r="E470" s="369" t="n"/>
      <c r="F470" s="369" t="n"/>
      <c r="G470" s="369" t="n"/>
      <c r="H470" s="369" t="n"/>
      <c r="I470" s="369" t="n"/>
      <c r="J470" s="369" t="n"/>
      <c r="L470" s="319" t="inlineStr">
        <is>
          <t>การวิเคราะห์เพิ่มเติม / บันทึกสำหรับบทที่ 4:</t>
        </is>
      </c>
      <c r="M470" s="402" t="n"/>
      <c r="N470" s="402" t="n"/>
      <c r="O470" s="402" t="n"/>
      <c r="P470" s="402" t="n"/>
      <c r="Q470" s="402" t="n"/>
      <c r="R470" s="402" t="n"/>
    </row>
    <row r="471" ht="18" customHeight="1">
      <c r="B471" s="165" t="inlineStr">
        <is>
          <t>% Sound (Post-test)</t>
        </is>
      </c>
      <c r="C471" s="328">
        <f>IFERROR('🎯 บันทึกการสอน Dashboard'!K23,"—")</f>
        <v/>
      </c>
      <c r="D471" s="369" t="n"/>
      <c r="E471" s="369" t="n"/>
      <c r="F471" s="369" t="n"/>
      <c r="G471" s="369" t="n"/>
      <c r="H471" s="369" t="n"/>
      <c r="I471" s="369" t="n"/>
      <c r="J471" s="369" t="n"/>
      <c r="L471" s="403" t="n"/>
    </row>
    <row r="472" ht="18" customHeight="1">
      <c r="B472" s="166" t="inlineStr">
        <is>
          <t>% Misconception (Post)</t>
        </is>
      </c>
      <c r="C472" s="329">
        <f>IFERROR('🎯 บันทึกการสอน Dashboard'!L23,"—")</f>
        <v/>
      </c>
      <c r="D472" s="369" t="n"/>
      <c r="E472" s="369" t="n"/>
      <c r="F472" s="369" t="n"/>
      <c r="G472" s="369" t="n"/>
      <c r="H472" s="369" t="n"/>
      <c r="I472" s="369" t="n"/>
      <c r="J472" s="369" t="n"/>
      <c r="L472" s="403" t="n"/>
    </row>
    <row r="473" ht="18" customHeight="1">
      <c r="B473" s="164" t="inlineStr">
        <is>
          <t>GAP: POE ดีแต่ Misc.</t>
        </is>
      </c>
      <c r="C473" s="330">
        <f>IFERROR(COUNTIF('🔗 POE-Fourtier เทียบ'!H12,"🔴*"),0)&amp;" คน"</f>
        <v/>
      </c>
      <c r="D473" s="369" t="n"/>
      <c r="E473" s="369" t="n"/>
      <c r="F473" s="369" t="n"/>
      <c r="G473" s="369" t="n"/>
      <c r="H473" s="369" t="n"/>
      <c r="I473" s="369" t="n"/>
      <c r="J473" s="369" t="n"/>
      <c r="L473" s="403" t="n"/>
    </row>
    <row r="474" ht="19.5" customHeight="1">
      <c r="B474" s="359" t="inlineStr">
        <is>
          <t>ส่วนที่ 7 — ประเมิน 8 องค์ประกอบ วPA</t>
        </is>
      </c>
      <c r="C474" s="395" t="n"/>
      <c r="D474" s="395" t="n"/>
      <c r="E474" s="395" t="n"/>
      <c r="F474" s="395" t="n"/>
      <c r="G474" s="395" t="n"/>
      <c r="H474" s="395" t="n"/>
      <c r="I474" s="395" t="n"/>
      <c r="J474" s="395" t="n"/>
      <c r="K474" s="395" t="n"/>
      <c r="L474" s="395" t="n"/>
      <c r="M474" s="395" t="n"/>
      <c r="N474" s="395" t="n"/>
      <c r="O474" s="395" t="n"/>
      <c r="P474" s="395" t="n"/>
      <c r="Q474" s="395" t="n"/>
      <c r="R474" s="395" t="n"/>
    </row>
    <row r="475" ht="18" customHeight="1">
      <c r="B475" s="272" t="inlineStr">
        <is>
          <t>องค์ประกอบ วPA</t>
        </is>
      </c>
      <c r="C475" s="395" t="n"/>
      <c r="D475" s="395" t="n"/>
      <c r="E475" s="272" t="inlineStr">
        <is>
          <t>กิจกรรมที่รองรับ</t>
        </is>
      </c>
      <c r="F475" s="395" t="n"/>
      <c r="G475" s="395" t="n"/>
      <c r="H475" s="272" t="inlineStr">
        <is>
          <t>ระดับ (Auto)</t>
        </is>
      </c>
      <c r="I475" s="395" t="n"/>
      <c r="J475" s="395" t="n"/>
      <c r="K475" s="272" t="inlineStr">
        <is>
          <t>ผ่าน?</t>
        </is>
      </c>
      <c r="L475" s="395" t="n"/>
      <c r="M475" s="395" t="n"/>
      <c r="N475" s="272" t="inlineStr">
        <is>
          <t>หลักฐาน/สิ่งที่สังเกต</t>
        </is>
      </c>
      <c r="O475" s="395" t="n"/>
      <c r="P475" s="395" t="n"/>
    </row>
    <row r="476" ht="19.5" customHeight="1">
      <c r="B476" s="360" t="inlineStr">
        <is>
          <t>1. เข้าถึงและเข้าใจบทเรียน</t>
        </is>
      </c>
      <c r="C476" s="369" t="n"/>
      <c r="D476" s="369" t="n"/>
      <c r="E476" s="332" t="inlineStr">
        <is>
          <t>Concept Cartoon + วิดีโอ</t>
        </is>
      </c>
      <c r="F476" s="369" t="n"/>
      <c r="G476" s="369" t="n"/>
      <c r="H476" s="333">
        <f>IFERROR(IF('🎯 บันทึกการสอน Dashboard'!K23&gt;=0.6,"✅","⚠️"),"—")</f>
        <v/>
      </c>
      <c r="I476" s="369" t="n"/>
      <c r="J476" s="310" t="n"/>
      <c r="K476" s="400" t="n"/>
      <c r="L476" s="400" t="n"/>
      <c r="M476" s="400" t="n"/>
      <c r="N476" s="400" t="n"/>
      <c r="O476" s="400" t="n"/>
      <c r="P476" s="400" t="n"/>
      <c r="Q476" s="400" t="n"/>
      <c r="R476" s="400" t="n"/>
    </row>
    <row r="477" ht="19.5" customHeight="1">
      <c r="B477" s="360" t="inlineStr">
        <is>
          <t>2. เชื่อมโยงความรู้เดิม</t>
        </is>
      </c>
      <c r="C477" s="369" t="n"/>
      <c r="D477" s="369" t="n"/>
      <c r="E477" s="332" t="inlineStr">
        <is>
          <t>POE-Predict + KWL</t>
        </is>
      </c>
      <c r="F477" s="369" t="n"/>
      <c r="G477" s="369" t="n"/>
      <c r="H477" s="333">
        <f>IFERROR(IF('🎯 บันทึกการสอน Dashboard'!J23&gt;=1.5,"✅","⚠️"),"—")</f>
        <v/>
      </c>
      <c r="I477" s="369" t="n"/>
      <c r="J477" s="310" t="n"/>
      <c r="K477" s="400" t="n"/>
      <c r="L477" s="400" t="n"/>
      <c r="M477" s="400" t="n"/>
      <c r="N477" s="400" t="n"/>
      <c r="O477" s="400" t="n"/>
      <c r="P477" s="400" t="n"/>
      <c r="Q477" s="400" t="n"/>
      <c r="R477" s="400" t="n"/>
    </row>
    <row r="478" ht="19.5" customHeight="1">
      <c r="B478" s="360" t="inlineStr">
        <is>
          <t>3. สร้างความรู้เอง</t>
        </is>
      </c>
      <c r="C478" s="369" t="n"/>
      <c r="D478" s="369" t="n"/>
      <c r="E478" s="332" t="inlineStr">
        <is>
          <t>ทดลองสปริง + PhET</t>
        </is>
      </c>
      <c r="F478" s="369" t="n"/>
      <c r="G478" s="369" t="n"/>
      <c r="H478" s="333">
        <f>IFERROR(IF('🎯 บันทึกการสอน Dashboard'!J23&gt;=2,"✅","⚠️"),"—")</f>
        <v/>
      </c>
      <c r="I478" s="369" t="n"/>
      <c r="J478" s="310" t="n"/>
      <c r="K478" s="400" t="n"/>
      <c r="L478" s="400" t="n"/>
      <c r="M478" s="400" t="n"/>
      <c r="N478" s="400" t="n"/>
      <c r="O478" s="400" t="n"/>
      <c r="P478" s="400" t="n"/>
      <c r="Q478" s="400" t="n"/>
      <c r="R478" s="400" t="n"/>
    </row>
    <row r="479" ht="19.5" customHeight="1">
      <c r="B479" s="360" t="inlineStr">
        <is>
          <t>4. แรงจูงใจ</t>
        </is>
      </c>
      <c r="C479" s="369" t="n"/>
      <c r="D479" s="369" t="n"/>
      <c r="E479" s="332" t="inlineStr">
        <is>
          <t>Traffic Lights + Brain Break</t>
        </is>
      </c>
      <c r="F479" s="369" t="n"/>
      <c r="G479" s="369" t="n"/>
      <c r="H479" s="333">
        <f>IFERROR(IF('🎯 บันทึกการสอน Dashboard'!F23&gt;='🎯 บันทึกการสอน Dashboard'!H23,"✅","⚠️"),"—")</f>
        <v/>
      </c>
      <c r="I479" s="369" t="n"/>
      <c r="J479" s="310" t="n"/>
      <c r="K479" s="400" t="n"/>
      <c r="L479" s="400" t="n"/>
      <c r="M479" s="400" t="n"/>
      <c r="N479" s="400" t="n"/>
      <c r="O479" s="400" t="n"/>
      <c r="P479" s="400" t="n"/>
      <c r="Q479" s="400" t="n"/>
      <c r="R479" s="400" t="n"/>
    </row>
    <row r="480" ht="19.5" customHeight="1">
      <c r="B480" s="360" t="inlineStr">
        <is>
          <t>5. พัฒนาทักษะเชี่ยวชาญ</t>
        </is>
      </c>
      <c r="C480" s="369" t="n"/>
      <c r="D480" s="369" t="n"/>
      <c r="E480" s="332" t="inlineStr">
        <is>
          <t>Spot the Error + Matrix</t>
        </is>
      </c>
      <c r="F480" s="369" t="n"/>
      <c r="G480" s="369" t="n"/>
      <c r="H480" s="333">
        <f>IFERROR(IF('🎯 บันทึกการสอน Dashboard'!I23&gt;=0.7,"✅","⚠️"),"—")</f>
        <v/>
      </c>
      <c r="I480" s="369" t="n"/>
      <c r="J480" s="310" t="n"/>
      <c r="K480" s="400" t="n"/>
      <c r="L480" s="400" t="n"/>
      <c r="M480" s="400" t="n"/>
      <c r="N480" s="400" t="n"/>
      <c r="O480" s="400" t="n"/>
      <c r="P480" s="400" t="n"/>
      <c r="Q480" s="400" t="n"/>
      <c r="R480" s="400" t="n"/>
    </row>
    <row r="481" ht="19.5" customHeight="1">
      <c r="B481" s="360" t="inlineStr">
        <is>
          <t>6. Feedback ปรับปรุง</t>
        </is>
      </c>
      <c r="C481" s="369" t="n"/>
      <c r="D481" s="369" t="n"/>
      <c r="E481" s="332" t="inlineStr">
        <is>
          <t>Concept Cartoon เฉลย + 3-2-1</t>
        </is>
      </c>
      <c r="F481" s="369" t="n"/>
      <c r="G481" s="369" t="n"/>
      <c r="H481" s="333">
        <f>IFERROR(IF('🎯 บันทึกการสอน Dashboard'!H23&lt;=5,"✅","⚠️"),"—")</f>
        <v/>
      </c>
      <c r="I481" s="369" t="n"/>
      <c r="J481" s="310" t="n"/>
      <c r="K481" s="400" t="n"/>
      <c r="L481" s="400" t="n"/>
      <c r="M481" s="400" t="n"/>
      <c r="N481" s="400" t="n"/>
      <c r="O481" s="400" t="n"/>
      <c r="P481" s="400" t="n"/>
      <c r="Q481" s="400" t="n"/>
      <c r="R481" s="400" t="n"/>
    </row>
    <row r="482" ht="19.5" customHeight="1">
      <c r="B482" s="360" t="inlineStr">
        <is>
          <t>7. บรรยากาศชั้นเรียน</t>
        </is>
      </c>
      <c r="C482" s="369" t="n"/>
      <c r="D482" s="369" t="n"/>
      <c r="E482" s="332" t="inlineStr">
        <is>
          <t>Talking Chips + Visual Timer</t>
        </is>
      </c>
      <c r="F482" s="369" t="n"/>
      <c r="G482" s="369" t="n"/>
      <c r="H482" s="333">
        <f>IFERROR(IF('🎯 บันทึกการสอน Dashboard'!M23="✅ ดีมาก","✅","⚠️"),"—")</f>
        <v/>
      </c>
      <c r="I482" s="369" t="n"/>
      <c r="J482" s="310" t="n"/>
      <c r="K482" s="400" t="n"/>
      <c r="L482" s="400" t="n"/>
      <c r="M482" s="400" t="n"/>
      <c r="N482" s="400" t="n"/>
      <c r="O482" s="400" t="n"/>
      <c r="P482" s="400" t="n"/>
      <c r="Q482" s="400" t="n"/>
      <c r="R482" s="400" t="n"/>
    </row>
    <row r="483" ht="19.5" customHeight="1">
      <c r="B483" s="360" t="inlineStr">
        <is>
          <t>8. กำกับตนเอง</t>
        </is>
      </c>
      <c r="C483" s="369" t="n"/>
      <c r="D483" s="369" t="n"/>
      <c r="E483" s="332" t="inlineStr">
        <is>
          <t>3-2-1 Journal + Goal Setting</t>
        </is>
      </c>
      <c r="F483" s="369" t="n"/>
      <c r="G483" s="369" t="n"/>
      <c r="H483" s="333">
        <f>IFERROR(IF('🎯 บันทึกการสอน Dashboard'!I23&gt;=0.6,"✅","⚠️"),"—")</f>
        <v/>
      </c>
      <c r="I483" s="369" t="n"/>
      <c r="J483" s="310" t="n"/>
      <c r="K483" s="400" t="n"/>
      <c r="L483" s="400" t="n"/>
      <c r="M483" s="400" t="n"/>
      <c r="N483" s="400" t="n"/>
      <c r="O483" s="400" t="n"/>
      <c r="P483" s="400" t="n"/>
      <c r="Q483" s="400" t="n"/>
      <c r="R483" s="400" t="n"/>
    </row>
    <row r="484" ht="19.5" customHeight="1">
      <c r="B484" s="359" t="inlineStr">
        <is>
          <t>ส่วนที่ 8 — แนวทางปรับปรุง + Mini-trend เทียบแผนก่อน</t>
        </is>
      </c>
      <c r="C484" s="395" t="n"/>
      <c r="D484" s="395" t="n"/>
      <c r="E484" s="395" t="n"/>
      <c r="F484" s="395" t="n"/>
      <c r="G484" s="395" t="n"/>
      <c r="H484" s="395" t="n"/>
      <c r="I484" s="395" t="n"/>
      <c r="J484" s="395" t="n"/>
      <c r="K484" s="395" t="n"/>
      <c r="L484" s="395" t="n"/>
      <c r="M484" s="395" t="n"/>
      <c r="N484" s="395" t="n"/>
      <c r="O484" s="395" t="n"/>
      <c r="P484" s="395" t="n"/>
      <c r="Q484" s="395" t="n"/>
      <c r="R484" s="395" t="n"/>
    </row>
    <row r="485" ht="18" customHeight="1">
      <c r="B485" s="189" t="inlineStr">
        <is>
          <t>📌 Try ที่ตั้งใจทำจากแผนที่ 8 (Auto)</t>
        </is>
      </c>
      <c r="C485" s="337" t="inlineStr">
        <is>
          <t>← ดูจากแผนที่ 8 ส่วนที่ 8 ช่อง Try</t>
        </is>
      </c>
      <c r="D485" s="369" t="n"/>
      <c r="E485" s="369" t="n"/>
      <c r="F485" s="369" t="n"/>
      <c r="G485" s="369" t="n"/>
      <c r="H485" s="369" t="n"/>
      <c r="I485" s="369" t="n"/>
      <c r="J485" s="369" t="n"/>
    </row>
    <row r="486" ht="19.5" customHeight="1">
      <c r="B486" s="189" t="inlineStr">
        <is>
          <t>📈 Mini-trend (เทียบแผนก่อน)</t>
        </is>
      </c>
      <c r="C486" s="334">
        <f>IFERROR("Sound: "&amp;TEXT('🎯 บันทึกการสอน Dashboard'!K23,"0%")&amp;" vs "&amp;TEXT('🎯 บันทึกการสอน Dashboard'!K22,"0%")&amp;IF('🎯 บันทึกการสอน Dashboard'!K23&gt;'🎯 บันทึกการสอน Dashboard'!K22," ▲ ดีขึ้น",IF('🎯 บันทึกการสอน Dashboard'!K23&lt;'🎯 บันทึกการสอน Dashboard'!K22," ▼ ลดลง"," = คงที่")),"กรอกข้อมูลก่อน")</f>
        <v/>
      </c>
      <c r="D486" s="369" t="n"/>
      <c r="E486" s="369" t="n"/>
      <c r="F486" s="369" t="n"/>
      <c r="G486" s="369" t="n"/>
      <c r="H486" s="369" t="n"/>
      <c r="I486" s="369" t="n"/>
      <c r="J486" s="369" t="n"/>
    </row>
    <row r="487" ht="18" customHeight="1">
      <c r="B487" s="260" t="inlineStr">
        <is>
          <t>✅ Keep — สิ่งที่ได้ผล ควรคงไว้</t>
        </is>
      </c>
      <c r="C487" s="385" t="n"/>
      <c r="D487" s="385" t="n"/>
      <c r="E487" s="385" t="n"/>
      <c r="F487" s="385" t="n"/>
      <c r="G487" s="335" t="inlineStr">
        <is>
          <t>🔄 Change — สิ่งที่ต้องปรับปรุง</t>
        </is>
      </c>
      <c r="H487" s="404" t="n"/>
      <c r="I487" s="404" t="n"/>
      <c r="J487" s="404" t="n"/>
      <c r="K487" s="404" t="n"/>
      <c r="L487" s="336" t="inlineStr">
        <is>
          <t>🆕 Try — สิ่งที่จะลองทำในแผนถัดไป</t>
        </is>
      </c>
      <c r="M487" s="406" t="n"/>
      <c r="N487" s="406" t="n"/>
      <c r="O487" s="406" t="n"/>
      <c r="P487" s="406" t="n"/>
    </row>
    <row r="488" ht="19.5" customHeight="1">
      <c r="B488" s="312" t="n"/>
      <c r="C488" s="402" t="n"/>
      <c r="D488" s="402" t="n"/>
      <c r="E488" s="402" t="n"/>
      <c r="F488" s="402" t="n"/>
      <c r="G488" s="312" t="n"/>
      <c r="H488" s="402" t="n"/>
      <c r="I488" s="402" t="n"/>
      <c r="J488" s="402" t="n"/>
      <c r="K488" s="402" t="n"/>
      <c r="L488" s="312" t="n"/>
      <c r="M488" s="402" t="n"/>
      <c r="N488" s="402" t="n"/>
      <c r="O488" s="402" t="n"/>
      <c r="P488" s="402" t="n"/>
    </row>
    <row r="489" ht="19.5" customHeight="1">
      <c r="B489" s="403" t="n"/>
      <c r="G489" s="403" t="n"/>
      <c r="L489" s="403" t="n"/>
    </row>
    <row r="490" ht="19.5" customHeight="1">
      <c r="B490" s="403" t="n"/>
      <c r="G490" s="403" t="n"/>
      <c r="L490" s="403" t="n"/>
    </row>
    <row r="491" ht="19.5" customHeight="1">
      <c r="B491" s="189" t="inlineStr">
        <is>
          <t>📌 เนื้อหา/ทักษะที่จะทบทวนต้นคาบแผนที่ 10:</t>
        </is>
      </c>
      <c r="C491" s="312" t="n"/>
      <c r="D491" s="402" t="n"/>
      <c r="E491" s="402" t="n"/>
      <c r="F491" s="402" t="n"/>
      <c r="G491" s="402" t="n"/>
      <c r="H491" s="402" t="n"/>
      <c r="I491" s="402" t="n"/>
      <c r="J491" s="402" t="n"/>
      <c r="K491" s="402" t="n"/>
      <c r="L491" s="402" t="n"/>
      <c r="M491" s="402" t="n"/>
      <c r="N491" s="402" t="n"/>
      <c r="O491" s="402" t="n"/>
      <c r="P491" s="402" t="n"/>
      <c r="Q491" s="402" t="n"/>
      <c r="R491" s="402" t="n"/>
    </row>
    <row r="492" ht="19.5" customHeight="1">
      <c r="C492" s="403" t="n"/>
    </row>
    <row r="493" ht="12" customHeight="1"/>
    <row r="494" ht="24" customHeight="1">
      <c r="B494" s="361" t="inlineStr">
        <is>
          <t>▌ แผนการสอนที่ 10  |  ทบทวนก่อนสอบและ Post-test  |  คาบที่ 19–20  |  อ้างอิง 9.1–9.4</t>
        </is>
      </c>
      <c r="C494" s="408" t="n"/>
      <c r="D494" s="408" t="n"/>
      <c r="E494" s="408" t="n"/>
      <c r="F494" s="408" t="n"/>
      <c r="G494" s="408" t="n"/>
      <c r="H494" s="408" t="n"/>
      <c r="I494" s="408" t="n"/>
      <c r="J494" s="408" t="n"/>
      <c r="K494" s="408" t="n"/>
      <c r="L494" s="408" t="n"/>
      <c r="M494" s="408" t="n"/>
      <c r="N494" s="408" t="n"/>
      <c r="O494" s="408" t="n"/>
      <c r="P494" s="408" t="n"/>
      <c r="Q494" s="408" t="n"/>
      <c r="R494" s="408" t="n"/>
    </row>
    <row r="495" ht="18" customHeight="1">
      <c r="B495" s="362" t="inlineStr">
        <is>
          <t>จำนวนนักเรียน (Auto):</t>
        </is>
      </c>
      <c r="D495" s="305">
        <f>COUNTA('📥 ข้อมูลนักเรียน'!C4:C43)&amp;" คน"</f>
        <v/>
      </c>
      <c r="E495" s="398" t="n"/>
      <c r="L495" s="362" t="inlineStr">
        <is>
          <t>วันที่สอน:</t>
        </is>
      </c>
      <c r="M495" s="306" t="n"/>
      <c r="N495" s="399" t="n"/>
      <c r="O495" s="362" t="inlineStr">
        <is>
          <t>เวลาที่ใช้ (นาที):</t>
        </is>
      </c>
      <c r="P495" s="306" t="n"/>
      <c r="Q495" s="400" t="n"/>
      <c r="R495" s="399" t="n"/>
    </row>
    <row r="496" ht="19.5" customHeight="1">
      <c r="B496" s="363" t="inlineStr">
        <is>
          <t>ส่วนที่ 1 — ผลการจัดกิจกรรม 5E</t>
        </is>
      </c>
      <c r="C496" s="396" t="n"/>
      <c r="D496" s="396" t="n"/>
      <c r="E496" s="396" t="n"/>
      <c r="F496" s="396" t="n"/>
      <c r="G496" s="396" t="n"/>
      <c r="H496" s="396" t="n"/>
      <c r="I496" s="396" t="n"/>
      <c r="J496" s="396" t="n"/>
      <c r="L496" s="363" t="inlineStr">
        <is>
          <t>✏️ สิ่งที่สังเกต / หมายเหตุ</t>
        </is>
      </c>
      <c r="M496" s="396" t="n"/>
      <c r="N496" s="396" t="n"/>
      <c r="O496" s="396" t="n"/>
      <c r="P496" s="396" t="n"/>
      <c r="Q496" s="396" t="n"/>
      <c r="R496" s="396" t="n"/>
    </row>
    <row r="497" ht="15.75" customHeight="1">
      <c r="B497" s="150" t="inlineStr">
        <is>
          <t>ขั้น 5E</t>
        </is>
      </c>
      <c r="C497" s="308" t="inlineStr">
        <is>
          <t>ตัวชี้วัด / ผล (Auto)</t>
        </is>
      </c>
      <c r="D497" s="369" t="n"/>
      <c r="E497" s="369" t="n"/>
      <c r="F497" s="369" t="n"/>
      <c r="G497" s="308" t="inlineStr">
        <is>
          <t>ระดับ (Auto)</t>
        </is>
      </c>
      <c r="H497" s="369" t="n"/>
      <c r="I497" s="369" t="n"/>
      <c r="J497" s="369" t="n"/>
      <c r="L497" s="308" t="inlineStr">
        <is>
          <t>บันทึกสั้น (2–3 บรรทัด)</t>
        </is>
      </c>
      <c r="M497" s="369" t="n"/>
      <c r="N497" s="369" t="n"/>
      <c r="O497" s="369" t="n"/>
      <c r="P497" s="369" t="n"/>
      <c r="Q497" s="369" t="n"/>
      <c r="R497" s="369" t="n"/>
    </row>
    <row r="498" ht="21.75" customHeight="1">
      <c r="B498" s="191" t="inlineStr">
        <is>
          <t>🔵 Engage</t>
        </is>
      </c>
      <c r="C498" s="285">
        <f>IF('🎯 บันทึกการสอน Dashboard'!F24&gt;0,'🎯 บันทึกการสอน Dashboard'!F24&amp;" คน 🟢","—")</f>
        <v/>
      </c>
      <c r="D498" s="369" t="n"/>
      <c r="E498" s="369" t="n"/>
      <c r="F498" s="369" t="n"/>
      <c r="G498" s="309">
        <f>IFERROR(IF('🎯 บันทึกการสอน Dashboard'!F24+IFERROR('🎯 บันทึกการสอน Dashboard'!G24,0)+IFERROR('🎯 บันทึกการสอน Dashboard'!H24,0)&gt;0,IF('🎯 บันทึกการสอน Dashboard'!F24/('🎯 บันทึกการสอน Dashboard'!F24+IFERROR('🎯 บันทึกการสอน Dashboard'!G24,0)+IFERROR('🎯 บันทึกการสอน Dashboard'!H24,0))&gt;=0.5,"✅ ดี","⚠️ ต่ำ"),"ยังไม่กรอก"),"—")</f>
        <v/>
      </c>
      <c r="H498" s="369" t="n"/>
      <c r="I498" s="369" t="n"/>
      <c r="J498" s="369" t="n"/>
      <c r="L498" s="310" t="n"/>
      <c r="M498" s="400" t="n"/>
      <c r="N498" s="400" t="n"/>
      <c r="O498" s="400" t="n"/>
      <c r="P498" s="400" t="n"/>
      <c r="Q498" s="400" t="n"/>
      <c r="R498" s="400" t="n"/>
    </row>
    <row r="499" ht="21.75" customHeight="1">
      <c r="B499" s="191" t="inlineStr">
        <is>
          <t>🟠 Explore</t>
        </is>
      </c>
      <c r="C499" s="285">
        <f>IF('🎯 บันทึกการสอน Dashboard'!J24&gt;0,"POE avg: "&amp;TEXT('🎯 บันทึกการสอน Dashboard'!J24,"0.00"),"—")</f>
        <v/>
      </c>
      <c r="D499" s="369" t="n"/>
      <c r="E499" s="369" t="n"/>
      <c r="F499" s="369" t="n"/>
      <c r="G499" s="309">
        <f>IF(ISNUMBER('🎯 บันทึกการสอน Dashboard'!J24),IF('🎯 บันทึกการสอน Dashboard'!J24&gt;=2,"✅ ดี","⚠️ ต่ำ"),"—")</f>
        <v/>
      </c>
      <c r="H499" s="369" t="n"/>
      <c r="I499" s="369" t="n"/>
      <c r="J499" s="369" t="n"/>
      <c r="L499" s="310" t="n"/>
      <c r="M499" s="400" t="n"/>
      <c r="N499" s="400" t="n"/>
      <c r="O499" s="400" t="n"/>
      <c r="P499" s="400" t="n"/>
      <c r="Q499" s="400" t="n"/>
      <c r="R499" s="400" t="n"/>
    </row>
    <row r="500" ht="21.75" customHeight="1">
      <c r="B500" s="191" t="inlineStr">
        <is>
          <t>🟢 Explain</t>
        </is>
      </c>
      <c r="C500" s="285">
        <f>IF('🎯 บันทึกการสอน Dashboard'!K24&gt;0,"Sound: "&amp;TEXT('🎯 บันทึกการสอน Dashboard'!K24,"0%"),"—")</f>
        <v/>
      </c>
      <c r="D500" s="369" t="n"/>
      <c r="E500" s="369" t="n"/>
      <c r="F500" s="369" t="n"/>
      <c r="G500" s="309">
        <f>IF(ISNUMBER('🎯 บันทึกการสอน Dashboard'!K24),IF('🎯 บันทึกการสอน Dashboard'!K24&gt;=0.7,"✅ ดี","⚠️ ต่ำ"),"—")</f>
        <v/>
      </c>
      <c r="H500" s="369" t="n"/>
      <c r="I500" s="369" t="n"/>
      <c r="J500" s="369" t="n"/>
      <c r="L500" s="310" t="n"/>
      <c r="M500" s="400" t="n"/>
      <c r="N500" s="400" t="n"/>
      <c r="O500" s="400" t="n"/>
      <c r="P500" s="400" t="n"/>
      <c r="Q500" s="400" t="n"/>
      <c r="R500" s="400" t="n"/>
    </row>
    <row r="501" ht="21.75" customHeight="1">
      <c r="B501" s="191" t="inlineStr">
        <is>
          <t>🟡 Elaborate</t>
        </is>
      </c>
      <c r="C501" s="285" t="inlineStr">
        <is>
          <t>ดูผลใบงาน/Spot the Error</t>
        </is>
      </c>
      <c r="D501" s="369" t="n"/>
      <c r="E501" s="369" t="n"/>
      <c r="F501" s="369" t="n"/>
      <c r="G501" s="309" t="inlineStr">
        <is>
          <t>กรอกเอง</t>
        </is>
      </c>
      <c r="H501" s="369" t="n"/>
      <c r="I501" s="369" t="n"/>
      <c r="J501" s="369" t="n"/>
      <c r="L501" s="310" t="n"/>
      <c r="M501" s="400" t="n"/>
      <c r="N501" s="400" t="n"/>
      <c r="O501" s="400" t="n"/>
      <c r="P501" s="400" t="n"/>
      <c r="Q501" s="400" t="n"/>
      <c r="R501" s="400" t="n"/>
    </row>
    <row r="502" ht="21.75" customHeight="1">
      <c r="B502" s="191" t="inlineStr">
        <is>
          <t>🔴 Evaluate</t>
        </is>
      </c>
      <c r="C502" s="285">
        <f>IF('🎯 บันทึกการสอน Dashboard'!H24&gt;0,"🔴 "&amp;'🎯 บันทึกการสอน Dashboard'!H24&amp;" คน","ยังไม่กรอก")</f>
        <v/>
      </c>
      <c r="D502" s="369" t="n"/>
      <c r="E502" s="369" t="n"/>
      <c r="F502" s="369" t="n"/>
      <c r="G502" s="309">
        <f>IF(ISNUMBER('🎯 บันทึกการสอน Dashboard'!H24),IF('🎯 บันทึกการสอน Dashboard'!H24&lt;=5,"✅ น้อย","⚠️ มาก"),"—")</f>
        <v/>
      </c>
      <c r="H502" s="369" t="n"/>
      <c r="I502" s="369" t="n"/>
      <c r="J502" s="369" t="n"/>
      <c r="L502" s="310" t="n"/>
      <c r="M502" s="400" t="n"/>
      <c r="N502" s="400" t="n"/>
      <c r="O502" s="400" t="n"/>
      <c r="P502" s="400" t="n"/>
      <c r="Q502" s="400" t="n"/>
      <c r="R502" s="400" t="n"/>
    </row>
    <row r="503" ht="19.5" customHeight="1">
      <c r="B503" s="311" t="inlineStr">
        <is>
          <t>ส่วนที่ 2 — ผลการทำ POE (1 ครั้ง)</t>
        </is>
      </c>
      <c r="C503" s="385" t="n"/>
      <c r="D503" s="385" t="n"/>
      <c r="E503" s="385" t="n"/>
      <c r="F503" s="385" t="n"/>
      <c r="G503" s="385" t="n"/>
      <c r="H503" s="385" t="n"/>
      <c r="I503" s="385" t="n"/>
      <c r="J503" s="385" t="n"/>
      <c r="L503" s="311" t="inlineStr">
        <is>
          <t>✏️ ตัวอย่างคำพูดนักเรียน / ข้อค้นพบ</t>
        </is>
      </c>
      <c r="M503" s="385" t="n"/>
      <c r="N503" s="385" t="n"/>
      <c r="O503" s="385" t="n"/>
      <c r="P503" s="385" t="n"/>
      <c r="Q503" s="385" t="n"/>
      <c r="R503" s="385" t="n"/>
    </row>
    <row r="504" ht="27.75" customHeight="1">
      <c r="B504" s="152" t="inlineStr">
        <is>
          <t>ทบทวน POE ทั้งหมด</t>
        </is>
      </c>
      <c r="C504" s="285">
        <f>IFERROR("P avg: "&amp;TEXT(AVERAGE('🔬 POE บันทึก'!V4:V43),"0.0")&amp;"  |  E avg: "&amp;TEXT(AVERAGE('🔬 POE บันทึก'!W4:W43),"0.0"),"—")</f>
        <v/>
      </c>
      <c r="D504" s="369" t="n"/>
      <c r="E504" s="369" t="n"/>
      <c r="F504" s="369" t="n"/>
      <c r="G504" s="309">
        <f>IFERROR(IF(AVERAGE('🔬 POE บันทึก'!W4:W43)&gt;=2,"✅ Conceptual Change","⚠️ ยังไม่เปลี่ยน"),"—")</f>
        <v/>
      </c>
      <c r="H504" s="369" t="n"/>
      <c r="I504" s="369" t="n"/>
      <c r="J504" s="369" t="n"/>
      <c r="L504" s="312" t="n"/>
      <c r="M504" s="402" t="n"/>
      <c r="N504" s="402" t="n"/>
      <c r="O504" s="402" t="n"/>
      <c r="P504" s="402" t="n"/>
      <c r="Q504" s="402" t="n"/>
      <c r="R504" s="402" t="n"/>
    </row>
    <row r="505" ht="15" customHeight="1">
      <c r="L505" s="403" t="n"/>
    </row>
    <row r="506" ht="19.5" customHeight="1">
      <c r="B506" s="363" t="inlineStr">
        <is>
          <t>ส่วนที่ 3 — การบรรลุวัตถุประสงค์การเรียนรู้ (Auto จาก Four-tier + ตัวชี้วัด)</t>
        </is>
      </c>
      <c r="C506" s="396" t="n"/>
      <c r="D506" s="396" t="n"/>
      <c r="E506" s="396" t="n"/>
      <c r="F506" s="396" t="n"/>
      <c r="G506" s="396" t="n"/>
      <c r="H506" s="396" t="n"/>
      <c r="I506" s="396" t="n"/>
      <c r="J506" s="396" t="n"/>
      <c r="K506" s="396" t="n"/>
      <c r="L506" s="396" t="n"/>
      <c r="M506" s="396" t="n"/>
      <c r="N506" s="396" t="n"/>
      <c r="O506" s="396" t="n"/>
      <c r="P506" s="396" t="n"/>
      <c r="Q506" s="396" t="n"/>
      <c r="R506" s="396" t="n"/>
    </row>
    <row r="507" ht="18" customHeight="1">
      <c r="B507" s="103" t="inlineStr">
        <is>
          <t>วัตถุประสงค์</t>
        </is>
      </c>
      <c r="C507" s="103" t="inlineStr">
        <is>
          <t>ตัวชี้วัด</t>
        </is>
      </c>
      <c r="D507" s="279" t="inlineStr">
        <is>
          <t>n ผ่านเกณฑ์ (Auto)</t>
        </is>
      </c>
      <c r="E507" s="396" t="n"/>
      <c r="F507" s="103" t="inlineStr">
        <is>
          <t>% (Auto)</t>
        </is>
      </c>
      <c r="G507" s="279" t="inlineStr">
        <is>
          <t>ผ่าน? (Auto)</t>
        </is>
      </c>
      <c r="H507" s="396" t="n"/>
      <c r="I507" s="279" t="inlineStr">
        <is>
          <t>หลักฐาน/วิธีวัด</t>
        </is>
      </c>
      <c r="J507" s="396" t="n"/>
      <c r="K507" s="396" t="n"/>
    </row>
    <row r="508" ht="21.75" customHeight="1">
      <c r="B508" s="192" t="inlineStr">
        <is>
          <t>1. สรุปและเชื่อมโยงความรู้ทั้งหมดบทที่ 9 ได้</t>
        </is>
      </c>
      <c r="C508" s="155" t="inlineStr">
        <is>
          <t>ว 2.2 ม.5/1–8</t>
        </is>
      </c>
      <c r="D508" s="314">
        <f>IFERROR(ROUND('🤖 Four-tier วิเคราะห์'!V90*COUNTA('📥 ข้อมูลนักเรียน'!C4:C43),0),"—")</f>
        <v/>
      </c>
      <c r="E508" s="369" t="n"/>
      <c r="F508" s="79">
        <f>IFERROR('🤖 Four-tier วิเคราะห์'!V90,"—")</f>
        <v/>
      </c>
      <c r="G508" s="315">
        <f>IFERROR(IF('🤖 Four-tier วิเคราะห์'!V90&gt;=0.8,"✅ ผ่าน (≥80%)","❌ ไม่ผ่าน (&lt;80%)"),"—")</f>
        <v/>
      </c>
      <c r="H508" s="369" t="n"/>
      <c r="I508" s="310" t="n"/>
      <c r="J508" s="400" t="n"/>
      <c r="K508" s="400" t="n"/>
      <c r="L508" s="400" t="n"/>
      <c r="M508" s="400" t="n"/>
      <c r="N508" s="400" t="n"/>
      <c r="O508" s="400" t="n"/>
      <c r="P508" s="400" t="n"/>
      <c r="Q508" s="400" t="n"/>
      <c r="R508" s="400" t="n"/>
    </row>
    <row r="509" ht="21.75" customHeight="1">
      <c r="B509" s="192" t="inlineStr">
        <is>
          <t>2. ทำ Post-test Four-tier ได้อย่างเป็นระบบ</t>
        </is>
      </c>
      <c r="C509" s="155" t="inlineStr">
        <is>
          <t>ว 2.2 ม.5/1–8</t>
        </is>
      </c>
      <c r="D509" s="314">
        <f>IFERROR(ROUND('🤖 Four-tier วิเคราะห์'!W90*COUNTA('📥 ข้อมูลนักเรียน'!C4:C43),0),"—")</f>
        <v/>
      </c>
      <c r="E509" s="369" t="n"/>
      <c r="F509" s="79">
        <f>IFERROR('🤖 Four-tier วิเคราะห์'!W90,"—")</f>
        <v/>
      </c>
      <c r="G509" s="315">
        <f>IFERROR(IF('🤖 Four-tier วิเคราะห์'!W90&gt;=0.8,"✅ ผ่าน (≥80%)","❌ ไม่ผ่าน (&lt;80%)"),"—")</f>
        <v/>
      </c>
      <c r="H509" s="369" t="n"/>
      <c r="I509" s="310" t="n"/>
      <c r="J509" s="400" t="n"/>
      <c r="K509" s="400" t="n"/>
      <c r="L509" s="400" t="n"/>
      <c r="M509" s="400" t="n"/>
      <c r="N509" s="400" t="n"/>
      <c r="O509" s="400" t="n"/>
      <c r="P509" s="400" t="n"/>
      <c r="Q509" s="400" t="n"/>
      <c r="R509" s="400" t="n"/>
    </row>
    <row r="510" ht="21.75" customHeight="1">
      <c r="B510" s="193" t="inlineStr">
        <is>
          <t>ภาพรวมแผนนี้</t>
        </is>
      </c>
      <c r="C510" s="316">
        <f>IFERROR(AVERAGE('🤖 Four-tier วิเคราะห์'!V90,'🤖 Four-tier วิเคราะห์'!W90),0)</f>
        <v/>
      </c>
      <c r="D510" s="369" t="n"/>
      <c r="E510" s="369" t="n"/>
      <c r="F510" s="364">
        <f>IFERROR((IF(ISNUMBER('🤖 Four-tier วิเคราะห์'!U90),IF('🤖 Four-tier วิเคราะห์'!U90&gt;=0.8,1,0),0)+IF(ISNUMBER('🤖 Four-tier วิเคราะห์'!V90),IF('🤖 Four-tier วิเคราะห์'!V90&gt;=0.8,1,0),0))&amp;"/2 วัตถุประสงค์ผ่าน","—")</f>
        <v/>
      </c>
      <c r="G510" s="369" t="n"/>
      <c r="H510" s="369" t="n"/>
      <c r="I510" s="318">
        <f>IFERROR(IF(AVERAGE('🤖 Four-tier วิเคราะห์'!V90,'🤖 Four-tier วิเคราะห์'!W90)&gt;=0.8,"✅ บรรลุเกณฑ์ภาพรวม","⚠️ ยังต่ำกว่าเกณฑ์"),"—")</f>
        <v/>
      </c>
      <c r="J510" s="369" t="n"/>
      <c r="K510" s="369" t="n"/>
      <c r="L510" s="369" t="n"/>
      <c r="M510" s="369" t="n"/>
      <c r="N510" s="369" t="n"/>
      <c r="O510" s="369" t="n"/>
      <c r="P510" s="369" t="n"/>
      <c r="Q510" s="369" t="n"/>
      <c r="R510" s="369" t="n"/>
    </row>
    <row r="511" ht="19.5" customHeight="1">
      <c r="B511" s="311" t="inlineStr">
        <is>
          <t>ส่วนที่ 4 — พฤติกรรมนักเรียนและการมีส่วนร่วม</t>
        </is>
      </c>
      <c r="C511" s="385" t="n"/>
      <c r="D511" s="385" t="n"/>
      <c r="E511" s="385" t="n"/>
      <c r="F511" s="385" t="n"/>
      <c r="G511" s="385" t="n"/>
      <c r="H511" s="385" t="n"/>
      <c r="I511" s="385" t="n"/>
      <c r="J511" s="385" t="n"/>
      <c r="L511" s="311" t="inlineStr">
        <is>
          <t>✏️ กรอก</t>
        </is>
      </c>
      <c r="M511" s="385" t="n"/>
      <c r="N511" s="385" t="n"/>
      <c r="O511" s="385" t="n"/>
      <c r="P511" s="385" t="n"/>
      <c r="Q511" s="385" t="n"/>
      <c r="R511" s="385" t="n"/>
    </row>
    <row r="512" ht="18" customHeight="1">
      <c r="B512" s="157" t="inlineStr">
        <is>
          <t>🟢 Traffic Light</t>
        </is>
      </c>
      <c r="C512" s="314">
        <f>IFERROR('🎯 บันทึกการสอน Dashboard'!F24,0)&amp;" คน"</f>
        <v/>
      </c>
      <c r="D512" s="369" t="n"/>
      <c r="E512" s="369" t="n"/>
      <c r="F512" s="369" t="n"/>
      <c r="G512" s="369" t="n"/>
      <c r="H512" s="369" t="n"/>
      <c r="I512" s="369" t="n"/>
      <c r="J512" s="369" t="n"/>
      <c r="L512" s="319" t="inlineStr">
        <is>
          <t>นักเรียนที่ต้องดูแลพิเศษ / กลุ่มที่มีส่วนร่วมต่ำ:</t>
        </is>
      </c>
      <c r="M512" s="402" t="n"/>
      <c r="N512" s="402" t="n"/>
      <c r="O512" s="402" t="n"/>
      <c r="P512" s="402" t="n"/>
      <c r="Q512" s="402" t="n"/>
      <c r="R512" s="402" t="n"/>
    </row>
    <row r="513" ht="18" customHeight="1">
      <c r="B513" s="158" t="inlineStr">
        <is>
          <t>🟡 Traffic Light</t>
        </is>
      </c>
      <c r="C513" s="320">
        <f>IFERROR('🎯 บันทึกการสอน Dashboard'!G24,0)&amp;" คน"</f>
        <v/>
      </c>
      <c r="D513" s="369" t="n"/>
      <c r="E513" s="369" t="n"/>
      <c r="F513" s="369" t="n"/>
      <c r="G513" s="369" t="n"/>
      <c r="H513" s="369" t="n"/>
      <c r="I513" s="369" t="n"/>
      <c r="J513" s="369" t="n"/>
      <c r="L513" s="403" t="n"/>
    </row>
    <row r="514" ht="18" customHeight="1">
      <c r="B514" s="159" t="inlineStr">
        <is>
          <t>🔴 Traffic Light</t>
        </is>
      </c>
      <c r="C514" s="321">
        <f>IFERROR('🎯 บันทึกการสอน Dashboard'!H24,0)&amp;" คน"</f>
        <v/>
      </c>
      <c r="D514" s="369" t="n"/>
      <c r="E514" s="369" t="n"/>
      <c r="F514" s="369" t="n"/>
      <c r="G514" s="369" t="n"/>
      <c r="H514" s="369" t="n"/>
      <c r="I514" s="369" t="n"/>
      <c r="J514" s="369" t="n"/>
      <c r="L514" s="403" t="n"/>
    </row>
    <row r="515" ht="18" customHeight="1">
      <c r="B515" s="160" t="inlineStr">
        <is>
          <t>สถานะโดยรวม</t>
        </is>
      </c>
      <c r="C515" s="309">
        <f>IFERROR('🎯 บันทึกการสอน Dashboard'!M24,"ยังไม่กรอก")</f>
        <v/>
      </c>
      <c r="D515" s="369" t="n"/>
      <c r="E515" s="369" t="n"/>
      <c r="F515" s="369" t="n"/>
      <c r="G515" s="369" t="n"/>
      <c r="H515" s="369" t="n"/>
      <c r="I515" s="369" t="n"/>
      <c r="J515" s="369" t="n"/>
      <c r="L515" s="403" t="n"/>
    </row>
    <row r="516" ht="19.5" customHeight="1">
      <c r="B516" s="322" t="inlineStr">
        <is>
          <t>ส่วนที่ 5 — ปัญหา อุปสรรค และข้อค้นพบ</t>
        </is>
      </c>
      <c r="C516" s="404" t="n"/>
      <c r="D516" s="404" t="n"/>
      <c r="E516" s="404" t="n"/>
      <c r="F516" s="404" t="n"/>
      <c r="G516" s="404" t="n"/>
      <c r="H516" s="404" t="n"/>
      <c r="I516" s="404" t="n"/>
      <c r="J516" s="404" t="n"/>
      <c r="L516" s="322" t="inlineStr">
        <is>
          <t>✏️ กรอก</t>
        </is>
      </c>
      <c r="M516" s="404" t="n"/>
      <c r="N516" s="404" t="n"/>
      <c r="O516" s="404" t="n"/>
      <c r="P516" s="404" t="n"/>
      <c r="Q516" s="404" t="n"/>
      <c r="R516" s="404" t="n"/>
    </row>
    <row r="517" ht="18" customHeight="1">
      <c r="B517" s="161" t="inlineStr">
        <is>
          <t>Misconception M1 (Pre)</t>
        </is>
      </c>
      <c r="C517" s="323">
        <f>IFERROR('📊 สรุป Misconception'!D3,"—")</f>
        <v/>
      </c>
      <c r="D517" s="369" t="n"/>
      <c r="E517" s="369" t="n"/>
      <c r="F517" s="369" t="n"/>
      <c r="G517" s="369" t="n"/>
      <c r="H517" s="369" t="n"/>
      <c r="I517" s="369" t="n"/>
      <c r="J517" s="369" t="n"/>
      <c r="L517" s="319" t="inlineStr">
        <is>
          <t>รายละเอียดปัญหา / สิ่งที่ค้นพบระหว่างสอน:</t>
        </is>
      </c>
      <c r="M517" s="402" t="n"/>
      <c r="N517" s="402" t="n"/>
      <c r="O517" s="402" t="n"/>
      <c r="P517" s="402" t="n"/>
      <c r="Q517" s="402" t="n"/>
      <c r="R517" s="402" t="n"/>
    </row>
    <row r="518" ht="18" customHeight="1">
      <c r="B518" s="162" t="inlineStr">
        <is>
          <t>Misconception M1 (Post)</t>
        </is>
      </c>
      <c r="C518" s="324">
        <f>IFERROR('📊 สรุป Misconception'!F3,"—")</f>
        <v/>
      </c>
      <c r="D518" s="369" t="n"/>
      <c r="E518" s="369" t="n"/>
      <c r="F518" s="369" t="n"/>
      <c r="G518" s="369" t="n"/>
      <c r="H518" s="369" t="n"/>
      <c r="I518" s="369" t="n"/>
      <c r="J518" s="369" t="n"/>
      <c r="L518" s="403" t="n"/>
    </row>
    <row r="519" ht="18" customHeight="1">
      <c r="B519" s="163" t="inlineStr">
        <is>
          <t>ระดับ M1</t>
        </is>
      </c>
      <c r="C519" s="325">
        <f>IFERROR('📊 สรุป Misconception'!H3,"—")</f>
        <v/>
      </c>
      <c r="D519" s="369" t="n"/>
      <c r="E519" s="369" t="n"/>
      <c r="F519" s="369" t="n"/>
      <c r="G519" s="369" t="n"/>
      <c r="H519" s="369" t="n"/>
      <c r="I519" s="369" t="n"/>
      <c r="J519" s="369" t="n"/>
      <c r="L519" s="403" t="n"/>
    </row>
    <row r="520" ht="18" customHeight="1">
      <c r="B520" s="161" t="inlineStr">
        <is>
          <t>Misc. ใหม่ที่ไม่คาดคิด</t>
        </is>
      </c>
      <c r="C520" s="323" t="inlineStr">
        <is>
          <t>— ดูจากใบงาน POE —</t>
        </is>
      </c>
      <c r="D520" s="369" t="n"/>
      <c r="E520" s="369" t="n"/>
      <c r="F520" s="369" t="n"/>
      <c r="G520" s="369" t="n"/>
      <c r="H520" s="369" t="n"/>
      <c r="I520" s="369" t="n"/>
      <c r="J520" s="369" t="n"/>
      <c r="L520" s="403" t="n"/>
    </row>
    <row r="521" ht="19.5" customHeight="1">
      <c r="B521" s="326" t="inlineStr">
        <is>
          <t>ส่วนที่ 6 — ข้อมูลเชิงวิจัย (Auto ทั้งหมด)</t>
        </is>
      </c>
      <c r="C521" s="405" t="n"/>
      <c r="D521" s="405" t="n"/>
      <c r="E521" s="405" t="n"/>
      <c r="F521" s="405" t="n"/>
      <c r="G521" s="405" t="n"/>
      <c r="H521" s="405" t="n"/>
      <c r="I521" s="405" t="n"/>
      <c r="J521" s="405" t="n"/>
      <c r="L521" s="326" t="inlineStr">
        <is>
          <t>✏️ กรอก</t>
        </is>
      </c>
      <c r="M521" s="405" t="n"/>
      <c r="N521" s="405" t="n"/>
      <c r="O521" s="405" t="n"/>
      <c r="P521" s="405" t="n"/>
      <c r="Q521" s="405" t="n"/>
      <c r="R521" s="405" t="n"/>
    </row>
    <row r="522" ht="18" customHeight="1">
      <c r="B522" s="164" t="inlineStr">
        <is>
          <t>POE เฉลี่ยแผนนี้</t>
        </is>
      </c>
      <c r="C522" s="327">
        <f>IFERROR('🎯 บันทึกการสอน Dashboard'!J24,"—")</f>
        <v/>
      </c>
      <c r="D522" s="369" t="n"/>
      <c r="E522" s="369" t="n"/>
      <c r="F522" s="369" t="n"/>
      <c r="G522" s="369" t="n"/>
      <c r="H522" s="369" t="n"/>
      <c r="I522" s="369" t="n"/>
      <c r="J522" s="369" t="n"/>
      <c r="L522" s="319" t="inlineStr">
        <is>
          <t>การวิเคราะห์เพิ่มเติม / บันทึกสำหรับบทที่ 4:</t>
        </is>
      </c>
      <c r="M522" s="402" t="n"/>
      <c r="N522" s="402" t="n"/>
      <c r="O522" s="402" t="n"/>
      <c r="P522" s="402" t="n"/>
      <c r="Q522" s="402" t="n"/>
      <c r="R522" s="402" t="n"/>
    </row>
    <row r="523" ht="18" customHeight="1">
      <c r="B523" s="165" t="inlineStr">
        <is>
          <t>% Sound (Post-test)</t>
        </is>
      </c>
      <c r="C523" s="328">
        <f>IFERROR('🎯 บันทึกการสอน Dashboard'!K24,"—")</f>
        <v/>
      </c>
      <c r="D523" s="369" t="n"/>
      <c r="E523" s="369" t="n"/>
      <c r="F523" s="369" t="n"/>
      <c r="G523" s="369" t="n"/>
      <c r="H523" s="369" t="n"/>
      <c r="I523" s="369" t="n"/>
      <c r="J523" s="369" t="n"/>
      <c r="L523" s="403" t="n"/>
    </row>
    <row r="524" ht="18" customHeight="1">
      <c r="B524" s="166" t="inlineStr">
        <is>
          <t>% Misconception (Post)</t>
        </is>
      </c>
      <c r="C524" s="329">
        <f>IFERROR('🎯 บันทึกการสอน Dashboard'!L24,"—")</f>
        <v/>
      </c>
      <c r="D524" s="369" t="n"/>
      <c r="E524" s="369" t="n"/>
      <c r="F524" s="369" t="n"/>
      <c r="G524" s="369" t="n"/>
      <c r="H524" s="369" t="n"/>
      <c r="I524" s="369" t="n"/>
      <c r="J524" s="369" t="n"/>
      <c r="L524" s="403" t="n"/>
    </row>
    <row r="525" ht="18" customHeight="1">
      <c r="B525" s="164" t="inlineStr">
        <is>
          <t>GAP: POE ดีแต่ Misc.</t>
        </is>
      </c>
      <c r="C525" s="330">
        <f>IFERROR(COUNTIF('🔗 POE-Fourtier เทียบ'!H13,"🔴*"),0)&amp;" คน"</f>
        <v/>
      </c>
      <c r="D525" s="369" t="n"/>
      <c r="E525" s="369" t="n"/>
      <c r="F525" s="369" t="n"/>
      <c r="G525" s="369" t="n"/>
      <c r="H525" s="369" t="n"/>
      <c r="I525" s="369" t="n"/>
      <c r="J525" s="369" t="n"/>
      <c r="L525" s="403" t="n"/>
    </row>
    <row r="526" ht="19.5" customHeight="1">
      <c r="B526" s="363" t="inlineStr">
        <is>
          <t>ส่วนที่ 7 — ประเมิน 8 องค์ประกอบ วPA</t>
        </is>
      </c>
      <c r="C526" s="396" t="n"/>
      <c r="D526" s="396" t="n"/>
      <c r="E526" s="396" t="n"/>
      <c r="F526" s="396" t="n"/>
      <c r="G526" s="396" t="n"/>
      <c r="H526" s="396" t="n"/>
      <c r="I526" s="396" t="n"/>
      <c r="J526" s="396" t="n"/>
      <c r="K526" s="396" t="n"/>
      <c r="L526" s="396" t="n"/>
      <c r="M526" s="396" t="n"/>
      <c r="N526" s="396" t="n"/>
      <c r="O526" s="396" t="n"/>
      <c r="P526" s="396" t="n"/>
      <c r="Q526" s="396" t="n"/>
      <c r="R526" s="396" t="n"/>
    </row>
    <row r="527" ht="18" customHeight="1">
      <c r="B527" s="279" t="inlineStr">
        <is>
          <t>องค์ประกอบ วPA</t>
        </is>
      </c>
      <c r="C527" s="396" t="n"/>
      <c r="D527" s="396" t="n"/>
      <c r="E527" s="279" t="inlineStr">
        <is>
          <t>กิจกรรมที่รองรับ</t>
        </is>
      </c>
      <c r="F527" s="396" t="n"/>
      <c r="G527" s="396" t="n"/>
      <c r="H527" s="279" t="inlineStr">
        <is>
          <t>ระดับ (Auto)</t>
        </is>
      </c>
      <c r="I527" s="396" t="n"/>
      <c r="J527" s="396" t="n"/>
      <c r="K527" s="279" t="inlineStr">
        <is>
          <t>ผ่าน?</t>
        </is>
      </c>
      <c r="L527" s="396" t="n"/>
      <c r="M527" s="396" t="n"/>
      <c r="N527" s="279" t="inlineStr">
        <is>
          <t>หลักฐาน/สิ่งที่สังเกต</t>
        </is>
      </c>
      <c r="O527" s="396" t="n"/>
      <c r="P527" s="396" t="n"/>
    </row>
    <row r="528" ht="19.5" customHeight="1">
      <c r="B528" s="365" t="inlineStr">
        <is>
          <t>1. เข้าถึงและเข้าใจบทเรียน</t>
        </is>
      </c>
      <c r="C528" s="369" t="n"/>
      <c r="D528" s="369" t="n"/>
      <c r="E528" s="332" t="inlineStr">
        <is>
          <t>Concept Cartoon + วิดีโอ</t>
        </is>
      </c>
      <c r="F528" s="369" t="n"/>
      <c r="G528" s="369" t="n"/>
      <c r="H528" s="333">
        <f>IFERROR(IF('🎯 บันทึกการสอน Dashboard'!K24&gt;=0.6,"✅","⚠️"),"—")</f>
        <v/>
      </c>
      <c r="I528" s="369" t="n"/>
      <c r="J528" s="310" t="n"/>
      <c r="K528" s="400" t="n"/>
      <c r="L528" s="400" t="n"/>
      <c r="M528" s="400" t="n"/>
      <c r="N528" s="400" t="n"/>
      <c r="O528" s="400" t="n"/>
      <c r="P528" s="400" t="n"/>
      <c r="Q528" s="400" t="n"/>
      <c r="R528" s="400" t="n"/>
    </row>
    <row r="529" ht="19.5" customHeight="1">
      <c r="B529" s="365" t="inlineStr">
        <is>
          <t>2. เชื่อมโยงความรู้เดิม</t>
        </is>
      </c>
      <c r="C529" s="369" t="n"/>
      <c r="D529" s="369" t="n"/>
      <c r="E529" s="332" t="inlineStr">
        <is>
          <t>POE-Predict + KWL</t>
        </is>
      </c>
      <c r="F529" s="369" t="n"/>
      <c r="G529" s="369" t="n"/>
      <c r="H529" s="333">
        <f>IFERROR(IF('🎯 บันทึกการสอน Dashboard'!J24&gt;=1.5,"✅","⚠️"),"—")</f>
        <v/>
      </c>
      <c r="I529" s="369" t="n"/>
      <c r="J529" s="310" t="n"/>
      <c r="K529" s="400" t="n"/>
      <c r="L529" s="400" t="n"/>
      <c r="M529" s="400" t="n"/>
      <c r="N529" s="400" t="n"/>
      <c r="O529" s="400" t="n"/>
      <c r="P529" s="400" t="n"/>
      <c r="Q529" s="400" t="n"/>
      <c r="R529" s="400" t="n"/>
    </row>
    <row r="530" ht="19.5" customHeight="1">
      <c r="B530" s="365" t="inlineStr">
        <is>
          <t>3. สร้างความรู้เอง</t>
        </is>
      </c>
      <c r="C530" s="369" t="n"/>
      <c r="D530" s="369" t="n"/>
      <c r="E530" s="332" t="inlineStr">
        <is>
          <t>ทดลองสปริง + PhET</t>
        </is>
      </c>
      <c r="F530" s="369" t="n"/>
      <c r="G530" s="369" t="n"/>
      <c r="H530" s="333">
        <f>IFERROR(IF('🎯 บันทึกการสอน Dashboard'!J24&gt;=2,"✅","⚠️"),"—")</f>
        <v/>
      </c>
      <c r="I530" s="369" t="n"/>
      <c r="J530" s="310" t="n"/>
      <c r="K530" s="400" t="n"/>
      <c r="L530" s="400" t="n"/>
      <c r="M530" s="400" t="n"/>
      <c r="N530" s="400" t="n"/>
      <c r="O530" s="400" t="n"/>
      <c r="P530" s="400" t="n"/>
      <c r="Q530" s="400" t="n"/>
      <c r="R530" s="400" t="n"/>
    </row>
    <row r="531" ht="19.5" customHeight="1">
      <c r="B531" s="365" t="inlineStr">
        <is>
          <t>4. แรงจูงใจ</t>
        </is>
      </c>
      <c r="C531" s="369" t="n"/>
      <c r="D531" s="369" t="n"/>
      <c r="E531" s="332" t="inlineStr">
        <is>
          <t>Traffic Lights + Brain Break</t>
        </is>
      </c>
      <c r="F531" s="369" t="n"/>
      <c r="G531" s="369" t="n"/>
      <c r="H531" s="333">
        <f>IFERROR(IF('🎯 บันทึกการสอน Dashboard'!F24&gt;='🎯 บันทึกการสอน Dashboard'!H24,"✅","⚠️"),"—")</f>
        <v/>
      </c>
      <c r="I531" s="369" t="n"/>
      <c r="J531" s="310" t="n"/>
      <c r="K531" s="400" t="n"/>
      <c r="L531" s="400" t="n"/>
      <c r="M531" s="400" t="n"/>
      <c r="N531" s="400" t="n"/>
      <c r="O531" s="400" t="n"/>
      <c r="P531" s="400" t="n"/>
      <c r="Q531" s="400" t="n"/>
      <c r="R531" s="400" t="n"/>
    </row>
    <row r="532" ht="19.5" customHeight="1">
      <c r="B532" s="365" t="inlineStr">
        <is>
          <t>5. พัฒนาทักษะเชี่ยวชาญ</t>
        </is>
      </c>
      <c r="C532" s="369" t="n"/>
      <c r="D532" s="369" t="n"/>
      <c r="E532" s="332" t="inlineStr">
        <is>
          <t>Spot the Error + Matrix</t>
        </is>
      </c>
      <c r="F532" s="369" t="n"/>
      <c r="G532" s="369" t="n"/>
      <c r="H532" s="333">
        <f>IFERROR(IF('🎯 บันทึกการสอน Dashboard'!I24&gt;=0.7,"✅","⚠️"),"—")</f>
        <v/>
      </c>
      <c r="I532" s="369" t="n"/>
      <c r="J532" s="310" t="n"/>
      <c r="K532" s="400" t="n"/>
      <c r="L532" s="400" t="n"/>
      <c r="M532" s="400" t="n"/>
      <c r="N532" s="400" t="n"/>
      <c r="O532" s="400" t="n"/>
      <c r="P532" s="400" t="n"/>
      <c r="Q532" s="400" t="n"/>
      <c r="R532" s="400" t="n"/>
    </row>
    <row r="533" ht="19.5" customHeight="1">
      <c r="B533" s="365" t="inlineStr">
        <is>
          <t>6. Feedback ปรับปรุง</t>
        </is>
      </c>
      <c r="C533" s="369" t="n"/>
      <c r="D533" s="369" t="n"/>
      <c r="E533" s="332" t="inlineStr">
        <is>
          <t>Concept Cartoon เฉลย + 3-2-1</t>
        </is>
      </c>
      <c r="F533" s="369" t="n"/>
      <c r="G533" s="369" t="n"/>
      <c r="H533" s="333">
        <f>IFERROR(IF('🎯 บันทึกการสอน Dashboard'!H24&lt;=5,"✅","⚠️"),"—")</f>
        <v/>
      </c>
      <c r="I533" s="369" t="n"/>
      <c r="J533" s="310" t="n"/>
      <c r="K533" s="400" t="n"/>
      <c r="L533" s="400" t="n"/>
      <c r="M533" s="400" t="n"/>
      <c r="N533" s="400" t="n"/>
      <c r="O533" s="400" t="n"/>
      <c r="P533" s="400" t="n"/>
      <c r="Q533" s="400" t="n"/>
      <c r="R533" s="400" t="n"/>
    </row>
    <row r="534" ht="19.5" customHeight="1">
      <c r="B534" s="365" t="inlineStr">
        <is>
          <t>7. บรรยากาศชั้นเรียน</t>
        </is>
      </c>
      <c r="C534" s="369" t="n"/>
      <c r="D534" s="369" t="n"/>
      <c r="E534" s="332" t="inlineStr">
        <is>
          <t>Talking Chips + Visual Timer</t>
        </is>
      </c>
      <c r="F534" s="369" t="n"/>
      <c r="G534" s="369" t="n"/>
      <c r="H534" s="333">
        <f>IFERROR(IF('🎯 บันทึกการสอน Dashboard'!M24="✅ ดีมาก","✅","⚠️"),"—")</f>
        <v/>
      </c>
      <c r="I534" s="369" t="n"/>
      <c r="J534" s="310" t="n"/>
      <c r="K534" s="400" t="n"/>
      <c r="L534" s="400" t="n"/>
      <c r="M534" s="400" t="n"/>
      <c r="N534" s="400" t="n"/>
      <c r="O534" s="400" t="n"/>
      <c r="P534" s="400" t="n"/>
      <c r="Q534" s="400" t="n"/>
      <c r="R534" s="400" t="n"/>
    </row>
    <row r="535" ht="19.5" customHeight="1">
      <c r="B535" s="365" t="inlineStr">
        <is>
          <t>8. กำกับตนเอง</t>
        </is>
      </c>
      <c r="C535" s="369" t="n"/>
      <c r="D535" s="369" t="n"/>
      <c r="E535" s="332" t="inlineStr">
        <is>
          <t>3-2-1 Journal + Goal Setting</t>
        </is>
      </c>
      <c r="F535" s="369" t="n"/>
      <c r="G535" s="369" t="n"/>
      <c r="H535" s="333">
        <f>IFERROR(IF('🎯 บันทึกการสอน Dashboard'!I24&gt;=0.6,"✅","⚠️"),"—")</f>
        <v/>
      </c>
      <c r="I535" s="369" t="n"/>
      <c r="J535" s="310" t="n"/>
      <c r="K535" s="400" t="n"/>
      <c r="L535" s="400" t="n"/>
      <c r="M535" s="400" t="n"/>
      <c r="N535" s="400" t="n"/>
      <c r="O535" s="400" t="n"/>
      <c r="P535" s="400" t="n"/>
      <c r="Q535" s="400" t="n"/>
      <c r="R535" s="400" t="n"/>
    </row>
    <row r="536" ht="19.5" customHeight="1">
      <c r="B536" s="363" t="inlineStr">
        <is>
          <t>ส่วนที่ 8 — แนวทางปรับปรุง + Mini-trend เทียบแผนก่อน</t>
        </is>
      </c>
      <c r="C536" s="396" t="n"/>
      <c r="D536" s="396" t="n"/>
      <c r="E536" s="396" t="n"/>
      <c r="F536" s="396" t="n"/>
      <c r="G536" s="396" t="n"/>
      <c r="H536" s="396" t="n"/>
      <c r="I536" s="396" t="n"/>
      <c r="J536" s="396" t="n"/>
      <c r="K536" s="396" t="n"/>
      <c r="L536" s="396" t="n"/>
      <c r="M536" s="396" t="n"/>
      <c r="N536" s="396" t="n"/>
      <c r="O536" s="396" t="n"/>
      <c r="P536" s="396" t="n"/>
      <c r="Q536" s="396" t="n"/>
      <c r="R536" s="396" t="n"/>
    </row>
    <row r="537" ht="18" customHeight="1">
      <c r="B537" s="194" t="inlineStr">
        <is>
          <t>📌 Try ที่ตั้งใจทำจากแผนที่ 9 (Auto)</t>
        </is>
      </c>
      <c r="C537" s="337" t="inlineStr">
        <is>
          <t>← ดูจากแผนที่ 9 ส่วนที่ 8 ช่อง Try</t>
        </is>
      </c>
      <c r="D537" s="369" t="n"/>
      <c r="E537" s="369" t="n"/>
      <c r="F537" s="369" t="n"/>
      <c r="G537" s="369" t="n"/>
      <c r="H537" s="369" t="n"/>
      <c r="I537" s="369" t="n"/>
      <c r="J537" s="369" t="n"/>
    </row>
    <row r="538" ht="19.5" customHeight="1">
      <c r="B538" s="194" t="inlineStr">
        <is>
          <t>📈 Mini-trend (เทียบแผนก่อน)</t>
        </is>
      </c>
      <c r="C538" s="334">
        <f>IFERROR("Sound: "&amp;TEXT('🎯 บันทึกการสอน Dashboard'!K24,"0%")&amp;" vs "&amp;TEXT('🎯 บันทึกการสอน Dashboard'!K23,"0%")&amp;IF('🎯 บันทึกการสอน Dashboard'!K24&gt;'🎯 บันทึกการสอน Dashboard'!K23," ▲ ดีขึ้น",IF('🎯 บันทึกการสอน Dashboard'!K24&lt;'🎯 บันทึกการสอน Dashboard'!K23," ▼ ลดลง"," = คงที่")),"กรอกข้อมูลก่อน")</f>
        <v/>
      </c>
      <c r="D538" s="369" t="n"/>
      <c r="E538" s="369" t="n"/>
      <c r="F538" s="369" t="n"/>
      <c r="G538" s="369" t="n"/>
      <c r="H538" s="369" t="n"/>
      <c r="I538" s="369" t="n"/>
      <c r="J538" s="369" t="n"/>
    </row>
    <row r="539" ht="18" customHeight="1">
      <c r="B539" s="260" t="inlineStr">
        <is>
          <t>✅ Keep — สิ่งที่ได้ผล ควรคงไว้</t>
        </is>
      </c>
      <c r="C539" s="385" t="n"/>
      <c r="D539" s="385" t="n"/>
      <c r="E539" s="385" t="n"/>
      <c r="F539" s="385" t="n"/>
      <c r="G539" s="335" t="inlineStr">
        <is>
          <t>🔄 Change — สิ่งที่ต้องปรับปรุง</t>
        </is>
      </c>
      <c r="H539" s="404" t="n"/>
      <c r="I539" s="404" t="n"/>
      <c r="J539" s="404" t="n"/>
      <c r="K539" s="404" t="n"/>
      <c r="L539" s="336" t="inlineStr">
        <is>
          <t>🆕 Try — สิ่งที่จะลองทำในแผนถัดไป</t>
        </is>
      </c>
      <c r="M539" s="406" t="n"/>
      <c r="N539" s="406" t="n"/>
      <c r="O539" s="406" t="n"/>
      <c r="P539" s="406" t="n"/>
    </row>
    <row r="540" ht="19.5" customHeight="1">
      <c r="B540" s="312" t="n"/>
      <c r="C540" s="402" t="n"/>
      <c r="D540" s="402" t="n"/>
      <c r="E540" s="402" t="n"/>
      <c r="F540" s="402" t="n"/>
      <c r="G540" s="312" t="n"/>
      <c r="H540" s="402" t="n"/>
      <c r="I540" s="402" t="n"/>
      <c r="J540" s="402" t="n"/>
      <c r="K540" s="402" t="n"/>
      <c r="L540" s="312" t="n"/>
      <c r="M540" s="402" t="n"/>
      <c r="N540" s="402" t="n"/>
      <c r="O540" s="402" t="n"/>
      <c r="P540" s="402" t="n"/>
    </row>
    <row r="541" ht="19.5" customHeight="1">
      <c r="B541" s="403" t="n"/>
      <c r="G541" s="403" t="n"/>
      <c r="L541" s="403" t="n"/>
    </row>
    <row r="542" ht="19.5" customHeight="1">
      <c r="B542" s="403" t="n"/>
      <c r="G542" s="403" t="n"/>
      <c r="L542" s="403" t="n"/>
    </row>
    <row r="543" ht="19.5" customHeight="1">
      <c r="B543" s="194" t="inlineStr">
        <is>
          <t>📌 สรุปภาพรวมทั้ง 10 แผน:</t>
        </is>
      </c>
      <c r="C543" s="312" t="n"/>
      <c r="D543" s="402" t="n"/>
      <c r="E543" s="402" t="n"/>
      <c r="F543" s="402" t="n"/>
      <c r="G543" s="402" t="n"/>
      <c r="H543" s="402" t="n"/>
      <c r="I543" s="402" t="n"/>
      <c r="J543" s="402" t="n"/>
      <c r="K543" s="402" t="n"/>
      <c r="L543" s="402" t="n"/>
      <c r="M543" s="402" t="n"/>
      <c r="N543" s="402" t="n"/>
      <c r="O543" s="402" t="n"/>
      <c r="P543" s="402" t="n"/>
      <c r="Q543" s="402" t="n"/>
      <c r="R543" s="402" t="n"/>
    </row>
    <row r="544" ht="19.5" customHeight="1">
      <c r="C544" s="403" t="n"/>
    </row>
    <row r="545" ht="12" customHeight="1"/>
  </sheetData>
  <mergeCells count="1169">
    <mergeCell ref="B536:R536"/>
    <mergeCell ref="C537:J537"/>
    <mergeCell ref="C538:J538"/>
    <mergeCell ref="B539:F539"/>
    <mergeCell ref="G539:K539"/>
    <mergeCell ref="L539:P539"/>
    <mergeCell ref="B540:F542"/>
    <mergeCell ref="G540:K542"/>
    <mergeCell ref="L540:P542"/>
    <mergeCell ref="C543:R544"/>
    <mergeCell ref="B531:D531"/>
    <mergeCell ref="E531:G531"/>
    <mergeCell ref="H531:I531"/>
    <mergeCell ref="J531:R531"/>
    <mergeCell ref="B532:D532"/>
    <mergeCell ref="E532:G532"/>
    <mergeCell ref="H532:I532"/>
    <mergeCell ref="J532:R532"/>
    <mergeCell ref="B533:D533"/>
    <mergeCell ref="E533:G533"/>
    <mergeCell ref="H533:I533"/>
    <mergeCell ref="J533:R533"/>
    <mergeCell ref="B534:D534"/>
    <mergeCell ref="E534:G534"/>
    <mergeCell ref="H534:I534"/>
    <mergeCell ref="J534:R534"/>
    <mergeCell ref="B535:D535"/>
    <mergeCell ref="E535:G535"/>
    <mergeCell ref="H535:I535"/>
    <mergeCell ref="J535:R535"/>
    <mergeCell ref="B526:R526"/>
    <mergeCell ref="B527:D527"/>
    <mergeCell ref="E527:G527"/>
    <mergeCell ref="H527:J527"/>
    <mergeCell ref="K527:M527"/>
    <mergeCell ref="N527:P527"/>
    <mergeCell ref="B528:D528"/>
    <mergeCell ref="E528:G528"/>
    <mergeCell ref="H528:I528"/>
    <mergeCell ref="J528:R528"/>
    <mergeCell ref="B529:D529"/>
    <mergeCell ref="E529:G529"/>
    <mergeCell ref="H529:I529"/>
    <mergeCell ref="J529:R529"/>
    <mergeCell ref="B530:D530"/>
    <mergeCell ref="E530:G530"/>
    <mergeCell ref="H530:I530"/>
    <mergeCell ref="J530:R530"/>
    <mergeCell ref="B511:J511"/>
    <mergeCell ref="L511:R511"/>
    <mergeCell ref="C512:J512"/>
    <mergeCell ref="L512:R515"/>
    <mergeCell ref="C513:J513"/>
    <mergeCell ref="C514:J514"/>
    <mergeCell ref="C515:J515"/>
    <mergeCell ref="B516:J516"/>
    <mergeCell ref="L516:R516"/>
    <mergeCell ref="C517:J517"/>
    <mergeCell ref="L517:R520"/>
    <mergeCell ref="C518:J518"/>
    <mergeCell ref="C519:J519"/>
    <mergeCell ref="C520:J520"/>
    <mergeCell ref="B521:J521"/>
    <mergeCell ref="L521:R521"/>
    <mergeCell ref="C522:J522"/>
    <mergeCell ref="L522:R525"/>
    <mergeCell ref="C523:J523"/>
    <mergeCell ref="C524:J524"/>
    <mergeCell ref="C525:J525"/>
    <mergeCell ref="B503:J503"/>
    <mergeCell ref="L503:R503"/>
    <mergeCell ref="C504:F504"/>
    <mergeCell ref="G504:J504"/>
    <mergeCell ref="L504:R505"/>
    <mergeCell ref="B506:R506"/>
    <mergeCell ref="D507:E507"/>
    <mergeCell ref="G507:H507"/>
    <mergeCell ref="I507:K507"/>
    <mergeCell ref="D508:E508"/>
    <mergeCell ref="G508:H508"/>
    <mergeCell ref="I508:R508"/>
    <mergeCell ref="D509:E509"/>
    <mergeCell ref="G509:H509"/>
    <mergeCell ref="I509:R509"/>
    <mergeCell ref="C510:E510"/>
    <mergeCell ref="F510:H510"/>
    <mergeCell ref="I510:R510"/>
    <mergeCell ref="C497:F497"/>
    <mergeCell ref="G497:J497"/>
    <mergeCell ref="L497:R497"/>
    <mergeCell ref="C498:F498"/>
    <mergeCell ref="G498:J498"/>
    <mergeCell ref="L498:R498"/>
    <mergeCell ref="C499:F499"/>
    <mergeCell ref="G499:J499"/>
    <mergeCell ref="L499:R499"/>
    <mergeCell ref="C500:F500"/>
    <mergeCell ref="G500:J500"/>
    <mergeCell ref="L500:R500"/>
    <mergeCell ref="C501:F501"/>
    <mergeCell ref="G501:J501"/>
    <mergeCell ref="L501:R501"/>
    <mergeCell ref="C502:F502"/>
    <mergeCell ref="G502:J502"/>
    <mergeCell ref="L502:R502"/>
    <mergeCell ref="B484:R484"/>
    <mergeCell ref="C485:J485"/>
    <mergeCell ref="C486:J486"/>
    <mergeCell ref="B487:F487"/>
    <mergeCell ref="G487:K487"/>
    <mergeCell ref="L487:P487"/>
    <mergeCell ref="B488:F490"/>
    <mergeCell ref="G488:K490"/>
    <mergeCell ref="L488:P490"/>
    <mergeCell ref="C491:R492"/>
    <mergeCell ref="B494:R494"/>
    <mergeCell ref="B495:C495"/>
    <mergeCell ref="D495:E495"/>
    <mergeCell ref="M495:N495"/>
    <mergeCell ref="P495:R495"/>
    <mergeCell ref="B496:J496"/>
    <mergeCell ref="L496:R496"/>
    <mergeCell ref="B479:D479"/>
    <mergeCell ref="E479:G479"/>
    <mergeCell ref="H479:I479"/>
    <mergeCell ref="J479:R479"/>
    <mergeCell ref="B480:D480"/>
    <mergeCell ref="E480:G480"/>
    <mergeCell ref="H480:I480"/>
    <mergeCell ref="J480:R480"/>
    <mergeCell ref="B481:D481"/>
    <mergeCell ref="E481:G481"/>
    <mergeCell ref="H481:I481"/>
    <mergeCell ref="J481:R481"/>
    <mergeCell ref="B482:D482"/>
    <mergeCell ref="E482:G482"/>
    <mergeCell ref="H482:I482"/>
    <mergeCell ref="J482:R482"/>
    <mergeCell ref="B483:D483"/>
    <mergeCell ref="E483:G483"/>
    <mergeCell ref="H483:I483"/>
    <mergeCell ref="J483:R483"/>
    <mergeCell ref="B474:R474"/>
    <mergeCell ref="B475:D475"/>
    <mergeCell ref="E475:G475"/>
    <mergeCell ref="H475:J475"/>
    <mergeCell ref="K475:M475"/>
    <mergeCell ref="N475:P475"/>
    <mergeCell ref="B476:D476"/>
    <mergeCell ref="E476:G476"/>
    <mergeCell ref="H476:I476"/>
    <mergeCell ref="J476:R476"/>
    <mergeCell ref="B477:D477"/>
    <mergeCell ref="E477:G477"/>
    <mergeCell ref="H477:I477"/>
    <mergeCell ref="J477:R477"/>
    <mergeCell ref="B478:D478"/>
    <mergeCell ref="E478:G478"/>
    <mergeCell ref="H478:I478"/>
    <mergeCell ref="J478:R478"/>
    <mergeCell ref="B459:J459"/>
    <mergeCell ref="L459:R459"/>
    <mergeCell ref="C460:J460"/>
    <mergeCell ref="L460:R463"/>
    <mergeCell ref="C461:J461"/>
    <mergeCell ref="C462:J462"/>
    <mergeCell ref="C463:J463"/>
    <mergeCell ref="B464:J464"/>
    <mergeCell ref="L464:R464"/>
    <mergeCell ref="C465:J465"/>
    <mergeCell ref="L465:R468"/>
    <mergeCell ref="C466:J466"/>
    <mergeCell ref="C467:J467"/>
    <mergeCell ref="C468:J468"/>
    <mergeCell ref="B469:J469"/>
    <mergeCell ref="L469:R469"/>
    <mergeCell ref="C470:J470"/>
    <mergeCell ref="L470:R473"/>
    <mergeCell ref="C471:J471"/>
    <mergeCell ref="C472:J472"/>
    <mergeCell ref="C473:J473"/>
    <mergeCell ref="B451:J451"/>
    <mergeCell ref="L451:R451"/>
    <mergeCell ref="C452:F452"/>
    <mergeCell ref="G452:J452"/>
    <mergeCell ref="L452:R453"/>
    <mergeCell ref="B454:R454"/>
    <mergeCell ref="D455:E455"/>
    <mergeCell ref="G455:H455"/>
    <mergeCell ref="I455:K455"/>
    <mergeCell ref="D456:E456"/>
    <mergeCell ref="G456:H456"/>
    <mergeCell ref="I456:R456"/>
    <mergeCell ref="D457:E457"/>
    <mergeCell ref="G457:H457"/>
    <mergeCell ref="I457:R457"/>
    <mergeCell ref="C458:E458"/>
    <mergeCell ref="F458:H458"/>
    <mergeCell ref="I458:R458"/>
    <mergeCell ref="C445:F445"/>
    <mergeCell ref="G445:J445"/>
    <mergeCell ref="L445:R445"/>
    <mergeCell ref="C446:F446"/>
    <mergeCell ref="G446:J446"/>
    <mergeCell ref="L446:R446"/>
    <mergeCell ref="C447:F447"/>
    <mergeCell ref="G447:J447"/>
    <mergeCell ref="L447:R447"/>
    <mergeCell ref="C448:F448"/>
    <mergeCell ref="G448:J448"/>
    <mergeCell ref="L448:R448"/>
    <mergeCell ref="C449:F449"/>
    <mergeCell ref="G449:J449"/>
    <mergeCell ref="L449:R449"/>
    <mergeCell ref="C450:F450"/>
    <mergeCell ref="G450:J450"/>
    <mergeCell ref="L450:R450"/>
    <mergeCell ref="B432:R432"/>
    <mergeCell ref="C433:J433"/>
    <mergeCell ref="C434:J434"/>
    <mergeCell ref="B435:F435"/>
    <mergeCell ref="G435:K435"/>
    <mergeCell ref="L435:P435"/>
    <mergeCell ref="B436:F438"/>
    <mergeCell ref="G436:K438"/>
    <mergeCell ref="L436:P438"/>
    <mergeCell ref="C439:R440"/>
    <mergeCell ref="B442:R442"/>
    <mergeCell ref="B443:C443"/>
    <mergeCell ref="D443:E443"/>
    <mergeCell ref="M443:N443"/>
    <mergeCell ref="P443:R443"/>
    <mergeCell ref="B444:J444"/>
    <mergeCell ref="L444:R444"/>
    <mergeCell ref="B427:D427"/>
    <mergeCell ref="E427:G427"/>
    <mergeCell ref="H427:I427"/>
    <mergeCell ref="J427:R427"/>
    <mergeCell ref="B428:D428"/>
    <mergeCell ref="E428:G428"/>
    <mergeCell ref="H428:I428"/>
    <mergeCell ref="J428:R428"/>
    <mergeCell ref="B429:D429"/>
    <mergeCell ref="E429:G429"/>
    <mergeCell ref="H429:I429"/>
    <mergeCell ref="J429:R429"/>
    <mergeCell ref="B430:D430"/>
    <mergeCell ref="E430:G430"/>
    <mergeCell ref="H430:I430"/>
    <mergeCell ref="J430:R430"/>
    <mergeCell ref="B431:D431"/>
    <mergeCell ref="E431:G431"/>
    <mergeCell ref="H431:I431"/>
    <mergeCell ref="J431:R431"/>
    <mergeCell ref="B422:R422"/>
    <mergeCell ref="B423:D423"/>
    <mergeCell ref="E423:G423"/>
    <mergeCell ref="H423:J423"/>
    <mergeCell ref="K423:M423"/>
    <mergeCell ref="N423:P423"/>
    <mergeCell ref="B424:D424"/>
    <mergeCell ref="E424:G424"/>
    <mergeCell ref="H424:I424"/>
    <mergeCell ref="J424:R424"/>
    <mergeCell ref="B425:D425"/>
    <mergeCell ref="E425:G425"/>
    <mergeCell ref="H425:I425"/>
    <mergeCell ref="J425:R425"/>
    <mergeCell ref="B426:D426"/>
    <mergeCell ref="E426:G426"/>
    <mergeCell ref="H426:I426"/>
    <mergeCell ref="J426:R426"/>
    <mergeCell ref="C408:J408"/>
    <mergeCell ref="L408:R411"/>
    <mergeCell ref="C409:J409"/>
    <mergeCell ref="C410:J410"/>
    <mergeCell ref="C411:J411"/>
    <mergeCell ref="B412:J412"/>
    <mergeCell ref="L412:R412"/>
    <mergeCell ref="C413:J413"/>
    <mergeCell ref="L413:R416"/>
    <mergeCell ref="C414:J414"/>
    <mergeCell ref="C415:J415"/>
    <mergeCell ref="C416:J416"/>
    <mergeCell ref="B417:J417"/>
    <mergeCell ref="L417:R417"/>
    <mergeCell ref="C418:J418"/>
    <mergeCell ref="L418:R421"/>
    <mergeCell ref="C419:J419"/>
    <mergeCell ref="C420:J420"/>
    <mergeCell ref="C421:J421"/>
    <mergeCell ref="B401:R401"/>
    <mergeCell ref="D402:E402"/>
    <mergeCell ref="G402:H402"/>
    <mergeCell ref="I402:K402"/>
    <mergeCell ref="D403:E403"/>
    <mergeCell ref="G403:H403"/>
    <mergeCell ref="I403:R403"/>
    <mergeCell ref="D404:E404"/>
    <mergeCell ref="G404:H404"/>
    <mergeCell ref="I404:R404"/>
    <mergeCell ref="D405:E405"/>
    <mergeCell ref="G405:H405"/>
    <mergeCell ref="I405:R405"/>
    <mergeCell ref="C406:E406"/>
    <mergeCell ref="F406:H406"/>
    <mergeCell ref="I406:R406"/>
    <mergeCell ref="B407:J407"/>
    <mergeCell ref="L407:R407"/>
    <mergeCell ref="C394:F394"/>
    <mergeCell ref="G394:J394"/>
    <mergeCell ref="L394:R394"/>
    <mergeCell ref="C395:F395"/>
    <mergeCell ref="G395:J395"/>
    <mergeCell ref="L395:R395"/>
    <mergeCell ref="C396:F396"/>
    <mergeCell ref="G396:J396"/>
    <mergeCell ref="L396:R396"/>
    <mergeCell ref="C397:F397"/>
    <mergeCell ref="G397:J397"/>
    <mergeCell ref="L397:R397"/>
    <mergeCell ref="B398:J398"/>
    <mergeCell ref="L398:R398"/>
    <mergeCell ref="C399:F399"/>
    <mergeCell ref="G399:J399"/>
    <mergeCell ref="L399:R400"/>
    <mergeCell ref="B383:F385"/>
    <mergeCell ref="G383:K385"/>
    <mergeCell ref="L383:P385"/>
    <mergeCell ref="C386:R387"/>
    <mergeCell ref="B389:R389"/>
    <mergeCell ref="B390:C390"/>
    <mergeCell ref="D390:E390"/>
    <mergeCell ref="M390:N390"/>
    <mergeCell ref="P390:R390"/>
    <mergeCell ref="B391:J391"/>
    <mergeCell ref="L391:R391"/>
    <mergeCell ref="C392:F392"/>
    <mergeCell ref="G392:J392"/>
    <mergeCell ref="L392:R392"/>
    <mergeCell ref="C393:F393"/>
    <mergeCell ref="G393:J393"/>
    <mergeCell ref="L393:R393"/>
    <mergeCell ref="B376:D376"/>
    <mergeCell ref="E376:G376"/>
    <mergeCell ref="H376:I376"/>
    <mergeCell ref="J376:R376"/>
    <mergeCell ref="B377:D377"/>
    <mergeCell ref="E377:G377"/>
    <mergeCell ref="H377:I377"/>
    <mergeCell ref="J377:R377"/>
    <mergeCell ref="B378:D378"/>
    <mergeCell ref="E378:G378"/>
    <mergeCell ref="H378:I378"/>
    <mergeCell ref="J378:R378"/>
    <mergeCell ref="B379:R379"/>
    <mergeCell ref="C380:J380"/>
    <mergeCell ref="C381:J381"/>
    <mergeCell ref="B382:F382"/>
    <mergeCell ref="G382:K382"/>
    <mergeCell ref="L382:P382"/>
    <mergeCell ref="B371:D371"/>
    <mergeCell ref="E371:G371"/>
    <mergeCell ref="H371:I371"/>
    <mergeCell ref="J371:R371"/>
    <mergeCell ref="B372:D372"/>
    <mergeCell ref="E372:G372"/>
    <mergeCell ref="H372:I372"/>
    <mergeCell ref="J372:R372"/>
    <mergeCell ref="B373:D373"/>
    <mergeCell ref="E373:G373"/>
    <mergeCell ref="H373:I373"/>
    <mergeCell ref="J373:R373"/>
    <mergeCell ref="B374:D374"/>
    <mergeCell ref="E374:G374"/>
    <mergeCell ref="H374:I374"/>
    <mergeCell ref="J374:R374"/>
    <mergeCell ref="B375:D375"/>
    <mergeCell ref="E375:G375"/>
    <mergeCell ref="H375:I375"/>
    <mergeCell ref="J375:R375"/>
    <mergeCell ref="C360:J360"/>
    <mergeCell ref="L360:R363"/>
    <mergeCell ref="C361:J361"/>
    <mergeCell ref="C362:J362"/>
    <mergeCell ref="C363:J363"/>
    <mergeCell ref="B364:J364"/>
    <mergeCell ref="L364:R364"/>
    <mergeCell ref="C365:J365"/>
    <mergeCell ref="L365:R368"/>
    <mergeCell ref="C366:J366"/>
    <mergeCell ref="C367:J367"/>
    <mergeCell ref="C368:J368"/>
    <mergeCell ref="B369:R369"/>
    <mergeCell ref="B370:D370"/>
    <mergeCell ref="E370:G370"/>
    <mergeCell ref="H370:J370"/>
    <mergeCell ref="K370:M370"/>
    <mergeCell ref="N370:P370"/>
    <mergeCell ref="D351:E351"/>
    <mergeCell ref="G351:H351"/>
    <mergeCell ref="I351:R351"/>
    <mergeCell ref="D352:E352"/>
    <mergeCell ref="G352:H352"/>
    <mergeCell ref="I352:R352"/>
    <mergeCell ref="C353:E353"/>
    <mergeCell ref="F353:H353"/>
    <mergeCell ref="I353:R353"/>
    <mergeCell ref="B354:J354"/>
    <mergeCell ref="L354:R354"/>
    <mergeCell ref="C355:J355"/>
    <mergeCell ref="L355:R358"/>
    <mergeCell ref="C356:J356"/>
    <mergeCell ref="C357:J357"/>
    <mergeCell ref="C358:J358"/>
    <mergeCell ref="B359:J359"/>
    <mergeCell ref="L359:R359"/>
    <mergeCell ref="B342:J342"/>
    <mergeCell ref="L342:R342"/>
    <mergeCell ref="C343:F343"/>
    <mergeCell ref="G343:J343"/>
    <mergeCell ref="L343:R344"/>
    <mergeCell ref="C345:F345"/>
    <mergeCell ref="G345:J345"/>
    <mergeCell ref="L345:R346"/>
    <mergeCell ref="B347:R347"/>
    <mergeCell ref="D348:E348"/>
    <mergeCell ref="G348:H348"/>
    <mergeCell ref="I348:K348"/>
    <mergeCell ref="D349:E349"/>
    <mergeCell ref="G349:H349"/>
    <mergeCell ref="I349:R349"/>
    <mergeCell ref="D350:E350"/>
    <mergeCell ref="G350:H350"/>
    <mergeCell ref="I350:R350"/>
    <mergeCell ref="C336:F336"/>
    <mergeCell ref="G336:J336"/>
    <mergeCell ref="L336:R336"/>
    <mergeCell ref="C337:F337"/>
    <mergeCell ref="G337:J337"/>
    <mergeCell ref="L337:R337"/>
    <mergeCell ref="C338:F338"/>
    <mergeCell ref="G338:J338"/>
    <mergeCell ref="L338:R338"/>
    <mergeCell ref="C339:F339"/>
    <mergeCell ref="G339:J339"/>
    <mergeCell ref="L339:R339"/>
    <mergeCell ref="C340:F340"/>
    <mergeCell ref="G340:J340"/>
    <mergeCell ref="L340:R340"/>
    <mergeCell ref="C341:F341"/>
    <mergeCell ref="G341:J341"/>
    <mergeCell ref="L341:R341"/>
    <mergeCell ref="B323:R323"/>
    <mergeCell ref="C324:J324"/>
    <mergeCell ref="C325:J325"/>
    <mergeCell ref="B326:F326"/>
    <mergeCell ref="G326:K326"/>
    <mergeCell ref="L326:P326"/>
    <mergeCell ref="B327:F329"/>
    <mergeCell ref="G327:K329"/>
    <mergeCell ref="L327:P329"/>
    <mergeCell ref="C330:R331"/>
    <mergeCell ref="B333:R333"/>
    <mergeCell ref="B334:C334"/>
    <mergeCell ref="D334:E334"/>
    <mergeCell ref="M334:N334"/>
    <mergeCell ref="P334:R334"/>
    <mergeCell ref="B335:J335"/>
    <mergeCell ref="L335:R335"/>
    <mergeCell ref="B318:D318"/>
    <mergeCell ref="E318:G318"/>
    <mergeCell ref="H318:I318"/>
    <mergeCell ref="J318:R318"/>
    <mergeCell ref="B319:D319"/>
    <mergeCell ref="E319:G319"/>
    <mergeCell ref="H319:I319"/>
    <mergeCell ref="J319:R319"/>
    <mergeCell ref="B320:D320"/>
    <mergeCell ref="E320:G320"/>
    <mergeCell ref="H320:I320"/>
    <mergeCell ref="J320:R320"/>
    <mergeCell ref="B321:D321"/>
    <mergeCell ref="E321:G321"/>
    <mergeCell ref="H321:I321"/>
    <mergeCell ref="J321:R321"/>
    <mergeCell ref="B322:D322"/>
    <mergeCell ref="E322:G322"/>
    <mergeCell ref="H322:I322"/>
    <mergeCell ref="J322:R322"/>
    <mergeCell ref="B313:R313"/>
    <mergeCell ref="B314:D314"/>
    <mergeCell ref="E314:G314"/>
    <mergeCell ref="H314:J314"/>
    <mergeCell ref="K314:M314"/>
    <mergeCell ref="N314:P314"/>
    <mergeCell ref="B315:D315"/>
    <mergeCell ref="E315:G315"/>
    <mergeCell ref="H315:I315"/>
    <mergeCell ref="J315:R315"/>
    <mergeCell ref="B316:D316"/>
    <mergeCell ref="E316:G316"/>
    <mergeCell ref="H316:I316"/>
    <mergeCell ref="J316:R316"/>
    <mergeCell ref="B317:D317"/>
    <mergeCell ref="E317:G317"/>
    <mergeCell ref="H317:I317"/>
    <mergeCell ref="J317:R317"/>
    <mergeCell ref="C299:J299"/>
    <mergeCell ref="L299:R302"/>
    <mergeCell ref="C300:J300"/>
    <mergeCell ref="C301:J301"/>
    <mergeCell ref="C302:J302"/>
    <mergeCell ref="B303:J303"/>
    <mergeCell ref="L303:R303"/>
    <mergeCell ref="C304:J304"/>
    <mergeCell ref="L304:R307"/>
    <mergeCell ref="C305:J305"/>
    <mergeCell ref="C306:J306"/>
    <mergeCell ref="C307:J307"/>
    <mergeCell ref="B308:J308"/>
    <mergeCell ref="L308:R308"/>
    <mergeCell ref="C309:J309"/>
    <mergeCell ref="L309:R312"/>
    <mergeCell ref="C310:J310"/>
    <mergeCell ref="C311:J311"/>
    <mergeCell ref="C312:J312"/>
    <mergeCell ref="B292:R292"/>
    <mergeCell ref="D293:E293"/>
    <mergeCell ref="G293:H293"/>
    <mergeCell ref="I293:K293"/>
    <mergeCell ref="D294:E294"/>
    <mergeCell ref="G294:H294"/>
    <mergeCell ref="I294:R294"/>
    <mergeCell ref="D295:E295"/>
    <mergeCell ref="G295:H295"/>
    <mergeCell ref="I295:R295"/>
    <mergeCell ref="D296:E296"/>
    <mergeCell ref="G296:H296"/>
    <mergeCell ref="I296:R296"/>
    <mergeCell ref="C297:E297"/>
    <mergeCell ref="F297:H297"/>
    <mergeCell ref="I297:R297"/>
    <mergeCell ref="B298:J298"/>
    <mergeCell ref="L298:R298"/>
    <mergeCell ref="C284:F284"/>
    <mergeCell ref="G284:J284"/>
    <mergeCell ref="L284:R284"/>
    <mergeCell ref="C285:F285"/>
    <mergeCell ref="G285:J285"/>
    <mergeCell ref="L285:R285"/>
    <mergeCell ref="C286:F286"/>
    <mergeCell ref="G286:J286"/>
    <mergeCell ref="L286:R286"/>
    <mergeCell ref="B287:J287"/>
    <mergeCell ref="L287:R287"/>
    <mergeCell ref="C288:F288"/>
    <mergeCell ref="G288:J288"/>
    <mergeCell ref="L288:R289"/>
    <mergeCell ref="C290:F290"/>
    <mergeCell ref="G290:J290"/>
    <mergeCell ref="L290:R291"/>
    <mergeCell ref="C275:R276"/>
    <mergeCell ref="B278:R278"/>
    <mergeCell ref="B279:C279"/>
    <mergeCell ref="D279:E279"/>
    <mergeCell ref="M279:N279"/>
    <mergeCell ref="P279:R279"/>
    <mergeCell ref="B280:J280"/>
    <mergeCell ref="L280:R280"/>
    <mergeCell ref="C281:F281"/>
    <mergeCell ref="G281:J281"/>
    <mergeCell ref="L281:R281"/>
    <mergeCell ref="C282:F282"/>
    <mergeCell ref="G282:J282"/>
    <mergeCell ref="L282:R282"/>
    <mergeCell ref="C283:F283"/>
    <mergeCell ref="G283:J283"/>
    <mergeCell ref="L283:R283"/>
    <mergeCell ref="B266:D266"/>
    <mergeCell ref="E266:G266"/>
    <mergeCell ref="H266:I266"/>
    <mergeCell ref="J266:R266"/>
    <mergeCell ref="B267:D267"/>
    <mergeCell ref="E267:G267"/>
    <mergeCell ref="H267:I267"/>
    <mergeCell ref="J267:R267"/>
    <mergeCell ref="B268:R268"/>
    <mergeCell ref="C269:J269"/>
    <mergeCell ref="C270:J270"/>
    <mergeCell ref="B271:F271"/>
    <mergeCell ref="G271:K271"/>
    <mergeCell ref="L271:P271"/>
    <mergeCell ref="B272:F274"/>
    <mergeCell ref="G272:K274"/>
    <mergeCell ref="L272:P274"/>
    <mergeCell ref="B261:D261"/>
    <mergeCell ref="E261:G261"/>
    <mergeCell ref="H261:I261"/>
    <mergeCell ref="J261:R261"/>
    <mergeCell ref="B262:D262"/>
    <mergeCell ref="E262:G262"/>
    <mergeCell ref="H262:I262"/>
    <mergeCell ref="J262:R262"/>
    <mergeCell ref="B263:D263"/>
    <mergeCell ref="E263:G263"/>
    <mergeCell ref="H263:I263"/>
    <mergeCell ref="J263:R263"/>
    <mergeCell ref="B264:D264"/>
    <mergeCell ref="E264:G264"/>
    <mergeCell ref="H264:I264"/>
    <mergeCell ref="J264:R264"/>
    <mergeCell ref="B265:D265"/>
    <mergeCell ref="E265:G265"/>
    <mergeCell ref="H265:I265"/>
    <mergeCell ref="J265:R265"/>
    <mergeCell ref="B253:J253"/>
    <mergeCell ref="L253:R253"/>
    <mergeCell ref="C254:J254"/>
    <mergeCell ref="L254:R257"/>
    <mergeCell ref="C255:J255"/>
    <mergeCell ref="C256:J256"/>
    <mergeCell ref="C257:J257"/>
    <mergeCell ref="B258:R258"/>
    <mergeCell ref="B259:D259"/>
    <mergeCell ref="E259:G259"/>
    <mergeCell ref="H259:J259"/>
    <mergeCell ref="K259:M259"/>
    <mergeCell ref="N259:P259"/>
    <mergeCell ref="B260:D260"/>
    <mergeCell ref="E260:G260"/>
    <mergeCell ref="H260:I260"/>
    <mergeCell ref="J260:R260"/>
    <mergeCell ref="D241:E241"/>
    <mergeCell ref="G241:H241"/>
    <mergeCell ref="I241:R241"/>
    <mergeCell ref="C242:E242"/>
    <mergeCell ref="F242:H242"/>
    <mergeCell ref="I242:R242"/>
    <mergeCell ref="B243:J243"/>
    <mergeCell ref="L243:R243"/>
    <mergeCell ref="C244:J244"/>
    <mergeCell ref="L244:R247"/>
    <mergeCell ref="C245:J245"/>
    <mergeCell ref="C246:J246"/>
    <mergeCell ref="C247:J247"/>
    <mergeCell ref="B248:J248"/>
    <mergeCell ref="L248:R248"/>
    <mergeCell ref="C249:J249"/>
    <mergeCell ref="L249:R252"/>
    <mergeCell ref="C250:J250"/>
    <mergeCell ref="C251:J251"/>
    <mergeCell ref="C252:J252"/>
    <mergeCell ref="B232:J232"/>
    <mergeCell ref="L232:R232"/>
    <mergeCell ref="C233:F233"/>
    <mergeCell ref="G233:J233"/>
    <mergeCell ref="L233:R234"/>
    <mergeCell ref="C235:F235"/>
    <mergeCell ref="G235:J235"/>
    <mergeCell ref="L235:R236"/>
    <mergeCell ref="B237:R237"/>
    <mergeCell ref="D238:E238"/>
    <mergeCell ref="G238:H238"/>
    <mergeCell ref="I238:K238"/>
    <mergeCell ref="D239:E239"/>
    <mergeCell ref="G239:H239"/>
    <mergeCell ref="I239:R239"/>
    <mergeCell ref="D240:E240"/>
    <mergeCell ref="G240:H240"/>
    <mergeCell ref="I240:R240"/>
    <mergeCell ref="C226:F226"/>
    <mergeCell ref="G226:J226"/>
    <mergeCell ref="L226:R226"/>
    <mergeCell ref="C227:F227"/>
    <mergeCell ref="G227:J227"/>
    <mergeCell ref="L227:R227"/>
    <mergeCell ref="C228:F228"/>
    <mergeCell ref="G228:J228"/>
    <mergeCell ref="L228:R228"/>
    <mergeCell ref="C229:F229"/>
    <mergeCell ref="G229:J229"/>
    <mergeCell ref="L229:R229"/>
    <mergeCell ref="C230:F230"/>
    <mergeCell ref="G230:J230"/>
    <mergeCell ref="L230:R230"/>
    <mergeCell ref="C231:F231"/>
    <mergeCell ref="G231:J231"/>
    <mergeCell ref="L231:R231"/>
    <mergeCell ref="B213:R213"/>
    <mergeCell ref="C214:J214"/>
    <mergeCell ref="C215:J215"/>
    <mergeCell ref="B216:F216"/>
    <mergeCell ref="G216:K216"/>
    <mergeCell ref="L216:P216"/>
    <mergeCell ref="B217:F219"/>
    <mergeCell ref="G217:K219"/>
    <mergeCell ref="L217:P219"/>
    <mergeCell ref="C220:R221"/>
    <mergeCell ref="B223:R223"/>
    <mergeCell ref="B224:C224"/>
    <mergeCell ref="D224:E224"/>
    <mergeCell ref="M224:N224"/>
    <mergeCell ref="P224:R224"/>
    <mergeCell ref="B225:J225"/>
    <mergeCell ref="L225:R225"/>
    <mergeCell ref="B208:D208"/>
    <mergeCell ref="E208:G208"/>
    <mergeCell ref="H208:I208"/>
    <mergeCell ref="J208:R208"/>
    <mergeCell ref="B209:D209"/>
    <mergeCell ref="E209:G209"/>
    <mergeCell ref="H209:I209"/>
    <mergeCell ref="J209:R209"/>
    <mergeCell ref="B210:D210"/>
    <mergeCell ref="E210:G210"/>
    <mergeCell ref="H210:I210"/>
    <mergeCell ref="J210:R210"/>
    <mergeCell ref="B211:D211"/>
    <mergeCell ref="E211:G211"/>
    <mergeCell ref="H211:I211"/>
    <mergeCell ref="J211:R211"/>
    <mergeCell ref="B212:D212"/>
    <mergeCell ref="E212:G212"/>
    <mergeCell ref="H212:I212"/>
    <mergeCell ref="J212:R212"/>
    <mergeCell ref="B203:R203"/>
    <mergeCell ref="B204:D204"/>
    <mergeCell ref="E204:G204"/>
    <mergeCell ref="H204:J204"/>
    <mergeCell ref="K204:M204"/>
    <mergeCell ref="N204:P204"/>
    <mergeCell ref="B205:D205"/>
    <mergeCell ref="E205:G205"/>
    <mergeCell ref="H205:I205"/>
    <mergeCell ref="J205:R205"/>
    <mergeCell ref="B206:D206"/>
    <mergeCell ref="E206:G206"/>
    <mergeCell ref="H206:I206"/>
    <mergeCell ref="J206:R206"/>
    <mergeCell ref="B207:D207"/>
    <mergeCell ref="E207:G207"/>
    <mergeCell ref="H207:I207"/>
    <mergeCell ref="J207:R207"/>
    <mergeCell ref="B188:J188"/>
    <mergeCell ref="L188:R188"/>
    <mergeCell ref="C189:J189"/>
    <mergeCell ref="L189:R192"/>
    <mergeCell ref="C190:J190"/>
    <mergeCell ref="C191:J191"/>
    <mergeCell ref="C192:J192"/>
    <mergeCell ref="B193:J193"/>
    <mergeCell ref="L193:R193"/>
    <mergeCell ref="C194:J194"/>
    <mergeCell ref="L194:R197"/>
    <mergeCell ref="C195:J195"/>
    <mergeCell ref="C196:J196"/>
    <mergeCell ref="C197:J197"/>
    <mergeCell ref="B198:J198"/>
    <mergeCell ref="L198:R198"/>
    <mergeCell ref="C199:J199"/>
    <mergeCell ref="L199:R202"/>
    <mergeCell ref="C200:J200"/>
    <mergeCell ref="C201:J201"/>
    <mergeCell ref="C202:J202"/>
    <mergeCell ref="B180:J180"/>
    <mergeCell ref="L180:R180"/>
    <mergeCell ref="C181:F181"/>
    <mergeCell ref="G181:J181"/>
    <mergeCell ref="L181:R182"/>
    <mergeCell ref="B183:R183"/>
    <mergeCell ref="D184:E184"/>
    <mergeCell ref="G184:H184"/>
    <mergeCell ref="I184:K184"/>
    <mergeCell ref="D185:E185"/>
    <mergeCell ref="G185:H185"/>
    <mergeCell ref="I185:R185"/>
    <mergeCell ref="D186:E186"/>
    <mergeCell ref="G186:H186"/>
    <mergeCell ref="I186:R186"/>
    <mergeCell ref="C187:E187"/>
    <mergeCell ref="F187:H187"/>
    <mergeCell ref="I187:R187"/>
    <mergeCell ref="C174:F174"/>
    <mergeCell ref="G174:J174"/>
    <mergeCell ref="L174:R174"/>
    <mergeCell ref="C175:F175"/>
    <mergeCell ref="G175:J175"/>
    <mergeCell ref="L175:R175"/>
    <mergeCell ref="C176:F176"/>
    <mergeCell ref="G176:J176"/>
    <mergeCell ref="L176:R176"/>
    <mergeCell ref="C177:F177"/>
    <mergeCell ref="G177:J177"/>
    <mergeCell ref="L177:R177"/>
    <mergeCell ref="C178:F178"/>
    <mergeCell ref="G178:J178"/>
    <mergeCell ref="L178:R178"/>
    <mergeCell ref="C179:F179"/>
    <mergeCell ref="G179:J179"/>
    <mergeCell ref="L179:R179"/>
    <mergeCell ref="B161:R161"/>
    <mergeCell ref="C162:J162"/>
    <mergeCell ref="C163:J163"/>
    <mergeCell ref="B164:F164"/>
    <mergeCell ref="G164:K164"/>
    <mergeCell ref="L164:P164"/>
    <mergeCell ref="B165:F167"/>
    <mergeCell ref="G165:K167"/>
    <mergeCell ref="L165:P167"/>
    <mergeCell ref="C168:R169"/>
    <mergeCell ref="B171:R171"/>
    <mergeCell ref="B172:C172"/>
    <mergeCell ref="D172:E172"/>
    <mergeCell ref="M172:N172"/>
    <mergeCell ref="P172:R172"/>
    <mergeCell ref="B173:J173"/>
    <mergeCell ref="L173:R173"/>
    <mergeCell ref="B156:D156"/>
    <mergeCell ref="E156:G156"/>
    <mergeCell ref="H156:I156"/>
    <mergeCell ref="J156:R156"/>
    <mergeCell ref="B157:D157"/>
    <mergeCell ref="E157:G157"/>
    <mergeCell ref="H157:I157"/>
    <mergeCell ref="J157:R157"/>
    <mergeCell ref="B158:D158"/>
    <mergeCell ref="E158:G158"/>
    <mergeCell ref="H158:I158"/>
    <mergeCell ref="J158:R158"/>
    <mergeCell ref="B159:D159"/>
    <mergeCell ref="E159:G159"/>
    <mergeCell ref="H159:I159"/>
    <mergeCell ref="J159:R159"/>
    <mergeCell ref="B160:D160"/>
    <mergeCell ref="E160:G160"/>
    <mergeCell ref="H160:I160"/>
    <mergeCell ref="J160:R160"/>
    <mergeCell ref="B151:R151"/>
    <mergeCell ref="B152:D152"/>
    <mergeCell ref="E152:G152"/>
    <mergeCell ref="H152:J152"/>
    <mergeCell ref="K152:M152"/>
    <mergeCell ref="N152:P152"/>
    <mergeCell ref="B153:D153"/>
    <mergeCell ref="E153:G153"/>
    <mergeCell ref="H153:I153"/>
    <mergeCell ref="J153:R153"/>
    <mergeCell ref="B154:D154"/>
    <mergeCell ref="E154:G154"/>
    <mergeCell ref="H154:I154"/>
    <mergeCell ref="J154:R154"/>
    <mergeCell ref="B155:D155"/>
    <mergeCell ref="E155:G155"/>
    <mergeCell ref="H155:I155"/>
    <mergeCell ref="J155:R155"/>
    <mergeCell ref="C137:J137"/>
    <mergeCell ref="L137:R140"/>
    <mergeCell ref="C138:J138"/>
    <mergeCell ref="C139:J139"/>
    <mergeCell ref="C140:J140"/>
    <mergeCell ref="B141:J141"/>
    <mergeCell ref="L141:R141"/>
    <mergeCell ref="C142:J142"/>
    <mergeCell ref="L142:R145"/>
    <mergeCell ref="C143:J143"/>
    <mergeCell ref="C144:J144"/>
    <mergeCell ref="C145:J145"/>
    <mergeCell ref="B146:J146"/>
    <mergeCell ref="L146:R146"/>
    <mergeCell ref="C147:J147"/>
    <mergeCell ref="L147:R150"/>
    <mergeCell ref="C148:J148"/>
    <mergeCell ref="C149:J149"/>
    <mergeCell ref="C150:J150"/>
    <mergeCell ref="B130:R130"/>
    <mergeCell ref="D131:E131"/>
    <mergeCell ref="G131:H131"/>
    <mergeCell ref="I131:K131"/>
    <mergeCell ref="D132:E132"/>
    <mergeCell ref="G132:H132"/>
    <mergeCell ref="I132:R132"/>
    <mergeCell ref="D133:E133"/>
    <mergeCell ref="G133:H133"/>
    <mergeCell ref="I133:R133"/>
    <mergeCell ref="D134:E134"/>
    <mergeCell ref="G134:H134"/>
    <mergeCell ref="I134:R134"/>
    <mergeCell ref="C135:E135"/>
    <mergeCell ref="F135:H135"/>
    <mergeCell ref="I135:R135"/>
    <mergeCell ref="B136:J136"/>
    <mergeCell ref="L136:R136"/>
    <mergeCell ref="C122:F122"/>
    <mergeCell ref="G122:J122"/>
    <mergeCell ref="L122:R122"/>
    <mergeCell ref="C123:F123"/>
    <mergeCell ref="G123:J123"/>
    <mergeCell ref="L123:R123"/>
    <mergeCell ref="C124:F124"/>
    <mergeCell ref="G124:J124"/>
    <mergeCell ref="L124:R124"/>
    <mergeCell ref="B125:J125"/>
    <mergeCell ref="L125:R125"/>
    <mergeCell ref="C126:F126"/>
    <mergeCell ref="G126:J126"/>
    <mergeCell ref="L126:R127"/>
    <mergeCell ref="C128:F128"/>
    <mergeCell ref="G128:J128"/>
    <mergeCell ref="L128:R129"/>
    <mergeCell ref="C113:R114"/>
    <mergeCell ref="B116:R116"/>
    <mergeCell ref="B117:C117"/>
    <mergeCell ref="D117:E117"/>
    <mergeCell ref="M117:N117"/>
    <mergeCell ref="P117:R117"/>
    <mergeCell ref="B118:J118"/>
    <mergeCell ref="L118:R118"/>
    <mergeCell ref="C119:F119"/>
    <mergeCell ref="G119:J119"/>
    <mergeCell ref="L119:R119"/>
    <mergeCell ref="C120:F120"/>
    <mergeCell ref="G120:J120"/>
    <mergeCell ref="L120:R120"/>
    <mergeCell ref="C121:F121"/>
    <mergeCell ref="G121:J121"/>
    <mergeCell ref="L121:R121"/>
    <mergeCell ref="B104:D104"/>
    <mergeCell ref="E104:G104"/>
    <mergeCell ref="H104:I104"/>
    <mergeCell ref="J104:R104"/>
    <mergeCell ref="B105:D105"/>
    <mergeCell ref="E105:G105"/>
    <mergeCell ref="H105:I105"/>
    <mergeCell ref="J105:R105"/>
    <mergeCell ref="B106:R106"/>
    <mergeCell ref="C107:J107"/>
    <mergeCell ref="C108:J108"/>
    <mergeCell ref="B109:F109"/>
    <mergeCell ref="G109:K109"/>
    <mergeCell ref="L109:P109"/>
    <mergeCell ref="B110:F112"/>
    <mergeCell ref="G110:K112"/>
    <mergeCell ref="L110:P112"/>
    <mergeCell ref="B99:D99"/>
    <mergeCell ref="E99:G99"/>
    <mergeCell ref="H99:I99"/>
    <mergeCell ref="J99:R99"/>
    <mergeCell ref="B100:D100"/>
    <mergeCell ref="E100:G100"/>
    <mergeCell ref="H100:I100"/>
    <mergeCell ref="J100:R100"/>
    <mergeCell ref="B101:D101"/>
    <mergeCell ref="E101:G101"/>
    <mergeCell ref="H101:I101"/>
    <mergeCell ref="J101:R101"/>
    <mergeCell ref="B102:D102"/>
    <mergeCell ref="E102:G102"/>
    <mergeCell ref="H102:I102"/>
    <mergeCell ref="J102:R102"/>
    <mergeCell ref="B103:D103"/>
    <mergeCell ref="E103:G103"/>
    <mergeCell ref="H103:I103"/>
    <mergeCell ref="J103:R103"/>
    <mergeCell ref="B91:J91"/>
    <mergeCell ref="L91:R91"/>
    <mergeCell ref="C92:J92"/>
    <mergeCell ref="L92:R95"/>
    <mergeCell ref="C93:J93"/>
    <mergeCell ref="C94:J94"/>
    <mergeCell ref="C95:J95"/>
    <mergeCell ref="B96:R96"/>
    <mergeCell ref="B97:D97"/>
    <mergeCell ref="E97:G97"/>
    <mergeCell ref="H97:J97"/>
    <mergeCell ref="K97:M97"/>
    <mergeCell ref="N97:P97"/>
    <mergeCell ref="B98:D98"/>
    <mergeCell ref="E98:G98"/>
    <mergeCell ref="H98:I98"/>
    <mergeCell ref="J98:R98"/>
    <mergeCell ref="D79:E79"/>
    <mergeCell ref="G79:H79"/>
    <mergeCell ref="I79:R79"/>
    <mergeCell ref="C80:E80"/>
    <mergeCell ref="F80:H80"/>
    <mergeCell ref="I80:R80"/>
    <mergeCell ref="B81:J81"/>
    <mergeCell ref="L81:R81"/>
    <mergeCell ref="C82:J82"/>
    <mergeCell ref="L82:R85"/>
    <mergeCell ref="C83:J83"/>
    <mergeCell ref="C84:J84"/>
    <mergeCell ref="C85:J85"/>
    <mergeCell ref="B86:J86"/>
    <mergeCell ref="L86:R86"/>
    <mergeCell ref="C87:J87"/>
    <mergeCell ref="L87:R90"/>
    <mergeCell ref="C88:J88"/>
    <mergeCell ref="C89:J89"/>
    <mergeCell ref="C90:J90"/>
    <mergeCell ref="C70:F70"/>
    <mergeCell ref="G70:J70"/>
    <mergeCell ref="L70:R71"/>
    <mergeCell ref="C72:F72"/>
    <mergeCell ref="G72:J72"/>
    <mergeCell ref="L72:R73"/>
    <mergeCell ref="B74:R74"/>
    <mergeCell ref="D75:E75"/>
    <mergeCell ref="G75:H75"/>
    <mergeCell ref="I75:K75"/>
    <mergeCell ref="D76:E76"/>
    <mergeCell ref="G76:H76"/>
    <mergeCell ref="I76:R76"/>
    <mergeCell ref="D77:E77"/>
    <mergeCell ref="G77:H77"/>
    <mergeCell ref="I77:R77"/>
    <mergeCell ref="D78:E78"/>
    <mergeCell ref="G78:H78"/>
    <mergeCell ref="I78:R78"/>
    <mergeCell ref="C64:F64"/>
    <mergeCell ref="G64:J64"/>
    <mergeCell ref="L64:R64"/>
    <mergeCell ref="C65:F65"/>
    <mergeCell ref="G65:J65"/>
    <mergeCell ref="L65:R65"/>
    <mergeCell ref="C66:F66"/>
    <mergeCell ref="G66:J66"/>
    <mergeCell ref="L66:R66"/>
    <mergeCell ref="C67:F67"/>
    <mergeCell ref="G67:J67"/>
    <mergeCell ref="L67:R67"/>
    <mergeCell ref="C68:F68"/>
    <mergeCell ref="G68:J68"/>
    <mergeCell ref="L68:R68"/>
    <mergeCell ref="B69:J69"/>
    <mergeCell ref="L69:R69"/>
    <mergeCell ref="B51:R51"/>
    <mergeCell ref="C52:J52"/>
    <mergeCell ref="B53:F53"/>
    <mergeCell ref="G53:K53"/>
    <mergeCell ref="L53:P53"/>
    <mergeCell ref="B54:F56"/>
    <mergeCell ref="G54:K56"/>
    <mergeCell ref="L54:P56"/>
    <mergeCell ref="C57:R58"/>
    <mergeCell ref="B60:R60"/>
    <mergeCell ref="B61:C61"/>
    <mergeCell ref="D61:E61"/>
    <mergeCell ref="M61:N61"/>
    <mergeCell ref="P61:R61"/>
    <mergeCell ref="B62:J62"/>
    <mergeCell ref="L62:R62"/>
    <mergeCell ref="C63:F63"/>
    <mergeCell ref="G63:J63"/>
    <mergeCell ref="L63:R63"/>
    <mergeCell ref="B46:D46"/>
    <mergeCell ref="E46:G46"/>
    <mergeCell ref="H46:I46"/>
    <mergeCell ref="J46:R46"/>
    <mergeCell ref="B47:D47"/>
    <mergeCell ref="E47:G47"/>
    <mergeCell ref="H47:I47"/>
    <mergeCell ref="J47:R47"/>
    <mergeCell ref="B48:D48"/>
    <mergeCell ref="E48:G48"/>
    <mergeCell ref="H48:I48"/>
    <mergeCell ref="J48:R48"/>
    <mergeCell ref="B49:D49"/>
    <mergeCell ref="E49:G49"/>
    <mergeCell ref="H49:I49"/>
    <mergeCell ref="J49:R49"/>
    <mergeCell ref="B50:D50"/>
    <mergeCell ref="E50:G50"/>
    <mergeCell ref="H50:I50"/>
    <mergeCell ref="J50:R50"/>
    <mergeCell ref="B41:R41"/>
    <mergeCell ref="B42:D42"/>
    <mergeCell ref="E42:G42"/>
    <mergeCell ref="H42:J42"/>
    <mergeCell ref="K42:M42"/>
    <mergeCell ref="N42:P42"/>
    <mergeCell ref="B43:D43"/>
    <mergeCell ref="E43:G43"/>
    <mergeCell ref="H43:I43"/>
    <mergeCell ref="J43:R43"/>
    <mergeCell ref="B44:D44"/>
    <mergeCell ref="E44:G44"/>
    <mergeCell ref="H44:I44"/>
    <mergeCell ref="J44:R44"/>
    <mergeCell ref="B45:D45"/>
    <mergeCell ref="E45:G45"/>
    <mergeCell ref="H45:I45"/>
    <mergeCell ref="J45:R45"/>
    <mergeCell ref="B26:J26"/>
    <mergeCell ref="L26:R26"/>
    <mergeCell ref="C27:J27"/>
    <mergeCell ref="L27:R30"/>
    <mergeCell ref="C28:J28"/>
    <mergeCell ref="C29:J29"/>
    <mergeCell ref="C30:J30"/>
    <mergeCell ref="B31:J31"/>
    <mergeCell ref="L31:R31"/>
    <mergeCell ref="C32:J32"/>
    <mergeCell ref="L32:R35"/>
    <mergeCell ref="C33:J33"/>
    <mergeCell ref="C34:J34"/>
    <mergeCell ref="C35:J35"/>
    <mergeCell ref="B36:J36"/>
    <mergeCell ref="L36:R36"/>
    <mergeCell ref="C37:J37"/>
    <mergeCell ref="L37:R40"/>
    <mergeCell ref="C38:J38"/>
    <mergeCell ref="C39:J39"/>
    <mergeCell ref="C40:J40"/>
    <mergeCell ref="B19:R19"/>
    <mergeCell ref="D20:E20"/>
    <mergeCell ref="G20:H20"/>
    <mergeCell ref="I20:K20"/>
    <mergeCell ref="D21:E21"/>
    <mergeCell ref="G21:H21"/>
    <mergeCell ref="I21:R21"/>
    <mergeCell ref="D22:E22"/>
    <mergeCell ref="G22:H22"/>
    <mergeCell ref="I22:R22"/>
    <mergeCell ref="D23:E23"/>
    <mergeCell ref="G23:H23"/>
    <mergeCell ref="I23:R23"/>
    <mergeCell ref="D24:E24"/>
    <mergeCell ref="G24:H24"/>
    <mergeCell ref="I24:R24"/>
    <mergeCell ref="C25:E25"/>
    <mergeCell ref="F25:H25"/>
    <mergeCell ref="I25:R25"/>
    <mergeCell ref="C11:F11"/>
    <mergeCell ref="G11:J11"/>
    <mergeCell ref="L11:R11"/>
    <mergeCell ref="C12:F12"/>
    <mergeCell ref="G12:J12"/>
    <mergeCell ref="L12:R12"/>
    <mergeCell ref="C13:F13"/>
    <mergeCell ref="G13:J13"/>
    <mergeCell ref="L13:R13"/>
    <mergeCell ref="B14:J14"/>
    <mergeCell ref="L14:R14"/>
    <mergeCell ref="C15:F15"/>
    <mergeCell ref="G15:J15"/>
    <mergeCell ref="L15:R16"/>
    <mergeCell ref="C17:F17"/>
    <mergeCell ref="G17:J17"/>
    <mergeCell ref="L17:R18"/>
    <mergeCell ref="B1:R1"/>
    <mergeCell ref="B2:R2"/>
    <mergeCell ref="B5:R5"/>
    <mergeCell ref="B6:C6"/>
    <mergeCell ref="D6:E6"/>
    <mergeCell ref="M6:N6"/>
    <mergeCell ref="P6:R6"/>
    <mergeCell ref="B7:J7"/>
    <mergeCell ref="L7:R7"/>
    <mergeCell ref="C8:F8"/>
    <mergeCell ref="G8:J8"/>
    <mergeCell ref="L8:R8"/>
    <mergeCell ref="C9:F9"/>
    <mergeCell ref="G9:J9"/>
    <mergeCell ref="L9:R9"/>
    <mergeCell ref="C10:F10"/>
    <mergeCell ref="G10:J10"/>
    <mergeCell ref="L10:R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M2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baseColWidth="10" defaultColWidth="8.6640625" defaultRowHeight="15"/>
  <cols>
    <col width="2" customWidth="1" min="1" max="1"/>
    <col width="20" customWidth="1" min="2" max="2"/>
    <col width="14" customWidth="1" min="3" max="12"/>
    <col width="20" customWidth="1" min="13" max="13"/>
  </cols>
  <sheetData>
    <row r="1" ht="31.5" customHeight="1">
      <c r="B1" s="289" t="inlineStr">
        <is>
          <t>📊 สรุปผลการวิจัย 10 แผน — สำหรับเขียนรายงานบทที่ 4</t>
        </is>
      </c>
    </row>
    <row r="3" ht="21.75" customHeight="1">
      <c r="B3" s="367" t="inlineStr">
        <is>
          <t>ตารางที่ 1: สรุปผล POE เฉลี่ย และ % Sound/Misconception รายแผน</t>
        </is>
      </c>
    </row>
    <row r="4" ht="19.5" customHeight="1">
      <c r="B4" s="145" t="inlineStr">
        <is>
          <t>แผนที่</t>
        </is>
      </c>
      <c r="C4" s="145" t="inlineStr">
        <is>
          <t>คาบที่</t>
        </is>
      </c>
      <c r="D4" s="145" t="inlineStr">
        <is>
          <t>หัวข้อ</t>
        </is>
      </c>
      <c r="E4" s="145" t="inlineStr">
        <is>
          <t>POE avg</t>
        </is>
      </c>
      <c r="F4" s="145" t="inlineStr">
        <is>
          <t>% Sound</t>
        </is>
      </c>
      <c r="G4" s="145" t="inlineStr">
        <is>
          <t>% Misc</t>
        </is>
      </c>
      <c r="H4" s="145" t="inlineStr">
        <is>
          <t>% บรรลุ</t>
        </is>
      </c>
      <c r="I4" s="145" t="inlineStr">
        <is>
          <t>สถานะ</t>
        </is>
      </c>
      <c r="J4" s="145" t="inlineStr">
        <is>
          <t>mini-trend</t>
        </is>
      </c>
    </row>
    <row r="5" ht="36" customHeight="1">
      <c r="B5" s="64" t="n">
        <v>1</v>
      </c>
      <c r="C5" s="10" t="inlineStr">
        <is>
          <t>1–2</t>
        </is>
      </c>
      <c r="D5" s="19" t="inlineStr">
        <is>
          <t>ธรรมชาติของคลื่น (1): การเกิดคลื่นและชนิด</t>
        </is>
      </c>
      <c r="E5" s="120">
        <f>IFERROR('🎯 บันทึกการสอน Dashboard'!J15,"—")</f>
        <v/>
      </c>
      <c r="F5" s="69">
        <f>IFERROR('🎯 บันทึกการสอน Dashboard'!K15,"—")</f>
        <v/>
      </c>
      <c r="G5" s="50">
        <f>IFERROR('🎯 บันทึกการสอน Dashboard'!L15,"—")</f>
        <v/>
      </c>
      <c r="H5" s="69">
        <f>IFERROR('🎯 บันทึกการสอน Dashboard'!I15,"—")</f>
        <v/>
      </c>
      <c r="I5" s="195">
        <f>IFERROR('🎯 บันทึกการสอน Dashboard'!M15,"—")</f>
        <v/>
      </c>
      <c r="J5" s="121">
        <f>"— (แผนแรก)"</f>
        <v/>
      </c>
    </row>
    <row r="6" ht="36" customHeight="1">
      <c r="B6" s="64" t="n">
        <v>2</v>
      </c>
      <c r="C6" s="10" t="inlineStr">
        <is>
          <t>3–4</t>
        </is>
      </c>
      <c r="D6" s="19" t="inlineStr">
        <is>
          <t>ธรรมชาติของคลื่น (2): ส่วนประกอบและเฟส</t>
        </is>
      </c>
      <c r="E6" s="120">
        <f>IFERROR('🎯 บันทึกการสอน Dashboard'!J16,"—")</f>
        <v/>
      </c>
      <c r="F6" s="69">
        <f>IFERROR('🎯 บันทึกการสอน Dashboard'!K16,"—")</f>
        <v/>
      </c>
      <c r="G6" s="50">
        <f>IFERROR('🎯 บันทึกการสอน Dashboard'!L16,"—")</f>
        <v/>
      </c>
      <c r="H6" s="69">
        <f>IFERROR('🎯 บันทึกการสอน Dashboard'!I16,"—")</f>
        <v/>
      </c>
      <c r="I6" s="196">
        <f>IFERROR('🎯 บันทึกการสอน Dashboard'!M16,"—")</f>
        <v/>
      </c>
      <c r="J6" s="123">
        <f>IFERROR(IF('🎯 บันทึกการสอน Dashboard'!K16&gt;'🎯 บันทึกการสอน Dashboard'!K15,"▲","▼")&amp;""&amp;TEXT(ABS('🎯 บันทึกการสอน Dashboard'!K16-'🎯 บันทึกการสอน Dashboard'!K15),"0%"),"—")</f>
        <v/>
      </c>
    </row>
    <row r="7" ht="36" customHeight="1">
      <c r="B7" s="11" t="n">
        <v>3</v>
      </c>
      <c r="C7" s="8" t="inlineStr">
        <is>
          <t>5–6</t>
        </is>
      </c>
      <c r="D7" s="15" t="inlineStr">
        <is>
          <t>อัตราเร็วของคลื่น (1): v = fλ</t>
        </is>
      </c>
      <c r="E7" s="120">
        <f>IFERROR('🎯 บันทึกการสอน Dashboard'!J17,"—")</f>
        <v/>
      </c>
      <c r="F7" s="69">
        <f>IFERROR('🎯 บันทึกการสอน Dashboard'!K17,"—")</f>
        <v/>
      </c>
      <c r="G7" s="50">
        <f>IFERROR('🎯 บันทึกการสอน Dashboard'!L17,"—")</f>
        <v/>
      </c>
      <c r="H7" s="69">
        <f>IFERROR('🎯 บันทึกการสอน Dashboard'!I17,"—")</f>
        <v/>
      </c>
      <c r="I7" s="195">
        <f>IFERROR('🎯 บันทึกการสอน Dashboard'!M17,"—")</f>
        <v/>
      </c>
      <c r="J7" s="121">
        <f>IFERROR(IF('🎯 บันทึกการสอน Dashboard'!K17&gt;'🎯 บันทึกการสอน Dashboard'!K16,"▲","▼")&amp;""&amp;TEXT(ABS('🎯 บันทึกการสอน Dashboard'!K17-'🎯 บันทึกการสอน Dashboard'!K16),"0%"),"—")</f>
        <v/>
      </c>
    </row>
    <row r="8" ht="36" customHeight="1">
      <c r="B8" s="11" t="n">
        <v>4</v>
      </c>
      <c r="C8" s="8" t="inlineStr">
        <is>
          <t>7</t>
        </is>
      </c>
      <c r="D8" s="15" t="inlineStr">
        <is>
          <t>อัตราเร็วของคลื่น (2): สรุปและฝึกปัญหา</t>
        </is>
      </c>
      <c r="E8" s="120">
        <f>IFERROR('🎯 บันทึกการสอน Dashboard'!J18,"—")</f>
        <v/>
      </c>
      <c r="F8" s="69">
        <f>IFERROR('🎯 บันทึกการสอน Dashboard'!K18,"—")</f>
        <v/>
      </c>
      <c r="G8" s="50">
        <f>IFERROR('🎯 บันทึกการสอน Dashboard'!L18,"—")</f>
        <v/>
      </c>
      <c r="H8" s="69">
        <f>IFERROR('🎯 บันทึกการสอน Dashboard'!I18,"—")</f>
        <v/>
      </c>
      <c r="I8" s="196">
        <f>IFERROR('🎯 บันทึกการสอน Dashboard'!M18,"—")</f>
        <v/>
      </c>
      <c r="J8" s="123">
        <f>IFERROR(IF('🎯 บันทึกการสอน Dashboard'!K18&gt;'🎯 บันทึกการสอน Dashboard'!K17,"▲","▼")&amp;""&amp;TEXT(ABS('🎯 บันทึกการสอน Dashboard'!K18-'🎯 บันทึกการสอน Dashboard'!K17),"0%"),"—")</f>
        <v/>
      </c>
    </row>
    <row r="9" ht="36" customHeight="1">
      <c r="B9" s="148" t="n">
        <v>5</v>
      </c>
      <c r="C9" s="7" t="inlineStr">
        <is>
          <t>8–10</t>
        </is>
      </c>
      <c r="D9" s="14" t="inlineStr">
        <is>
          <t>หลักการที่เกี่ยวกับคลื่น: ฮอยเกนส์ + ซ้อนทับ</t>
        </is>
      </c>
      <c r="E9" s="120">
        <f>IFERROR('🎯 บันทึกการสอน Dashboard'!J19,"—")</f>
        <v/>
      </c>
      <c r="F9" s="69">
        <f>IFERROR('🎯 บันทึกการสอน Dashboard'!K19,"—")</f>
        <v/>
      </c>
      <c r="G9" s="50">
        <f>IFERROR('🎯 บันทึกการสอน Dashboard'!L19,"—")</f>
        <v/>
      </c>
      <c r="H9" s="69">
        <f>IFERROR('🎯 บันทึกการสอน Dashboard'!I19,"—")</f>
        <v/>
      </c>
      <c r="I9" s="195">
        <f>IFERROR('🎯 บันทึกการสอน Dashboard'!M19,"—")</f>
        <v/>
      </c>
      <c r="J9" s="121">
        <f>IFERROR(IF('🎯 บันทึกการสอน Dashboard'!K19&gt;'🎯 บันทึกการสอน Dashboard'!K18,"▲","▼")&amp;""&amp;TEXT(ABS('🎯 บันทึกการสอน Dashboard'!K19-'🎯 บันทึกการสอน Dashboard'!K18),"0%"),"—")</f>
        <v/>
      </c>
    </row>
    <row r="10" ht="36" customHeight="1">
      <c r="B10" s="25" t="n">
        <v>6</v>
      </c>
      <c r="C10" s="73" t="inlineStr">
        <is>
          <t>11–12</t>
        </is>
      </c>
      <c r="D10" s="20" t="inlineStr">
        <is>
          <t>พฤติกรรมคลื่น (1): การสะท้อนและการหักเห</t>
        </is>
      </c>
      <c r="E10" s="120">
        <f>IFERROR('🎯 บันทึกการสอน Dashboard'!J20,"—")</f>
        <v/>
      </c>
      <c r="F10" s="69">
        <f>IFERROR('🎯 บันทึกการสอน Dashboard'!K20,"—")</f>
        <v/>
      </c>
      <c r="G10" s="50">
        <f>IFERROR('🎯 บันทึกการสอน Dashboard'!L20,"—")</f>
        <v/>
      </c>
      <c r="H10" s="69">
        <f>IFERROR('🎯 บันทึกการสอน Dashboard'!I20,"—")</f>
        <v/>
      </c>
      <c r="I10" s="196">
        <f>IFERROR('🎯 บันทึกการสอน Dashboard'!M20,"—")</f>
        <v/>
      </c>
      <c r="J10" s="123">
        <f>IFERROR(IF('🎯 บันทึกการสอน Dashboard'!K20&gt;'🎯 บันทึกการสอน Dashboard'!K19,"▲","▼")&amp;""&amp;TEXT(ABS('🎯 บันทึกการสอน Dashboard'!K20-'🎯 บันทึกการสอน Dashboard'!K19),"0%"),"—")</f>
        <v/>
      </c>
    </row>
    <row r="11" ht="36" customHeight="1">
      <c r="B11" s="18" t="n">
        <v>7</v>
      </c>
      <c r="C11" s="75" t="inlineStr">
        <is>
          <t>13–15</t>
        </is>
      </c>
      <c r="D11" s="74" t="inlineStr">
        <is>
          <t>พฤติกรรมคลื่น (2): การแทรกสอดและคลื่นนิ่ง</t>
        </is>
      </c>
      <c r="E11" s="120">
        <f>IFERROR('🎯 บันทึกการสอน Dashboard'!J21,"—")</f>
        <v/>
      </c>
      <c r="F11" s="69">
        <f>IFERROR('🎯 บันทึกการสอน Dashboard'!K21,"—")</f>
        <v/>
      </c>
      <c r="G11" s="50">
        <f>IFERROR('🎯 บันทึกการสอน Dashboard'!L21,"—")</f>
        <v/>
      </c>
      <c r="H11" s="69">
        <f>IFERROR('🎯 บันทึกการสอน Dashboard'!I21,"—")</f>
        <v/>
      </c>
      <c r="I11" s="195">
        <f>IFERROR('🎯 บันทึกการสอน Dashboard'!M21,"—")</f>
        <v/>
      </c>
      <c r="J11" s="121">
        <f>IFERROR(IF('🎯 บันทึกการสอน Dashboard'!K21&gt;'🎯 บันทึกการสอน Dashboard'!K20,"▲","▼")&amp;""&amp;TEXT(ABS('🎯 บันทึกการสอน Dashboard'!K21-'🎯 บันทึกการสอน Dashboard'!K20),"0%"),"—")</f>
        <v/>
      </c>
    </row>
    <row r="12" ht="36" customHeight="1">
      <c r="B12" s="18" t="n">
        <v>8</v>
      </c>
      <c r="C12" s="75" t="inlineStr">
        <is>
          <t>14,16</t>
        </is>
      </c>
      <c r="D12" s="74" t="inlineStr">
        <is>
          <t>พฤติกรรมคลื่น (3): การเลี้ยวเบน + สรุป 9.4</t>
        </is>
      </c>
      <c r="E12" s="120">
        <f>IFERROR('🎯 บันทึกการสอน Dashboard'!J22,"—")</f>
        <v/>
      </c>
      <c r="F12" s="69">
        <f>IFERROR('🎯 บันทึกการสอน Dashboard'!K22,"—")</f>
        <v/>
      </c>
      <c r="G12" s="50">
        <f>IFERROR('🎯 บันทึกการสอน Dashboard'!L22,"—")</f>
        <v/>
      </c>
      <c r="H12" s="69">
        <f>IFERROR('🎯 บันทึกการสอน Dashboard'!I22,"—")</f>
        <v/>
      </c>
      <c r="I12" s="196">
        <f>IFERROR('🎯 บันทึกการสอน Dashboard'!M22,"—")</f>
        <v/>
      </c>
      <c r="J12" s="123">
        <f>IFERROR(IF('🎯 บันทึกการสอน Dashboard'!K22&gt;'🎯 บันทึกการสอน Dashboard'!K21,"▲","▼")&amp;""&amp;TEXT(ABS('🎯 บันทึกการสอน Dashboard'!K22-'🎯 บันทึกการสอน Dashboard'!K21),"0%"),"—")</f>
        <v/>
      </c>
    </row>
    <row r="13" ht="36" customHeight="1">
      <c r="B13" s="145" t="n">
        <v>9</v>
      </c>
      <c r="C13" s="10" t="inlineStr">
        <is>
          <t>17–18</t>
        </is>
      </c>
      <c r="D13" s="19" t="inlineStr">
        <is>
          <t>ฝึกปัญหาประยุกต์และบูรณาการ</t>
        </is>
      </c>
      <c r="E13" s="120">
        <f>IFERROR('🎯 บันทึกการสอน Dashboard'!J23,"—")</f>
        <v/>
      </c>
      <c r="F13" s="69">
        <f>IFERROR('🎯 บันทึกการสอน Dashboard'!K23,"—")</f>
        <v/>
      </c>
      <c r="G13" s="50">
        <f>IFERROR('🎯 บันทึกการสอน Dashboard'!L23,"—")</f>
        <v/>
      </c>
      <c r="H13" s="69">
        <f>IFERROR('🎯 บันทึกการสอน Dashboard'!I23,"—")</f>
        <v/>
      </c>
      <c r="I13" s="195">
        <f>IFERROR('🎯 บันทึกการสอน Dashboard'!M23,"—")</f>
        <v/>
      </c>
      <c r="J13" s="121">
        <f>IFERROR(IF('🎯 บันทึกการสอน Dashboard'!K23&gt;'🎯 บันทึกการสอน Dashboard'!K22,"▲","▼")&amp;""&amp;TEXT(ABS('🎯 บันทึกการสอน Dashboard'!K23-'🎯 บันทึกการสอน Dashboard'!K22),"0%"),"—")</f>
        <v/>
      </c>
    </row>
    <row r="14" ht="36" customHeight="1">
      <c r="B14" s="71" t="n">
        <v>10</v>
      </c>
      <c r="C14" s="9" t="inlineStr">
        <is>
          <t>19–20</t>
        </is>
      </c>
      <c r="D14" s="13" t="inlineStr">
        <is>
          <t>ทบทวนก่อนสอบและ Post-test</t>
        </is>
      </c>
      <c r="E14" s="120">
        <f>IFERROR('🎯 บันทึกการสอน Dashboard'!J24,"—")</f>
        <v/>
      </c>
      <c r="F14" s="69">
        <f>IFERROR('🎯 บันทึกการสอน Dashboard'!K24,"—")</f>
        <v/>
      </c>
      <c r="G14" s="50">
        <f>IFERROR('🎯 บันทึกการสอน Dashboard'!L24,"—")</f>
        <v/>
      </c>
      <c r="H14" s="69">
        <f>IFERROR('🎯 บันทึกการสอน Dashboard'!I24,"—")</f>
        <v/>
      </c>
      <c r="I14" s="196">
        <f>IFERROR('🎯 บันทึกการสอน Dashboard'!M24,"—")</f>
        <v/>
      </c>
      <c r="J14" s="123">
        <f>IFERROR(IF('🎯 บันทึกการสอน Dashboard'!K24&gt;'🎯 บันทึกการสอน Dashboard'!K23,"▲","▼")&amp;""&amp;TEXT(ABS('🎯 บันทึกการสอน Dashboard'!K24-'🎯 บันทึกการสอน Dashboard'!K23),"0%"),"—")</f>
        <v/>
      </c>
    </row>
    <row r="15" ht="21.75" customHeight="1">
      <c r="B15" s="214" t="inlineStr">
        <is>
          <t>รวม / เฉลี่ย</t>
        </is>
      </c>
      <c r="C15" s="369" t="n"/>
      <c r="D15" s="369" t="n"/>
      <c r="E15" s="197">
        <f>IFERROR(AVERAGE('🎯 บันทึกการสอน Dashboard'!J15:J24),"—")</f>
        <v/>
      </c>
      <c r="F15" s="79">
        <f>IFERROR(AVERAGE('🎯 บันทึกการสอน Dashboard'!K15:K24),"—")</f>
        <v/>
      </c>
      <c r="G15" s="79">
        <f>IFERROR(AVERAGE('🎯 บันทึกการสอน Dashboard'!L15:L24),"—")</f>
        <v/>
      </c>
      <c r="H15" s="79">
        <f>IFERROR(AVERAGE('🎯 บันทึกการสอน Dashboard'!I15:I24),"—")</f>
        <v/>
      </c>
    </row>
    <row r="17" ht="21.75" customHeight="1">
      <c r="B17" s="209" t="inlineStr">
        <is>
          <t>ตารางที่ 2: สรุป Misconception M1–M5 Pre→Post (ดึงจาก Sheet สรุป Misconception)</t>
        </is>
      </c>
    </row>
    <row r="18" ht="18" customHeight="1">
      <c r="B18" s="44" t="inlineStr">
        <is>
          <t>Misconception</t>
        </is>
      </c>
      <c r="C18" s="44" t="inlineStr">
        <is>
          <t>ข้อที่วัด</t>
        </is>
      </c>
      <c r="D18" s="44" t="inlineStr">
        <is>
          <t>% Pre</t>
        </is>
      </c>
      <c r="E18" s="44" t="inlineStr">
        <is>
          <t>% Post</t>
        </is>
      </c>
      <c r="F18" s="44" t="inlineStr">
        <is>
          <t>ลดลง %</t>
        </is>
      </c>
      <c r="G18" s="44" t="inlineStr">
        <is>
          <t>ระดับ</t>
        </is>
      </c>
      <c r="H18" s="44" t="inlineStr">
        <is>
          <t>การวิเคราะห์</t>
        </is>
      </c>
    </row>
    <row r="19" ht="34" customHeight="1">
      <c r="B19" s="194" t="inlineStr">
        <is>
          <t>M1: อนุภาคเคลื่อนตามคลื่น</t>
        </is>
      </c>
      <c r="C19" s="198" t="inlineStr">
        <is>
          <t>ข้อ 1–2</t>
        </is>
      </c>
      <c r="D19" s="138">
        <f>IFERROR('📊 สรุป Misconception'!D3,"—")</f>
        <v/>
      </c>
      <c r="E19" s="69">
        <f>IFERROR('📊 สรุป Misconception'!F3,"—")</f>
        <v/>
      </c>
      <c r="F19" s="199">
        <f>IFERROR('📊 สรุป Misconception'!G3,"—")</f>
        <v/>
      </c>
      <c r="G19" s="9">
        <f>IFERROR('📊 สรุป Misconception'!H3,"—")</f>
        <v/>
      </c>
      <c r="H19" s="200">
        <f>IFERROR("Pre: "&amp;TEXT('📊 สรุป Misconception'!D3,"0%")&amp;" → Post: "&amp;TEXT('📊 สรุป Misconception'!F3,"0%")&amp;" ลดลง "&amp;TEXT(ABS('📊 สรุป Misconception'!G3),"0.0%"),"กรอกข้อมูลใน Sheet สรุป Misc ก่อน")</f>
        <v/>
      </c>
    </row>
    <row r="20" ht="34" customHeight="1">
      <c r="B20" s="201" t="inlineStr">
        <is>
          <t>M2: คลื่นตามขวางต้องการตัวกลางแข็ง</t>
        </is>
      </c>
      <c r="C20" s="202" t="inlineStr">
        <is>
          <t>ข้อ 3–4</t>
        </is>
      </c>
      <c r="D20" s="138">
        <f>IFERROR('📊 สรุป Misconception'!D4,"—")</f>
        <v/>
      </c>
      <c r="E20" s="69">
        <f>IFERROR('📊 สรุป Misconception'!F4,"—")</f>
        <v/>
      </c>
      <c r="F20" s="203">
        <f>IFERROR('📊 สรุป Misconception'!G4,"—")</f>
        <v/>
      </c>
      <c r="G20" s="204">
        <f>IFERROR('📊 สรุป Misconception'!H4,"—")</f>
        <v/>
      </c>
      <c r="H20" s="205">
        <f>IFERROR("Pre: "&amp;TEXT('📊 สรุป Misconception'!D4,"0%")&amp;" → Post: "&amp;TEXT('📊 สรุป Misconception'!F4,"0%")&amp;" ลดลง "&amp;TEXT(ABS('📊 สรุป Misconception'!G4),"0.0%"),"กรอกข้อมูลใน Sheet สรุป Misc ก่อน")</f>
        <v/>
      </c>
    </row>
    <row r="21" ht="34" customHeight="1">
      <c r="B21" s="194" t="inlineStr">
        <is>
          <t>M3: เสียงเป็นคลื่นตามขวาง</t>
        </is>
      </c>
      <c r="C21" s="198" t="inlineStr">
        <is>
          <t>ข้อ 5–6</t>
        </is>
      </c>
      <c r="D21" s="138">
        <f>IFERROR('📊 สรุป Misconception'!D5,"—")</f>
        <v/>
      </c>
      <c r="E21" s="69">
        <f>IFERROR('📊 สรุป Misconception'!F5,"—")</f>
        <v/>
      </c>
      <c r="F21" s="199">
        <f>IFERROR('📊 สรุป Misconception'!G5,"—")</f>
        <v/>
      </c>
      <c r="G21" s="9">
        <f>IFERROR('📊 สรุป Misconception'!H5,"—")</f>
        <v/>
      </c>
      <c r="H21" s="200">
        <f>IFERROR("Pre: "&amp;TEXT('📊 สรุป Misconception'!D5,"0%")&amp;" → Post: "&amp;TEXT('📊 สรุป Misconception'!F5,"0%")&amp;" ลดลง "&amp;TEXT(ABS('📊 สรุป Misconception'!G5),"0.0%"),"กรอกข้อมูลใน Sheet สรุป Misc ก่อน")</f>
        <v/>
      </c>
    </row>
    <row r="22" ht="34" customHeight="1">
      <c r="B22" s="201" t="inlineStr">
        <is>
          <t>M4: ความถี่ขึ้นกับตัวกลาง</t>
        </is>
      </c>
      <c r="C22" s="202" t="inlineStr">
        <is>
          <t>ข้อ 7–8</t>
        </is>
      </c>
      <c r="D22" s="138">
        <f>IFERROR('📊 สรุป Misconception'!D6,"—")</f>
        <v/>
      </c>
      <c r="E22" s="69">
        <f>IFERROR('📊 สรุป Misconception'!F6,"—")</f>
        <v/>
      </c>
      <c r="F22" s="203">
        <f>IFERROR('📊 สรุป Misconception'!G6,"—")</f>
        <v/>
      </c>
      <c r="G22" s="204">
        <f>IFERROR('📊 สรุป Misconception'!H6,"—")</f>
        <v/>
      </c>
      <c r="H22" s="205">
        <f>IFERROR("Pre: "&amp;TEXT('📊 สรุป Misconception'!D6,"0%")&amp;" → Post: "&amp;TEXT('📊 สรุป Misconception'!F6,"0%")&amp;" ลดลง "&amp;TEXT(ABS('📊 สรุป Misconception'!G6),"0.0%"),"กรอกข้อมูลใน Sheet สรุป Misc ก่อน")</f>
        <v/>
      </c>
    </row>
    <row r="23" ht="34" customHeight="1">
      <c r="B23" s="194" t="inlineStr">
        <is>
          <t>M5: คลื่นดลต่างจากต่อเนื่องที่ความถี่</t>
        </is>
      </c>
      <c r="C23" s="198" t="inlineStr">
        <is>
          <t>ข้อ 9–10</t>
        </is>
      </c>
      <c r="D23" s="138">
        <f>IFERROR('📊 สรุป Misconception'!D7,"—")</f>
        <v/>
      </c>
      <c r="E23" s="69">
        <f>IFERROR('📊 สรุป Misconception'!F7,"—")</f>
        <v/>
      </c>
      <c r="F23" s="199">
        <f>IFERROR('📊 สรุป Misconception'!G7,"—")</f>
        <v/>
      </c>
      <c r="G23" s="9">
        <f>IFERROR('📊 สรุป Misconception'!H7,"—")</f>
        <v/>
      </c>
      <c r="H23" s="200">
        <f>IFERROR("Pre: "&amp;TEXT('📊 สรุป Misconception'!D7,"0%")&amp;" → Post: "&amp;TEXT('📊 สรุป Misconception'!F7,"0%")&amp;" ลดลง "&amp;TEXT(ABS('📊 สรุป Misconception'!G7),"0.0%"),"กรอกข้อมูลใน Sheet สรุป Misc ก่อน")</f>
        <v/>
      </c>
    </row>
    <row r="25" ht="21.75" customHeight="1">
      <c r="B25" s="368" t="inlineStr">
        <is>
          <t>🔍 ประโยคสรุปผลอัตโนมัติ (Auto-generate สำหรับบทที่ 4)</t>
        </is>
      </c>
    </row>
    <row r="26" ht="21.75" customHeight="1">
      <c r="B26" s="366">
        <f>"จากการจัดการเรียนรู้แบบ 5E + POE ทั้ง 10 แผน พบว่า"&amp;" ค่าเฉลี่ย POE เท่ากับ "&amp;TEXT(IFERROR(AVERAGE('🎯 บันทึกการสอน Dashboard'!J15:J24),0),"0.00")&amp;" คะแนน (เต็ม 3.00)"&amp;" นักเรียนมีมโนทัศน์ถูกต้อง (Sound Understanding) เฉลี่ย "&amp;TEXT(IFERROR(AVERAGE('🎯 บันทึกการสอน Dashboard'!K15:K24),0),"0%")&amp;" และมีมโนทัศน์คลาดเคลื่อน (Misconception) ลดลงเหลือ "&amp;TEXT(IFERROR(AVERAGE('🎯 บันทึกการสอน Dashboard'!L15:L24),0),"0%")&amp;" % บรรลุวัตถุประสงค์เฉลี่ย "&amp;TEXT(IFERROR(AVERAGE('🎯 บันทึกการสอน Dashboard'!I15:I24),0),"0%")&amp;" แสดงว่ารูปแบบการสอนมีประสิทธิภาพ"&amp;IF(IFERROR(AVERAGE('🎯 บันทึกการสอน Dashboard'!I15:I24),0)&gt;=0.8," สูงกว่าเกณฑ์ 80%"," ยังต่ำกว่าเกณฑ์ที่กำหนด")</f>
        <v/>
      </c>
      <c r="C26" s="409" t="n"/>
      <c r="D26" s="409" t="n"/>
      <c r="E26" s="409" t="n"/>
      <c r="F26" s="409" t="n"/>
      <c r="G26" s="409" t="n"/>
      <c r="H26" s="409" t="n"/>
      <c r="I26" s="409" t="n"/>
      <c r="J26" s="409" t="n"/>
      <c r="K26" s="409" t="n"/>
      <c r="L26" s="409" t="n"/>
      <c r="M26" s="409" t="n"/>
    </row>
    <row r="27" ht="21.75" customHeight="1">
      <c r="B27" s="410" t="n"/>
    </row>
    <row r="28" ht="21.75" customHeight="1">
      <c r="B28" s="410" t="n"/>
    </row>
  </sheetData>
  <mergeCells count="6">
    <mergeCell ref="B26:M28"/>
    <mergeCell ref="B1:M1"/>
    <mergeCell ref="B3:M3"/>
    <mergeCell ref="B15:D15"/>
    <mergeCell ref="B17:M17"/>
    <mergeCell ref="B25:M2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2026-03-28T08:19:36Z</dcterms:created>
  <dcterms:modified xmlns:dcterms="http://purl.org/dc/terms/" xmlns:xsi="http://www.w3.org/2001/XMLSchema-instance" xsi:type="dcterms:W3CDTF">2026-04-14T21:17:20Z</dcterms:modified>
  <cp:lastModifiedBy>โกเมน ปาปะโถ</cp:lastModifiedBy>
  <cp:revision>0</cp:revision>
</cp:coreProperties>
</file>